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6a1f88f83a8d0f/UQ/PhD/Koala Project/Data/Pittsworth_May2023/Data Sheets/"/>
    </mc:Choice>
  </mc:AlternateContent>
  <xr:revisionPtr revIDLastSave="594" documentId="8_{0E9DBAE3-0625-4AF9-AE5D-98B82F1C869D}" xr6:coauthVersionLast="47" xr6:coauthVersionMax="47" xr10:uidLastSave="{14FD45AB-B5E9-4A9F-A000-73B45BC0487D}"/>
  <bookViews>
    <workbookView xWindow="-108" yWindow="-108" windowWidth="23256" windowHeight="12456" activeTab="4" xr2:uid="{035F1A14-73D6-4EFF-9012-31A11C221BA8}"/>
  </bookViews>
  <sheets>
    <sheet name="Koala Measures" sheetId="2" r:id="rId1"/>
    <sheet name="Accel Times" sheetId="3" r:id="rId2"/>
    <sheet name="GPS Data Summary" sheetId="5" r:id="rId3"/>
    <sheet name="Sheet4" sheetId="4" r:id="rId4"/>
    <sheet name="Sheet1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2" l="1"/>
  <c r="M13" i="2"/>
  <c r="L14" i="2"/>
  <c r="L13" i="2"/>
</calcChain>
</file>

<file path=xl/sharedStrings.xml><?xml version="1.0" encoding="utf-8"?>
<sst xmlns="http://schemas.openxmlformats.org/spreadsheetml/2006/main" count="416" uniqueCount="193">
  <si>
    <t>Koala</t>
  </si>
  <si>
    <t>Name</t>
  </si>
  <si>
    <t>Date</t>
  </si>
  <si>
    <t>Sex</t>
  </si>
  <si>
    <t>Age</t>
  </si>
  <si>
    <t>Joey</t>
  </si>
  <si>
    <t>Head Length</t>
  </si>
  <si>
    <t>Head Width</t>
  </si>
  <si>
    <t>Tree Species</t>
  </si>
  <si>
    <t>Accelerometer</t>
  </si>
  <si>
    <t>VHF</t>
  </si>
  <si>
    <t>GPS</t>
  </si>
  <si>
    <t>Just a record of all device IDs in no particular order</t>
  </si>
  <si>
    <t>Device Name</t>
  </si>
  <si>
    <t>Device Type</t>
  </si>
  <si>
    <t>Device ID</t>
  </si>
  <si>
    <t>GT600B</t>
  </si>
  <si>
    <t>0011-00188C720B9F</t>
  </si>
  <si>
    <t>GT600B-0B9F</t>
  </si>
  <si>
    <t>0011-00188C720062</t>
  </si>
  <si>
    <t>GT600B-0062</t>
  </si>
  <si>
    <t>0011-00188C720969</t>
  </si>
  <si>
    <t>GT600B-0969</t>
  </si>
  <si>
    <t>0011-00188C720974</t>
  </si>
  <si>
    <t>GT600B-0974</t>
  </si>
  <si>
    <t>GT600B-0AF4</t>
  </si>
  <si>
    <t>0011-00188C720AF4</t>
  </si>
  <si>
    <t>0011-00188C720B07</t>
  </si>
  <si>
    <t>GT600B-0B07</t>
  </si>
  <si>
    <t>0011-00188C720C6F</t>
  </si>
  <si>
    <t>GT600B-0C6F</t>
  </si>
  <si>
    <t>0011-00188C720D41</t>
  </si>
  <si>
    <t>GT600B-0D41</t>
  </si>
  <si>
    <t>0011-00188C720DB1</t>
  </si>
  <si>
    <t>GT600B-0DB1</t>
  </si>
  <si>
    <t>0011-00188C721059</t>
  </si>
  <si>
    <t>GT600B-1059</t>
  </si>
  <si>
    <t>0011-00188C720BED</t>
  </si>
  <si>
    <t>GT600B-0BED</t>
  </si>
  <si>
    <t>0011-00188C720B1E</t>
  </si>
  <si>
    <t>GT600B-0B1E</t>
  </si>
  <si>
    <t>0011-00188C720AF9</t>
  </si>
  <si>
    <t>GT600B-0AF9</t>
  </si>
  <si>
    <t>0011-00188C720BE2</t>
  </si>
  <si>
    <t>GT600B-0BE2</t>
  </si>
  <si>
    <t>0011-00188C720D1F</t>
  </si>
  <si>
    <t>GT600B-0D1F</t>
  </si>
  <si>
    <t>Location</t>
  </si>
  <si>
    <t>Pittsworth</t>
  </si>
  <si>
    <t>F</t>
  </si>
  <si>
    <t>1:09pm</t>
  </si>
  <si>
    <t>1:15pm</t>
  </si>
  <si>
    <t>Marilyn</t>
  </si>
  <si>
    <t>1:53pm</t>
  </si>
  <si>
    <t>Hardy</t>
  </si>
  <si>
    <t>0AF9</t>
  </si>
  <si>
    <t>O974</t>
  </si>
  <si>
    <t>VHF on</t>
  </si>
  <si>
    <t>M</t>
  </si>
  <si>
    <t>Chadwick</t>
  </si>
  <si>
    <t>1:10pm</t>
  </si>
  <si>
    <t>2:47pm</t>
  </si>
  <si>
    <t>3:08pm</t>
  </si>
  <si>
    <t>3:48pm</t>
  </si>
  <si>
    <t>4:09pm</t>
  </si>
  <si>
    <t>0B07</t>
  </si>
  <si>
    <t>7:35am 16/5/23</t>
  </si>
  <si>
    <t>1:10pm 15/5/23</t>
  </si>
  <si>
    <t>Nicole</t>
  </si>
  <si>
    <t>Angelina</t>
  </si>
  <si>
    <t>Dwayne</t>
  </si>
  <si>
    <t>Ferrell</t>
  </si>
  <si>
    <t>Anne</t>
  </si>
  <si>
    <t>Holland</t>
  </si>
  <si>
    <t>Murray</t>
  </si>
  <si>
    <t>0DB1</t>
  </si>
  <si>
    <t>7:35am</t>
  </si>
  <si>
    <t>0B9F</t>
  </si>
  <si>
    <t>0AF4</t>
  </si>
  <si>
    <t>0BE2</t>
  </si>
  <si>
    <t>0BED</t>
  </si>
  <si>
    <t>O969</t>
  </si>
  <si>
    <t>0C6F</t>
  </si>
  <si>
    <t>Axivity</t>
  </si>
  <si>
    <t>Time AX6 Disconnect</t>
  </si>
  <si>
    <t>Time First Tap</t>
  </si>
  <si>
    <t>11:38am</t>
  </si>
  <si>
    <t>12:35pm</t>
  </si>
  <si>
    <t>12:10pm</t>
  </si>
  <si>
    <t>1:01pm</t>
  </si>
  <si>
    <t>11:55am</t>
  </si>
  <si>
    <t>1:52pm</t>
  </si>
  <si>
    <t>2:32pm</t>
  </si>
  <si>
    <t>2:57pm</t>
  </si>
  <si>
    <t>Forgot to write down, worked out from camera</t>
  </si>
  <si>
    <t>4:33pm</t>
  </si>
  <si>
    <t>5:02pm</t>
  </si>
  <si>
    <t>11:05am</t>
  </si>
  <si>
    <t>11:22am</t>
  </si>
  <si>
    <t>12:05pm</t>
  </si>
  <si>
    <t>12:24pm</t>
  </si>
  <si>
    <t>Ferrel</t>
  </si>
  <si>
    <t>Time</t>
  </si>
  <si>
    <t>Mass (kg)</t>
  </si>
  <si>
    <t>Body Score</t>
  </si>
  <si>
    <t>Tag Left Ear</t>
  </si>
  <si>
    <t>Tag Right Ear</t>
  </si>
  <si>
    <t>Eyes</t>
  </si>
  <si>
    <t>Rump</t>
  </si>
  <si>
    <t>Condition Notes</t>
  </si>
  <si>
    <t>Collar Type</t>
  </si>
  <si>
    <t>VHF Frequency</t>
  </si>
  <si>
    <t>VHF Activation Time</t>
  </si>
  <si>
    <t>GPS Schedule</t>
  </si>
  <si>
    <t>GPS ID</t>
  </si>
  <si>
    <t>Axivity ID</t>
  </si>
  <si>
    <t>Record Sheet</t>
  </si>
  <si>
    <t>Site</t>
  </si>
  <si>
    <t>Poplar box</t>
  </si>
  <si>
    <t>-27.80991, 151.55961</t>
  </si>
  <si>
    <t>UQ906</t>
  </si>
  <si>
    <t>Yellow front, red back</t>
  </si>
  <si>
    <t>Pouch young, unfurred</t>
  </si>
  <si>
    <t>Clear</t>
  </si>
  <si>
    <t>Clear and dry</t>
  </si>
  <si>
    <t>None</t>
  </si>
  <si>
    <t>GT-600B + accel</t>
  </si>
  <si>
    <t>Collar Weight (g)</t>
  </si>
  <si>
    <t>-27.80074, 151.56126</t>
  </si>
  <si>
    <t>Adult</t>
  </si>
  <si>
    <t>Orange front, red back</t>
  </si>
  <si>
    <t>UQ808</t>
  </si>
  <si>
    <t>Thursday 18/5, 5 min intervals, smart tracking, motion sensing</t>
  </si>
  <si>
    <t>-27.79280, 151.54479</t>
  </si>
  <si>
    <t>Light blue front, orange back</t>
  </si>
  <si>
    <t>UQ911</t>
  </si>
  <si>
    <t>Sternal Gland</t>
  </si>
  <si>
    <t>-</t>
  </si>
  <si>
    <t>Major</t>
  </si>
  <si>
    <t>149.352 (3515)</t>
  </si>
  <si>
    <t>-27.71130, 151.53664</t>
  </si>
  <si>
    <t>UQ803</t>
  </si>
  <si>
    <t>Army green E19 front, orange back</t>
  </si>
  <si>
    <t>General Notes</t>
  </si>
  <si>
    <t>held for a while before release</t>
  </si>
  <si>
    <t>Yarranlea, Watson Rd</t>
  </si>
  <si>
    <t>Yarranlea, Murlaggan Rd</t>
  </si>
  <si>
    <t>Kincora, Mannsilo Rd</t>
  </si>
  <si>
    <t>Kincora, School Rd</t>
  </si>
  <si>
    <t>-27.72196, 151.52676</t>
  </si>
  <si>
    <t>Pink front, black D5 back</t>
  </si>
  <si>
    <t>UQ805</t>
  </si>
  <si>
    <t>-27.720.68, 151.52381</t>
  </si>
  <si>
    <t xml:space="preserve">tense and squirmy </t>
  </si>
  <si>
    <t>UQ522</t>
  </si>
  <si>
    <t>Black front, yellow back</t>
  </si>
  <si>
    <t>Slightly opaque eye</t>
  </si>
  <si>
    <t>-27.72287, 151.52980</t>
  </si>
  <si>
    <t>Brown I11 front, red back</t>
  </si>
  <si>
    <t>UQ810</t>
  </si>
  <si>
    <t>-27.79.280, 151.54479</t>
  </si>
  <si>
    <t>UQ847</t>
  </si>
  <si>
    <t>Brown front I9, pink back</t>
  </si>
  <si>
    <t>No young obvious when palpated</t>
  </si>
  <si>
    <t>VHF ear</t>
  </si>
  <si>
    <t>149.812, 115 505, 01</t>
  </si>
  <si>
    <t>Yarranlea Rd</t>
  </si>
  <si>
    <t>-27.1480, 151.52579</t>
  </si>
  <si>
    <t>Red front, white back W3</t>
  </si>
  <si>
    <t>UQ901</t>
  </si>
  <si>
    <t>-27.79264, 151.54254</t>
  </si>
  <si>
    <t>Orange front, black back</t>
  </si>
  <si>
    <t>UQ848</t>
  </si>
  <si>
    <t>Minor</t>
  </si>
  <si>
    <t>Days Recorded</t>
  </si>
  <si>
    <t>Date Start</t>
  </si>
  <si>
    <t>Time Start</t>
  </si>
  <si>
    <t>Can individual trees be identified?</t>
  </si>
  <si>
    <t>Yes</t>
  </si>
  <si>
    <t>17 days</t>
  </si>
  <si>
    <t>Not really</t>
  </si>
  <si>
    <t>7-8 days</t>
  </si>
  <si>
    <t>Not really, maybe for a few</t>
  </si>
  <si>
    <t>12-13 days</t>
  </si>
  <si>
    <t>9-10 days</t>
  </si>
  <si>
    <t>Yes, but maybe no for the last two days (changes patches)</t>
  </si>
  <si>
    <t>Yarranlea</t>
  </si>
  <si>
    <t>Kincora</t>
  </si>
  <si>
    <t>19 days</t>
  </si>
  <si>
    <t>19-20 days</t>
  </si>
  <si>
    <t>actually 12:52?</t>
  </si>
  <si>
    <t>females</t>
  </si>
  <si>
    <t>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</si>
</sst>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20" fontId="0" fillId="0" borderId="0" xfId="0" applyNumberFormat="1"/>
    <xf numFmtId="0" fontId="1" fillId="0" borderId="0" xfId="0" applyFont="1"/>
    <xf numFmtId="0" fontId="0" fillId="0" borderId="0" xfId="0" quotePrefix="1"/>
    <xf numFmtId="0" fontId="1" fillId="0" borderId="0" xfId="0" applyFont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C33FD-0FA4-4E05-B1C0-CF5B4293716F}">
  <dimension ref="A1:AE14"/>
  <sheetViews>
    <sheetView topLeftCell="C1" zoomScale="123" workbookViewId="0">
      <selection activeCell="M11" sqref="M11"/>
    </sheetView>
  </sheetViews>
  <sheetFormatPr defaultRowHeight="14.4" x14ac:dyDescent="0.3"/>
  <cols>
    <col min="1" max="1" width="14.77734375" customWidth="1"/>
    <col min="2" max="2" width="9.33203125" bestFit="1" customWidth="1"/>
    <col min="3" max="3" width="23.6640625" bestFit="1" customWidth="1"/>
    <col min="4" max="4" width="11.5546875" customWidth="1"/>
    <col min="5" max="5" width="9.33203125" customWidth="1"/>
    <col min="6" max="6" width="11.109375" bestFit="1" customWidth="1"/>
    <col min="7" max="7" width="20.88671875" customWidth="1"/>
    <col min="13" max="13" width="11.33203125" customWidth="1"/>
    <col min="14" max="14" width="24.77734375" bestFit="1" customWidth="1"/>
    <col min="15" max="15" width="29.77734375" customWidth="1"/>
    <col min="16" max="16" width="12" bestFit="1" customWidth="1"/>
    <col min="17" max="17" width="12.6640625" customWidth="1"/>
    <col min="18" max="18" width="29.21875" customWidth="1"/>
    <col min="19" max="19" width="20" customWidth="1"/>
    <col min="21" max="21" width="11.88671875" bestFit="1" customWidth="1"/>
    <col min="22" max="22" width="18.44140625" customWidth="1"/>
    <col min="23" max="23" width="16.21875" customWidth="1"/>
    <col min="24" max="24" width="16" customWidth="1"/>
    <col min="25" max="25" width="19.6640625" customWidth="1"/>
    <col min="26" max="26" width="20.77734375" customWidth="1"/>
    <col min="27" max="27" width="53.21875" customWidth="1"/>
    <col min="28" max="28" width="17" customWidth="1"/>
    <col min="29" max="29" width="13.33203125" customWidth="1"/>
    <col min="30" max="30" width="14.6640625" customWidth="1"/>
    <col min="31" max="31" width="27.44140625" customWidth="1"/>
  </cols>
  <sheetData>
    <row r="1" spans="1:31" s="1" customFormat="1" x14ac:dyDescent="0.3">
      <c r="A1" s="1" t="s">
        <v>116</v>
      </c>
      <c r="B1" s="1" t="s">
        <v>47</v>
      </c>
      <c r="C1" s="1" t="s">
        <v>117</v>
      </c>
      <c r="D1" s="1" t="s">
        <v>2</v>
      </c>
      <c r="E1" s="1" t="s">
        <v>102</v>
      </c>
      <c r="F1" s="1" t="s">
        <v>8</v>
      </c>
      <c r="G1" s="1" t="s">
        <v>11</v>
      </c>
      <c r="H1" s="1" t="s">
        <v>0</v>
      </c>
      <c r="I1" s="1" t="s">
        <v>1</v>
      </c>
      <c r="J1" s="1" t="s">
        <v>3</v>
      </c>
      <c r="K1" s="1" t="s">
        <v>4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6</v>
      </c>
      <c r="Q1" s="1" t="s">
        <v>7</v>
      </c>
      <c r="R1" s="1" t="s">
        <v>5</v>
      </c>
      <c r="S1" s="1" t="s">
        <v>136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164</v>
      </c>
      <c r="Z1" s="1" t="s">
        <v>112</v>
      </c>
      <c r="AA1" s="1" t="s">
        <v>113</v>
      </c>
      <c r="AB1" s="1" t="s">
        <v>114</v>
      </c>
      <c r="AC1" s="1" t="s">
        <v>115</v>
      </c>
      <c r="AD1" s="1" t="s">
        <v>127</v>
      </c>
      <c r="AE1" s="1" t="s">
        <v>143</v>
      </c>
    </row>
    <row r="2" spans="1:31" x14ac:dyDescent="0.3">
      <c r="A2">
        <v>12221</v>
      </c>
      <c r="B2" t="s">
        <v>48</v>
      </c>
      <c r="C2" t="s">
        <v>148</v>
      </c>
      <c r="D2" s="3">
        <v>45061</v>
      </c>
      <c r="E2" s="4">
        <v>0.54166666666666663</v>
      </c>
      <c r="F2" t="s">
        <v>118</v>
      </c>
      <c r="G2" s="6" t="s">
        <v>119</v>
      </c>
      <c r="H2">
        <v>1</v>
      </c>
      <c r="I2" t="s">
        <v>52</v>
      </c>
      <c r="J2" t="s">
        <v>49</v>
      </c>
      <c r="K2" t="s">
        <v>129</v>
      </c>
      <c r="L2">
        <v>6.23</v>
      </c>
      <c r="M2">
        <v>8</v>
      </c>
      <c r="N2" t="s">
        <v>120</v>
      </c>
      <c r="O2" t="s">
        <v>121</v>
      </c>
      <c r="P2">
        <v>121.9</v>
      </c>
      <c r="Q2">
        <v>68.599999999999994</v>
      </c>
      <c r="R2" t="s">
        <v>122</v>
      </c>
      <c r="S2" t="s">
        <v>137</v>
      </c>
      <c r="T2" t="s">
        <v>123</v>
      </c>
      <c r="U2" t="s">
        <v>124</v>
      </c>
      <c r="V2" t="s">
        <v>125</v>
      </c>
      <c r="W2" t="s">
        <v>126</v>
      </c>
      <c r="X2">
        <v>151.52199999999999</v>
      </c>
      <c r="Y2" t="s">
        <v>137</v>
      </c>
      <c r="Z2" s="4">
        <v>0.54861111111111105</v>
      </c>
      <c r="AA2" t="s">
        <v>132</v>
      </c>
      <c r="AB2" t="s">
        <v>56</v>
      </c>
      <c r="AC2">
        <v>6012407</v>
      </c>
      <c r="AD2">
        <v>115</v>
      </c>
    </row>
    <row r="3" spans="1:31" x14ac:dyDescent="0.3">
      <c r="A3">
        <v>12222</v>
      </c>
      <c r="B3" t="s">
        <v>48</v>
      </c>
      <c r="C3" t="s">
        <v>148</v>
      </c>
      <c r="D3" s="3">
        <v>45061</v>
      </c>
      <c r="E3" s="4">
        <v>0.60416666666666663</v>
      </c>
      <c r="F3" t="s">
        <v>118</v>
      </c>
      <c r="G3" s="6" t="s">
        <v>128</v>
      </c>
      <c r="H3">
        <v>2</v>
      </c>
      <c r="I3" t="s">
        <v>54</v>
      </c>
      <c r="J3" t="s">
        <v>58</v>
      </c>
      <c r="K3" t="s">
        <v>129</v>
      </c>
      <c r="L3">
        <v>7.4050000000000002</v>
      </c>
      <c r="M3">
        <v>8</v>
      </c>
      <c r="N3" t="s">
        <v>130</v>
      </c>
      <c r="O3" t="s">
        <v>131</v>
      </c>
      <c r="P3">
        <v>145.30000000000001</v>
      </c>
      <c r="Q3">
        <v>75.7</v>
      </c>
      <c r="R3" t="s">
        <v>137</v>
      </c>
      <c r="S3" t="s">
        <v>138</v>
      </c>
      <c r="T3" t="s">
        <v>123</v>
      </c>
      <c r="U3" t="s">
        <v>124</v>
      </c>
      <c r="V3" t="s">
        <v>125</v>
      </c>
      <c r="W3" t="s">
        <v>126</v>
      </c>
      <c r="X3">
        <v>150.4615</v>
      </c>
      <c r="Y3" t="s">
        <v>137</v>
      </c>
      <c r="Z3" s="4">
        <v>0.54861111111111105</v>
      </c>
      <c r="AA3" t="s">
        <v>132</v>
      </c>
      <c r="AB3" t="s">
        <v>55</v>
      </c>
      <c r="AC3">
        <v>6021106</v>
      </c>
      <c r="AD3">
        <v>115</v>
      </c>
    </row>
    <row r="4" spans="1:31" x14ac:dyDescent="0.3">
      <c r="A4">
        <v>12223</v>
      </c>
      <c r="B4" t="s">
        <v>48</v>
      </c>
      <c r="C4" t="s">
        <v>147</v>
      </c>
      <c r="D4" s="3">
        <v>45061</v>
      </c>
      <c r="E4" s="4">
        <v>0.65625</v>
      </c>
      <c r="F4" t="s">
        <v>118</v>
      </c>
      <c r="G4" s="6" t="s">
        <v>133</v>
      </c>
      <c r="H4">
        <v>3</v>
      </c>
      <c r="I4" t="s">
        <v>59</v>
      </c>
      <c r="J4" t="s">
        <v>58</v>
      </c>
      <c r="K4" t="s">
        <v>129</v>
      </c>
      <c r="L4">
        <v>7.9</v>
      </c>
      <c r="M4">
        <v>7.5</v>
      </c>
      <c r="N4" t="s">
        <v>134</v>
      </c>
      <c r="O4" t="s">
        <v>135</v>
      </c>
      <c r="P4">
        <v>144</v>
      </c>
      <c r="Q4">
        <v>78.400000000000006</v>
      </c>
      <c r="R4" t="s">
        <v>137</v>
      </c>
      <c r="S4" t="s">
        <v>138</v>
      </c>
      <c r="T4" t="s">
        <v>123</v>
      </c>
      <c r="U4" t="s">
        <v>124</v>
      </c>
      <c r="V4" t="s">
        <v>125</v>
      </c>
      <c r="W4" t="s">
        <v>126</v>
      </c>
      <c r="X4" t="s">
        <v>139</v>
      </c>
      <c r="Y4" t="s">
        <v>137</v>
      </c>
      <c r="Z4" s="4">
        <v>0.54861111111111105</v>
      </c>
      <c r="AA4" t="s">
        <v>132</v>
      </c>
      <c r="AB4" t="s">
        <v>65</v>
      </c>
      <c r="AC4">
        <v>6020082</v>
      </c>
      <c r="AD4">
        <v>115</v>
      </c>
    </row>
    <row r="5" spans="1:31" x14ac:dyDescent="0.3">
      <c r="A5">
        <v>12224</v>
      </c>
      <c r="B5" t="s">
        <v>48</v>
      </c>
      <c r="C5" t="s">
        <v>146</v>
      </c>
      <c r="D5" s="3">
        <v>45062</v>
      </c>
      <c r="E5" s="4">
        <v>0.47916666666666669</v>
      </c>
      <c r="F5" t="s">
        <v>118</v>
      </c>
      <c r="G5" s="6" t="s">
        <v>140</v>
      </c>
      <c r="H5">
        <v>4</v>
      </c>
      <c r="I5" t="s">
        <v>68</v>
      </c>
      <c r="J5" t="s">
        <v>49</v>
      </c>
      <c r="K5" s="8" t="s">
        <v>129</v>
      </c>
      <c r="L5" s="8">
        <v>3.9849999999999999</v>
      </c>
      <c r="M5">
        <v>7</v>
      </c>
      <c r="N5" t="s">
        <v>141</v>
      </c>
      <c r="O5" t="s">
        <v>142</v>
      </c>
      <c r="P5">
        <v>114.5</v>
      </c>
      <c r="Q5">
        <v>65.099999999999994</v>
      </c>
      <c r="R5" t="s">
        <v>125</v>
      </c>
      <c r="S5" t="s">
        <v>137</v>
      </c>
      <c r="T5" t="s">
        <v>123</v>
      </c>
      <c r="U5" t="s">
        <v>124</v>
      </c>
      <c r="V5" t="s">
        <v>125</v>
      </c>
      <c r="W5" t="s">
        <v>126</v>
      </c>
      <c r="X5">
        <v>151.06200000000001</v>
      </c>
      <c r="Y5" t="s">
        <v>137</v>
      </c>
      <c r="Z5" s="4">
        <v>0.31597222222222221</v>
      </c>
      <c r="AA5" t="s">
        <v>132</v>
      </c>
      <c r="AB5" t="s">
        <v>75</v>
      </c>
      <c r="AC5">
        <v>6013035</v>
      </c>
      <c r="AD5">
        <v>115</v>
      </c>
      <c r="AE5" t="s">
        <v>144</v>
      </c>
    </row>
    <row r="6" spans="1:31" x14ac:dyDescent="0.3">
      <c r="A6">
        <v>12226</v>
      </c>
      <c r="B6" t="s">
        <v>48</v>
      </c>
      <c r="C6" t="s">
        <v>145</v>
      </c>
      <c r="D6" s="3">
        <v>45062</v>
      </c>
      <c r="E6" s="4">
        <v>0.5</v>
      </c>
      <c r="F6" t="s">
        <v>118</v>
      </c>
      <c r="G6" s="6" t="s">
        <v>149</v>
      </c>
      <c r="H6">
        <v>5</v>
      </c>
      <c r="I6" t="s">
        <v>70</v>
      </c>
      <c r="J6" t="s">
        <v>58</v>
      </c>
      <c r="K6" t="s">
        <v>129</v>
      </c>
      <c r="L6">
        <v>8.5</v>
      </c>
      <c r="M6">
        <v>8.5</v>
      </c>
      <c r="N6" t="s">
        <v>150</v>
      </c>
      <c r="O6" t="s">
        <v>151</v>
      </c>
      <c r="P6">
        <v>157.80000000000001</v>
      </c>
      <c r="Q6">
        <v>82.6</v>
      </c>
      <c r="R6" t="s">
        <v>137</v>
      </c>
      <c r="S6" t="s">
        <v>137</v>
      </c>
      <c r="T6" t="s">
        <v>123</v>
      </c>
      <c r="U6" t="s">
        <v>124</v>
      </c>
      <c r="V6" t="s">
        <v>125</v>
      </c>
      <c r="W6" t="s">
        <v>126</v>
      </c>
      <c r="X6">
        <v>150.58199999999999</v>
      </c>
      <c r="Y6" t="s">
        <v>137</v>
      </c>
      <c r="Z6" s="4">
        <v>0.31597222222222221</v>
      </c>
      <c r="AA6" t="s">
        <v>132</v>
      </c>
      <c r="AB6" t="s">
        <v>78</v>
      </c>
      <c r="AC6">
        <v>6013047</v>
      </c>
      <c r="AD6">
        <v>115</v>
      </c>
    </row>
    <row r="7" spans="1:31" x14ac:dyDescent="0.3">
      <c r="A7">
        <v>12225</v>
      </c>
      <c r="B7" t="s">
        <v>48</v>
      </c>
      <c r="C7" t="s">
        <v>145</v>
      </c>
      <c r="D7" s="3">
        <v>45062</v>
      </c>
      <c r="E7" s="4">
        <v>0.49444444444444446</v>
      </c>
      <c r="F7" t="s">
        <v>118</v>
      </c>
      <c r="G7" s="6" t="s">
        <v>152</v>
      </c>
      <c r="H7">
        <v>6</v>
      </c>
      <c r="I7" t="s">
        <v>69</v>
      </c>
      <c r="J7" t="s">
        <v>49</v>
      </c>
      <c r="K7" t="s">
        <v>129</v>
      </c>
      <c r="L7">
        <v>5.61</v>
      </c>
      <c r="M7">
        <v>7.5</v>
      </c>
      <c r="N7" t="s">
        <v>154</v>
      </c>
      <c r="O7" t="s">
        <v>155</v>
      </c>
      <c r="P7">
        <v>128.1</v>
      </c>
      <c r="Q7">
        <v>68.599999999999994</v>
      </c>
      <c r="R7" t="s">
        <v>137</v>
      </c>
      <c r="S7" t="s">
        <v>137</v>
      </c>
      <c r="T7" t="s">
        <v>123</v>
      </c>
      <c r="U7" t="s">
        <v>124</v>
      </c>
      <c r="V7" t="s">
        <v>156</v>
      </c>
      <c r="W7" t="s">
        <v>126</v>
      </c>
      <c r="X7">
        <v>151.422</v>
      </c>
      <c r="Y7" t="s">
        <v>137</v>
      </c>
      <c r="Z7" s="4">
        <v>0.31597222222222221</v>
      </c>
      <c r="AA7" t="s">
        <v>132</v>
      </c>
      <c r="AB7" t="s">
        <v>77</v>
      </c>
      <c r="AC7">
        <v>6012380</v>
      </c>
      <c r="AD7">
        <v>115</v>
      </c>
      <c r="AE7" t="s">
        <v>153</v>
      </c>
    </row>
    <row r="8" spans="1:31" x14ac:dyDescent="0.3">
      <c r="A8">
        <v>12227</v>
      </c>
      <c r="B8" t="s">
        <v>48</v>
      </c>
      <c r="C8" t="s">
        <v>145</v>
      </c>
      <c r="D8" s="3">
        <v>45062</v>
      </c>
      <c r="E8" s="4">
        <v>0.60416666666666663</v>
      </c>
      <c r="F8" t="s">
        <v>118</v>
      </c>
      <c r="G8" s="6" t="s">
        <v>157</v>
      </c>
      <c r="H8">
        <v>7</v>
      </c>
      <c r="I8" t="s">
        <v>71</v>
      </c>
      <c r="J8" t="s">
        <v>58</v>
      </c>
      <c r="K8" t="s">
        <v>129</v>
      </c>
      <c r="L8">
        <v>6.98</v>
      </c>
      <c r="M8">
        <v>6.5</v>
      </c>
      <c r="N8" t="s">
        <v>158</v>
      </c>
      <c r="O8" t="s">
        <v>159</v>
      </c>
      <c r="P8">
        <v>147.1</v>
      </c>
      <c r="Q8">
        <v>74.2</v>
      </c>
      <c r="R8" t="s">
        <v>137</v>
      </c>
      <c r="S8" t="s">
        <v>137</v>
      </c>
      <c r="T8" t="s">
        <v>123</v>
      </c>
      <c r="U8" t="s">
        <v>124</v>
      </c>
      <c r="V8" t="s">
        <v>125</v>
      </c>
      <c r="W8" t="s">
        <v>126</v>
      </c>
      <c r="X8">
        <v>151.46199999999999</v>
      </c>
      <c r="Y8" t="s">
        <v>137</v>
      </c>
      <c r="Z8" s="4">
        <v>0.31597222222222221</v>
      </c>
      <c r="AA8" t="s">
        <v>132</v>
      </c>
      <c r="AB8" t="s">
        <v>79</v>
      </c>
      <c r="AC8">
        <v>6019577</v>
      </c>
      <c r="AD8">
        <v>115</v>
      </c>
    </row>
    <row r="9" spans="1:31" x14ac:dyDescent="0.3">
      <c r="A9">
        <v>12228</v>
      </c>
      <c r="B9" t="s">
        <v>48</v>
      </c>
      <c r="C9" t="s">
        <v>147</v>
      </c>
      <c r="D9" s="3">
        <v>45062</v>
      </c>
      <c r="E9" s="4">
        <v>0.6875</v>
      </c>
      <c r="F9" t="s">
        <v>118</v>
      </c>
      <c r="G9" s="6" t="s">
        <v>160</v>
      </c>
      <c r="H9">
        <v>8</v>
      </c>
      <c r="I9" t="s">
        <v>72</v>
      </c>
      <c r="J9" t="s">
        <v>49</v>
      </c>
      <c r="K9" t="s">
        <v>129</v>
      </c>
      <c r="L9">
        <v>7.3550000000000004</v>
      </c>
      <c r="M9">
        <v>7.5</v>
      </c>
      <c r="N9" t="s">
        <v>161</v>
      </c>
      <c r="O9" t="s">
        <v>162</v>
      </c>
      <c r="P9">
        <v>140.30000000000001</v>
      </c>
      <c r="Q9">
        <v>73.900000000000006</v>
      </c>
      <c r="R9" t="s">
        <v>163</v>
      </c>
      <c r="S9" t="s">
        <v>137</v>
      </c>
      <c r="T9" t="s">
        <v>123</v>
      </c>
      <c r="U9" t="s">
        <v>124</v>
      </c>
      <c r="V9" t="s">
        <v>125</v>
      </c>
      <c r="W9" t="s">
        <v>126</v>
      </c>
      <c r="X9">
        <v>149.78200000000001</v>
      </c>
      <c r="Y9" t="s">
        <v>165</v>
      </c>
      <c r="Z9" s="4">
        <v>0.31597222222222221</v>
      </c>
      <c r="AA9" t="s">
        <v>132</v>
      </c>
      <c r="AB9" t="s">
        <v>80</v>
      </c>
      <c r="AC9">
        <v>6012257</v>
      </c>
      <c r="AD9">
        <v>115</v>
      </c>
    </row>
    <row r="10" spans="1:31" x14ac:dyDescent="0.3">
      <c r="A10">
        <v>12229</v>
      </c>
      <c r="B10" t="s">
        <v>48</v>
      </c>
      <c r="C10" t="s">
        <v>166</v>
      </c>
      <c r="D10" s="3">
        <v>45063</v>
      </c>
      <c r="E10" s="4">
        <v>0.4548611111111111</v>
      </c>
      <c r="F10" t="s">
        <v>118</v>
      </c>
      <c r="G10" s="6" t="s">
        <v>167</v>
      </c>
      <c r="H10">
        <v>9</v>
      </c>
      <c r="I10" t="s">
        <v>73</v>
      </c>
      <c r="J10" t="s">
        <v>58</v>
      </c>
      <c r="K10" t="s">
        <v>129</v>
      </c>
      <c r="L10">
        <v>7.11</v>
      </c>
      <c r="M10">
        <v>7.5</v>
      </c>
      <c r="N10" t="s">
        <v>168</v>
      </c>
      <c r="O10" t="s">
        <v>169</v>
      </c>
      <c r="P10">
        <v>149.4</v>
      </c>
      <c r="Q10">
        <v>79</v>
      </c>
      <c r="R10" t="s">
        <v>137</v>
      </c>
      <c r="S10" t="s">
        <v>137</v>
      </c>
      <c r="T10" t="s">
        <v>123</v>
      </c>
      <c r="U10" t="s">
        <v>124</v>
      </c>
      <c r="V10" t="s">
        <v>125</v>
      </c>
      <c r="W10" t="s">
        <v>126</v>
      </c>
      <c r="X10">
        <v>149.72</v>
      </c>
      <c r="Y10">
        <v>149.99100000000001</v>
      </c>
      <c r="Z10" s="4">
        <v>0.31597222222222221</v>
      </c>
      <c r="AA10" t="s">
        <v>132</v>
      </c>
      <c r="AB10" t="s">
        <v>81</v>
      </c>
      <c r="AC10">
        <v>6015967</v>
      </c>
      <c r="AD10">
        <v>115</v>
      </c>
    </row>
    <row r="11" spans="1:31" x14ac:dyDescent="0.3">
      <c r="A11">
        <v>12230</v>
      </c>
      <c r="B11" t="s">
        <v>48</v>
      </c>
      <c r="C11" t="s">
        <v>147</v>
      </c>
      <c r="D11" s="3">
        <v>45063</v>
      </c>
      <c r="E11" s="4">
        <v>0.5</v>
      </c>
      <c r="F11" t="s">
        <v>118</v>
      </c>
      <c r="G11" s="6" t="s">
        <v>170</v>
      </c>
      <c r="H11">
        <v>10</v>
      </c>
      <c r="I11" t="s">
        <v>74</v>
      </c>
      <c r="J11" t="s">
        <v>58</v>
      </c>
      <c r="K11" t="s">
        <v>129</v>
      </c>
      <c r="L11">
        <v>7.3449999999999998</v>
      </c>
      <c r="N11" t="s">
        <v>171</v>
      </c>
      <c r="O11" t="s">
        <v>172</v>
      </c>
      <c r="P11">
        <v>141.6</v>
      </c>
      <c r="Q11">
        <v>75.7</v>
      </c>
      <c r="R11" t="s">
        <v>137</v>
      </c>
      <c r="S11" t="s">
        <v>173</v>
      </c>
      <c r="T11" t="s">
        <v>123</v>
      </c>
      <c r="U11" t="s">
        <v>124</v>
      </c>
      <c r="V11" t="s">
        <v>125</v>
      </c>
      <c r="W11" t="s">
        <v>126</v>
      </c>
      <c r="X11">
        <v>151.44200000000001</v>
      </c>
      <c r="Y11">
        <v>149.892</v>
      </c>
      <c r="Z11" s="4">
        <v>0.31597222222222221</v>
      </c>
      <c r="AA11" t="s">
        <v>132</v>
      </c>
      <c r="AB11" t="s">
        <v>82</v>
      </c>
      <c r="AC11">
        <v>6012525</v>
      </c>
      <c r="AD11">
        <v>115</v>
      </c>
    </row>
    <row r="13" spans="1:31" x14ac:dyDescent="0.3">
      <c r="K13" t="s">
        <v>191</v>
      </c>
      <c r="L13">
        <f>AVERAGE(L2,L5,L7,L9)</f>
        <v>5.7949999999999999</v>
      </c>
      <c r="M13">
        <f>_xlfn.STDEV.S(L2,L5,L7,L9)</f>
        <v>1.4063131467303684</v>
      </c>
    </row>
    <row r="14" spans="1:31" x14ac:dyDescent="0.3">
      <c r="K14" t="s">
        <v>192</v>
      </c>
      <c r="L14">
        <f>AVERAGE(L3,L4,L6,L8,L10,L11)</f>
        <v>7.54</v>
      </c>
      <c r="M14">
        <f>_xlfn.STDEV.S(L3,L4,L6,L8,L10,L11)</f>
        <v>0.56673627023510675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B3411-0C33-43B6-AA46-E88E27CB8918}">
  <dimension ref="A1:J11"/>
  <sheetViews>
    <sheetView workbookViewId="0">
      <selection activeCell="F3" sqref="F3"/>
    </sheetView>
  </sheetViews>
  <sheetFormatPr defaultRowHeight="14.4" x14ac:dyDescent="0.3"/>
  <cols>
    <col min="3" max="3" width="10.44140625" bestFit="1" customWidth="1"/>
    <col min="8" max="8" width="20.77734375" customWidth="1"/>
    <col min="9" max="9" width="17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83</v>
      </c>
      <c r="E1" s="1" t="s">
        <v>10</v>
      </c>
      <c r="F1" s="1" t="s">
        <v>11</v>
      </c>
      <c r="G1" s="1" t="s">
        <v>57</v>
      </c>
      <c r="H1" s="1" t="s">
        <v>84</v>
      </c>
      <c r="I1" s="1" t="s">
        <v>85</v>
      </c>
    </row>
    <row r="2" spans="1:10" x14ac:dyDescent="0.3">
      <c r="A2">
        <v>1</v>
      </c>
      <c r="B2" t="s">
        <v>52</v>
      </c>
      <c r="C2" s="3">
        <v>45061</v>
      </c>
      <c r="D2">
        <v>6012407</v>
      </c>
      <c r="E2">
        <v>151.52199999999999</v>
      </c>
      <c r="F2" t="s">
        <v>56</v>
      </c>
      <c r="G2" t="s">
        <v>50</v>
      </c>
      <c r="H2" t="s">
        <v>51</v>
      </c>
      <c r="I2" t="s">
        <v>53</v>
      </c>
    </row>
    <row r="3" spans="1:10" x14ac:dyDescent="0.3">
      <c r="A3">
        <v>2</v>
      </c>
      <c r="B3" t="s">
        <v>54</v>
      </c>
      <c r="C3" s="3">
        <v>45061</v>
      </c>
      <c r="D3">
        <v>6021106</v>
      </c>
      <c r="E3">
        <v>150.46199999999999</v>
      </c>
      <c r="F3" t="s">
        <v>55</v>
      </c>
      <c r="G3" s="4" t="s">
        <v>50</v>
      </c>
      <c r="H3" t="s">
        <v>61</v>
      </c>
      <c r="I3" t="s">
        <v>62</v>
      </c>
    </row>
    <row r="4" spans="1:10" x14ac:dyDescent="0.3">
      <c r="A4">
        <v>3</v>
      </c>
      <c r="B4" t="s">
        <v>59</v>
      </c>
      <c r="C4" s="3">
        <v>45061</v>
      </c>
      <c r="D4">
        <v>6020082</v>
      </c>
      <c r="E4">
        <v>149.352</v>
      </c>
      <c r="F4" t="s">
        <v>65</v>
      </c>
      <c r="G4" t="s">
        <v>60</v>
      </c>
      <c r="H4" t="s">
        <v>63</v>
      </c>
      <c r="I4" t="s">
        <v>64</v>
      </c>
    </row>
    <row r="5" spans="1:10" x14ac:dyDescent="0.3">
      <c r="A5">
        <v>4</v>
      </c>
      <c r="B5" t="s">
        <v>68</v>
      </c>
      <c r="C5" s="3">
        <v>45062</v>
      </c>
      <c r="D5">
        <v>6013035</v>
      </c>
      <c r="E5">
        <v>151.06200000000001</v>
      </c>
      <c r="F5" t="s">
        <v>75</v>
      </c>
      <c r="G5" t="s">
        <v>76</v>
      </c>
      <c r="H5" t="s">
        <v>86</v>
      </c>
      <c r="I5" t="s">
        <v>87</v>
      </c>
    </row>
    <row r="6" spans="1:10" x14ac:dyDescent="0.3">
      <c r="A6">
        <v>5</v>
      </c>
      <c r="B6" t="s">
        <v>70</v>
      </c>
      <c r="C6" s="3">
        <v>45062</v>
      </c>
      <c r="D6">
        <v>6013047</v>
      </c>
      <c r="E6">
        <v>150.58199999999999</v>
      </c>
      <c r="F6" t="s">
        <v>78</v>
      </c>
      <c r="G6" t="s">
        <v>76</v>
      </c>
      <c r="H6" t="s">
        <v>88</v>
      </c>
      <c r="I6" t="s">
        <v>89</v>
      </c>
      <c r="J6" t="s">
        <v>190</v>
      </c>
    </row>
    <row r="7" spans="1:10" x14ac:dyDescent="0.3">
      <c r="A7">
        <v>6</v>
      </c>
      <c r="B7" t="s">
        <v>69</v>
      </c>
      <c r="C7" s="3">
        <v>45062</v>
      </c>
      <c r="D7">
        <v>6012380</v>
      </c>
      <c r="E7">
        <v>151.422</v>
      </c>
      <c r="F7" t="s">
        <v>77</v>
      </c>
      <c r="G7" t="s">
        <v>76</v>
      </c>
      <c r="H7" t="s">
        <v>90</v>
      </c>
      <c r="I7" t="s">
        <v>91</v>
      </c>
    </row>
    <row r="8" spans="1:10" x14ac:dyDescent="0.3">
      <c r="A8">
        <v>7</v>
      </c>
      <c r="B8" t="s">
        <v>101</v>
      </c>
      <c r="C8" s="3">
        <v>45062</v>
      </c>
      <c r="D8">
        <v>6019577</v>
      </c>
      <c r="E8">
        <v>151.46199999999999</v>
      </c>
      <c r="F8" t="s">
        <v>79</v>
      </c>
      <c r="G8" t="s">
        <v>76</v>
      </c>
      <c r="H8" t="s">
        <v>92</v>
      </c>
      <c r="I8" t="s">
        <v>93</v>
      </c>
      <c r="J8" t="s">
        <v>94</v>
      </c>
    </row>
    <row r="9" spans="1:10" x14ac:dyDescent="0.3">
      <c r="A9">
        <v>8</v>
      </c>
      <c r="B9" t="s">
        <v>72</v>
      </c>
      <c r="C9" s="3">
        <v>45062</v>
      </c>
      <c r="D9">
        <v>6012251</v>
      </c>
      <c r="E9">
        <v>149.78200000000001</v>
      </c>
      <c r="F9" t="s">
        <v>80</v>
      </c>
      <c r="G9" t="s">
        <v>76</v>
      </c>
      <c r="H9" t="s">
        <v>95</v>
      </c>
      <c r="I9" t="s">
        <v>96</v>
      </c>
    </row>
    <row r="10" spans="1:10" x14ac:dyDescent="0.3">
      <c r="A10">
        <v>9</v>
      </c>
      <c r="B10" t="s">
        <v>73</v>
      </c>
      <c r="C10" s="3">
        <v>45063</v>
      </c>
      <c r="D10">
        <v>6015967</v>
      </c>
      <c r="E10">
        <v>149.72</v>
      </c>
      <c r="F10" t="s">
        <v>81</v>
      </c>
      <c r="G10" t="s">
        <v>76</v>
      </c>
      <c r="H10" t="s">
        <v>97</v>
      </c>
      <c r="I10" t="s">
        <v>98</v>
      </c>
    </row>
    <row r="11" spans="1:10" x14ac:dyDescent="0.3">
      <c r="A11">
        <v>10</v>
      </c>
      <c r="B11" t="s">
        <v>74</v>
      </c>
      <c r="C11" s="3">
        <v>45063</v>
      </c>
      <c r="D11">
        <v>6012525</v>
      </c>
      <c r="E11">
        <v>151.44200000000001</v>
      </c>
      <c r="F11" t="s">
        <v>82</v>
      </c>
      <c r="G11" t="s">
        <v>76</v>
      </c>
      <c r="H11" t="s">
        <v>99</v>
      </c>
      <c r="I11" t="s">
        <v>100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3AE7-EE0C-4FEA-A00A-C95AB2559542}">
  <dimension ref="A1:F11"/>
  <sheetViews>
    <sheetView workbookViewId="0">
      <selection activeCell="F6" sqref="F6"/>
    </sheetView>
  </sheetViews>
  <sheetFormatPr defaultRowHeight="14.4" x14ac:dyDescent="0.3"/>
  <cols>
    <col min="1" max="1" width="12.77734375" bestFit="1" customWidth="1"/>
    <col min="2" max="2" width="12.77734375" customWidth="1"/>
    <col min="4" max="4" width="13.21875" bestFit="1" customWidth="1"/>
    <col min="5" max="5" width="13.21875" customWidth="1"/>
  </cols>
  <sheetData>
    <row r="1" spans="1:6" x14ac:dyDescent="0.3">
      <c r="A1" t="s">
        <v>175</v>
      </c>
      <c r="B1" t="s">
        <v>176</v>
      </c>
      <c r="C1" t="s">
        <v>0</v>
      </c>
      <c r="D1" t="s">
        <v>174</v>
      </c>
      <c r="E1" t="s">
        <v>47</v>
      </c>
      <c r="F1" t="s">
        <v>177</v>
      </c>
    </row>
    <row r="2" spans="1:6" x14ac:dyDescent="0.3">
      <c r="A2" s="3">
        <v>45064</v>
      </c>
      <c r="B2" s="4">
        <v>0</v>
      </c>
      <c r="C2" t="s">
        <v>73</v>
      </c>
      <c r="D2" t="s">
        <v>181</v>
      </c>
      <c r="E2" t="s">
        <v>186</v>
      </c>
      <c r="F2" t="s">
        <v>180</v>
      </c>
    </row>
    <row r="3" spans="1:6" x14ac:dyDescent="0.3">
      <c r="C3" t="s">
        <v>54</v>
      </c>
      <c r="D3" t="s">
        <v>183</v>
      </c>
      <c r="E3" t="s">
        <v>187</v>
      </c>
      <c r="F3" t="s">
        <v>178</v>
      </c>
    </row>
    <row r="4" spans="1:6" x14ac:dyDescent="0.3">
      <c r="C4" t="s">
        <v>59</v>
      </c>
      <c r="D4" t="s">
        <v>179</v>
      </c>
      <c r="E4" t="s">
        <v>187</v>
      </c>
      <c r="F4" t="s">
        <v>178</v>
      </c>
    </row>
    <row r="5" spans="1:6" x14ac:dyDescent="0.3">
      <c r="C5" t="s">
        <v>68</v>
      </c>
      <c r="D5" t="s">
        <v>181</v>
      </c>
      <c r="E5" t="s">
        <v>186</v>
      </c>
      <c r="F5" t="s">
        <v>178</v>
      </c>
    </row>
    <row r="6" spans="1:6" x14ac:dyDescent="0.3">
      <c r="C6" t="s">
        <v>70</v>
      </c>
      <c r="D6" t="s">
        <v>181</v>
      </c>
      <c r="E6" t="s">
        <v>186</v>
      </c>
      <c r="F6" t="s">
        <v>182</v>
      </c>
    </row>
    <row r="7" spans="1:6" x14ac:dyDescent="0.3">
      <c r="C7" t="s">
        <v>69</v>
      </c>
      <c r="D7" t="s">
        <v>184</v>
      </c>
      <c r="E7" t="s">
        <v>186</v>
      </c>
      <c r="F7" t="s">
        <v>178</v>
      </c>
    </row>
    <row r="8" spans="1:6" x14ac:dyDescent="0.3">
      <c r="C8" t="s">
        <v>71</v>
      </c>
      <c r="D8" t="s">
        <v>184</v>
      </c>
      <c r="E8" t="s">
        <v>186</v>
      </c>
      <c r="F8" t="s">
        <v>185</v>
      </c>
    </row>
    <row r="9" spans="1:6" x14ac:dyDescent="0.3">
      <c r="C9" t="s">
        <v>72</v>
      </c>
      <c r="D9" t="s">
        <v>188</v>
      </c>
      <c r="E9" t="s">
        <v>187</v>
      </c>
      <c r="F9" t="s">
        <v>178</v>
      </c>
    </row>
    <row r="10" spans="1:6" x14ac:dyDescent="0.3">
      <c r="C10" t="s">
        <v>52</v>
      </c>
      <c r="E10" t="s">
        <v>187</v>
      </c>
    </row>
    <row r="11" spans="1:6" x14ac:dyDescent="0.3">
      <c r="C11" t="s">
        <v>74</v>
      </c>
      <c r="D11" t="s">
        <v>189</v>
      </c>
      <c r="E11" t="s">
        <v>187</v>
      </c>
      <c r="F11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70D47-52C4-46F6-BF0F-6A39986C2227}">
  <dimension ref="A1:H19"/>
  <sheetViews>
    <sheetView workbookViewId="0">
      <selection activeCell="G16" sqref="G16"/>
    </sheetView>
  </sheetViews>
  <sheetFormatPr defaultRowHeight="14.4" x14ac:dyDescent="0.3"/>
  <cols>
    <col min="1" max="1" width="18" customWidth="1"/>
    <col min="2" max="2" width="18.21875" bestFit="1" customWidth="1"/>
    <col min="3" max="3" width="15.5546875" customWidth="1"/>
    <col min="4" max="4" width="20.21875" customWidth="1"/>
    <col min="5" max="5" width="17" customWidth="1"/>
    <col min="8" max="8" width="15.21875" customWidth="1"/>
  </cols>
  <sheetData>
    <row r="1" spans="1:8" x14ac:dyDescent="0.3">
      <c r="A1" s="7" t="s">
        <v>12</v>
      </c>
      <c r="B1" s="7"/>
      <c r="C1" s="7"/>
    </row>
    <row r="2" spans="1:8" x14ac:dyDescent="0.3">
      <c r="A2" s="1"/>
      <c r="B2" s="1"/>
      <c r="C2" s="1"/>
    </row>
    <row r="3" spans="1:8" x14ac:dyDescent="0.3">
      <c r="A3" s="1" t="s">
        <v>9</v>
      </c>
      <c r="C3" s="1" t="s">
        <v>11</v>
      </c>
      <c r="D3" s="1"/>
      <c r="E3" s="1"/>
      <c r="G3" s="1" t="s">
        <v>10</v>
      </c>
      <c r="H3" s="5" t="s">
        <v>57</v>
      </c>
    </row>
    <row r="4" spans="1:8" x14ac:dyDescent="0.3">
      <c r="A4">
        <v>6012970</v>
      </c>
      <c r="C4" s="1" t="s">
        <v>14</v>
      </c>
      <c r="D4" s="1" t="s">
        <v>15</v>
      </c>
      <c r="E4" s="1" t="s">
        <v>13</v>
      </c>
      <c r="G4">
        <v>151.06200000000001</v>
      </c>
      <c r="H4" s="2" t="s">
        <v>66</v>
      </c>
    </row>
    <row r="5" spans="1:8" x14ac:dyDescent="0.3">
      <c r="A5">
        <v>6021106</v>
      </c>
      <c r="C5" t="s">
        <v>16</v>
      </c>
      <c r="D5" t="s">
        <v>17</v>
      </c>
      <c r="E5" t="s">
        <v>18</v>
      </c>
      <c r="G5">
        <v>149.78200000000001</v>
      </c>
      <c r="H5" s="2" t="s">
        <v>66</v>
      </c>
    </row>
    <row r="6" spans="1:8" x14ac:dyDescent="0.3">
      <c r="A6">
        <v>6012968</v>
      </c>
      <c r="C6" t="s">
        <v>16</v>
      </c>
      <c r="D6" t="s">
        <v>19</v>
      </c>
      <c r="E6" t="s">
        <v>20</v>
      </c>
      <c r="G6">
        <v>150.58199999999999</v>
      </c>
      <c r="H6" s="2" t="s">
        <v>66</v>
      </c>
    </row>
    <row r="7" spans="1:8" x14ac:dyDescent="0.3">
      <c r="A7">
        <v>6012719</v>
      </c>
      <c r="C7" t="s">
        <v>16</v>
      </c>
      <c r="D7" t="s">
        <v>21</v>
      </c>
      <c r="E7" t="s">
        <v>22</v>
      </c>
      <c r="G7">
        <v>151.422</v>
      </c>
      <c r="H7" s="2" t="s">
        <v>66</v>
      </c>
    </row>
    <row r="8" spans="1:8" x14ac:dyDescent="0.3">
      <c r="A8">
        <v>6012407</v>
      </c>
      <c r="C8" t="s">
        <v>16</v>
      </c>
      <c r="D8" t="s">
        <v>23</v>
      </c>
      <c r="E8" t="s">
        <v>24</v>
      </c>
      <c r="G8">
        <v>151.46199999999999</v>
      </c>
      <c r="H8" s="2" t="s">
        <v>66</v>
      </c>
    </row>
    <row r="9" spans="1:8" x14ac:dyDescent="0.3">
      <c r="A9">
        <v>6016945</v>
      </c>
      <c r="C9" t="s">
        <v>16</v>
      </c>
      <c r="D9" t="s">
        <v>26</v>
      </c>
      <c r="E9" t="s">
        <v>25</v>
      </c>
      <c r="G9">
        <v>149.72</v>
      </c>
      <c r="H9" s="2" t="s">
        <v>66</v>
      </c>
    </row>
    <row r="10" spans="1:8" x14ac:dyDescent="0.3">
      <c r="A10">
        <v>6013035</v>
      </c>
      <c r="C10" t="s">
        <v>16</v>
      </c>
      <c r="D10" t="s">
        <v>27</v>
      </c>
      <c r="E10" t="s">
        <v>28</v>
      </c>
      <c r="G10">
        <v>151.44200000000001</v>
      </c>
      <c r="H10" s="2" t="s">
        <v>66</v>
      </c>
    </row>
    <row r="11" spans="1:8" x14ac:dyDescent="0.3">
      <c r="A11">
        <v>6013047</v>
      </c>
      <c r="C11" t="s">
        <v>16</v>
      </c>
      <c r="D11" t="s">
        <v>29</v>
      </c>
      <c r="E11" t="s">
        <v>30</v>
      </c>
      <c r="G11">
        <v>151.52199999999999</v>
      </c>
      <c r="H11" s="2" t="s">
        <v>67</v>
      </c>
    </row>
    <row r="12" spans="1:8" x14ac:dyDescent="0.3">
      <c r="A12">
        <v>6020082</v>
      </c>
      <c r="C12" t="s">
        <v>16</v>
      </c>
      <c r="D12" t="s">
        <v>31</v>
      </c>
      <c r="E12" t="s">
        <v>32</v>
      </c>
      <c r="G12">
        <v>150.46199999999999</v>
      </c>
      <c r="H12" s="2" t="s">
        <v>67</v>
      </c>
    </row>
    <row r="13" spans="1:8" x14ac:dyDescent="0.3">
      <c r="A13">
        <v>6020882</v>
      </c>
      <c r="C13" t="s">
        <v>16</v>
      </c>
      <c r="D13" t="s">
        <v>33</v>
      </c>
      <c r="E13" t="s">
        <v>34</v>
      </c>
      <c r="G13">
        <v>149.352</v>
      </c>
      <c r="H13" s="2" t="s">
        <v>67</v>
      </c>
    </row>
    <row r="14" spans="1:8" x14ac:dyDescent="0.3">
      <c r="A14">
        <v>6015967</v>
      </c>
      <c r="C14" t="s">
        <v>16</v>
      </c>
      <c r="D14" t="s">
        <v>35</v>
      </c>
      <c r="E14" t="s">
        <v>36</v>
      </c>
    </row>
    <row r="15" spans="1:8" x14ac:dyDescent="0.3">
      <c r="A15">
        <v>6012380</v>
      </c>
      <c r="C15" t="s">
        <v>16</v>
      </c>
      <c r="D15" t="s">
        <v>37</v>
      </c>
      <c r="E15" t="s">
        <v>38</v>
      </c>
    </row>
    <row r="16" spans="1:8" x14ac:dyDescent="0.3">
      <c r="A16">
        <v>6012251</v>
      </c>
      <c r="C16" t="s">
        <v>16</v>
      </c>
      <c r="D16" t="s">
        <v>39</v>
      </c>
      <c r="E16" t="s">
        <v>40</v>
      </c>
    </row>
    <row r="17" spans="1:5" x14ac:dyDescent="0.3">
      <c r="A17">
        <v>6019577</v>
      </c>
      <c r="C17" t="s">
        <v>16</v>
      </c>
      <c r="D17" t="s">
        <v>41</v>
      </c>
      <c r="E17" t="s">
        <v>42</v>
      </c>
    </row>
    <row r="18" spans="1:5" x14ac:dyDescent="0.3">
      <c r="A18">
        <v>6012433</v>
      </c>
      <c r="C18" t="s">
        <v>16</v>
      </c>
      <c r="D18" t="s">
        <v>43</v>
      </c>
      <c r="E18" t="s">
        <v>44</v>
      </c>
    </row>
    <row r="19" spans="1:5" x14ac:dyDescent="0.3">
      <c r="A19">
        <v>6012525</v>
      </c>
      <c r="C19" t="s">
        <v>16</v>
      </c>
      <c r="D19" t="s">
        <v>45</v>
      </c>
      <c r="E19" t="s">
        <v>46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4171-F4DD-4EB6-A299-A0D36114BF8A}">
  <dimension ref="A1:D11"/>
  <sheetViews>
    <sheetView tabSelected="1" workbookViewId="0">
      <selection activeCell="D9" sqref="A1:D11"/>
    </sheetView>
  </sheetViews>
  <sheetFormatPr defaultRowHeight="14.4" x14ac:dyDescent="0.3"/>
  <sheetData>
    <row r="1" spans="1:4" x14ac:dyDescent="0.3">
      <c r="A1" s="1" t="s">
        <v>1</v>
      </c>
      <c r="B1" s="1" t="s">
        <v>3</v>
      </c>
      <c r="C1" s="1" t="s">
        <v>4</v>
      </c>
      <c r="D1" s="1" t="s">
        <v>103</v>
      </c>
    </row>
    <row r="2" spans="1:4" x14ac:dyDescent="0.3">
      <c r="A2" t="s">
        <v>68</v>
      </c>
      <c r="B2" t="s">
        <v>49</v>
      </c>
      <c r="C2" s="8" t="s">
        <v>129</v>
      </c>
      <c r="D2" s="8">
        <v>3.9849999999999999</v>
      </c>
    </row>
    <row r="3" spans="1:4" x14ac:dyDescent="0.3">
      <c r="A3" t="s">
        <v>69</v>
      </c>
      <c r="B3" t="s">
        <v>49</v>
      </c>
      <c r="C3" t="s">
        <v>129</v>
      </c>
      <c r="D3">
        <v>5.61</v>
      </c>
    </row>
    <row r="4" spans="1:4" x14ac:dyDescent="0.3">
      <c r="A4" t="s">
        <v>52</v>
      </c>
      <c r="B4" t="s">
        <v>49</v>
      </c>
      <c r="C4" t="s">
        <v>129</v>
      </c>
      <c r="D4">
        <v>6.23</v>
      </c>
    </row>
    <row r="5" spans="1:4" x14ac:dyDescent="0.3">
      <c r="A5" t="s">
        <v>71</v>
      </c>
      <c r="B5" t="s">
        <v>58</v>
      </c>
      <c r="C5" t="s">
        <v>129</v>
      </c>
      <c r="D5">
        <v>6.98</v>
      </c>
    </row>
    <row r="6" spans="1:4" x14ac:dyDescent="0.3">
      <c r="A6" t="s">
        <v>73</v>
      </c>
      <c r="B6" t="s">
        <v>58</v>
      </c>
      <c r="C6" t="s">
        <v>129</v>
      </c>
      <c r="D6">
        <v>7.11</v>
      </c>
    </row>
    <row r="7" spans="1:4" x14ac:dyDescent="0.3">
      <c r="A7" t="s">
        <v>74</v>
      </c>
      <c r="B7" t="s">
        <v>58</v>
      </c>
      <c r="C7" t="s">
        <v>129</v>
      </c>
      <c r="D7">
        <v>7.3449999999999998</v>
      </c>
    </row>
    <row r="8" spans="1:4" x14ac:dyDescent="0.3">
      <c r="A8" t="s">
        <v>72</v>
      </c>
      <c r="B8" t="s">
        <v>49</v>
      </c>
      <c r="C8" t="s">
        <v>129</v>
      </c>
      <c r="D8">
        <v>7.3550000000000004</v>
      </c>
    </row>
    <row r="9" spans="1:4" x14ac:dyDescent="0.3">
      <c r="A9" t="s">
        <v>54</v>
      </c>
      <c r="B9" t="s">
        <v>58</v>
      </c>
      <c r="C9" t="s">
        <v>129</v>
      </c>
      <c r="D9">
        <v>7.4050000000000002</v>
      </c>
    </row>
    <row r="10" spans="1:4" x14ac:dyDescent="0.3">
      <c r="A10" t="s">
        <v>59</v>
      </c>
      <c r="B10" t="s">
        <v>58</v>
      </c>
      <c r="C10" t="s">
        <v>129</v>
      </c>
      <c r="D10">
        <v>7.9</v>
      </c>
    </row>
    <row r="11" spans="1:4" x14ac:dyDescent="0.3">
      <c r="A11" t="s">
        <v>70</v>
      </c>
      <c r="B11" t="s">
        <v>58</v>
      </c>
      <c r="C11" t="s">
        <v>129</v>
      </c>
      <c r="D11">
        <v>8.5</v>
      </c>
    </row>
  </sheetData>
  <sortState xmlns:xlrd2="http://schemas.microsoft.com/office/spreadsheetml/2017/richdata2" ref="A2:D13">
    <sortCondition ref="D1:D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Koala Measures</vt:lpstr>
      <vt:lpstr>Accel Times</vt:lpstr>
      <vt:lpstr>GPS Data Summary</vt:lpstr>
      <vt:lpstr>Sheet4</vt:lpstr>
      <vt:lpstr>Sheet1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Gabriella Sparkes</dc:creator>
  <cp:lastModifiedBy>Gabriella Sparkes</cp:lastModifiedBy>
  <dcterms:created xsi:type="dcterms:W3CDTF">2023-05-08T02:31:03Z</dcterms:created>
  <dcterms:modified xsi:type="dcterms:W3CDTF">2025-10-30T01:02:02Z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2023-05-08T02:31:03Z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c1a9a142-5efb-4777-af4f-1ce5dc38c2d3</vt:lpwstr>
  </property>
  <property fmtid="{D5CDD505-2E9C-101B-9397-08002B2CF9AE}" pid="8" name="MSIP_Label_0f488380-630a-4f55-a077-a19445e3f360_ContentBits">
    <vt:lpwstr>0</vt:lpwstr>
  </property>
</Properties>
</file>