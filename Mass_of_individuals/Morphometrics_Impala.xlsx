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frica\"/>
    </mc:Choice>
  </mc:AlternateContent>
  <xr:revisionPtr revIDLastSave="0" documentId="13_ncr:1_{4F88FDF9-CD04-4B5B-B6E5-C5925880F8C4}" xr6:coauthVersionLast="47" xr6:coauthVersionMax="47" xr10:uidLastSave="{00000000-0000-0000-0000-000000000000}"/>
  <bookViews>
    <workbookView xWindow="-110" yWindow="-110" windowWidth="19420" windowHeight="10420" xr2:uid="{3B1772AE-24DF-4681-AE83-51C9D1B68D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15" i="1"/>
  <c r="F6" i="1"/>
  <c r="F16" i="1"/>
  <c r="F13" i="1"/>
  <c r="F12" i="1"/>
  <c r="F9" i="1"/>
  <c r="F8" i="1"/>
  <c r="F7" i="1"/>
  <c r="F3" i="1"/>
  <c r="F2" i="1"/>
</calcChain>
</file>

<file path=xl/sharedStrings.xml><?xml version="1.0" encoding="utf-8"?>
<sst xmlns="http://schemas.openxmlformats.org/spreadsheetml/2006/main" count="123" uniqueCount="59">
  <si>
    <t>Femur</t>
  </si>
  <si>
    <t>Tibia</t>
  </si>
  <si>
    <t>Hindlimb</t>
  </si>
  <si>
    <t>F</t>
  </si>
  <si>
    <t>T</t>
  </si>
  <si>
    <t>M</t>
  </si>
  <si>
    <t>P</t>
  </si>
  <si>
    <t>FC</t>
  </si>
  <si>
    <t>TC</t>
  </si>
  <si>
    <t>MC</t>
  </si>
  <si>
    <t>PC</t>
  </si>
  <si>
    <t>Forelimb</t>
  </si>
  <si>
    <t>Crown-Rump</t>
  </si>
  <si>
    <t>Tail-Hip</t>
  </si>
  <si>
    <t>Shoulder-Chest</t>
  </si>
  <si>
    <t>Shoulder-BaseHead</t>
  </si>
  <si>
    <t>Head-Mouth</t>
  </si>
  <si>
    <t>Total Length</t>
  </si>
  <si>
    <t>Neck Circum</t>
  </si>
  <si>
    <t>Torso Circum</t>
  </si>
  <si>
    <t>Sex</t>
  </si>
  <si>
    <t>Collar</t>
  </si>
  <si>
    <t>Location</t>
  </si>
  <si>
    <t>Mjejane</t>
  </si>
  <si>
    <t>Male</t>
  </si>
  <si>
    <t>Mass (-5.13)</t>
  </si>
  <si>
    <t>Right</t>
  </si>
  <si>
    <t>RC</t>
  </si>
  <si>
    <t>R</t>
  </si>
  <si>
    <t>Hip-Shoulder</t>
  </si>
  <si>
    <t>H</t>
  </si>
  <si>
    <t>HC</t>
  </si>
  <si>
    <t>Left</t>
  </si>
  <si>
    <t>Female</t>
  </si>
  <si>
    <t xml:space="preserve">KEY - </t>
  </si>
  <si>
    <t>Mjej-Carn (Tenbosh)</t>
  </si>
  <si>
    <t>Metatarsals</t>
  </si>
  <si>
    <t>Phalanges</t>
  </si>
  <si>
    <t>Femur Circumference</t>
  </si>
  <si>
    <t>Tibia Circumference</t>
  </si>
  <si>
    <t>Metatarsal Circumference</t>
  </si>
  <si>
    <t>Phalanges Circumference</t>
  </si>
  <si>
    <t>Humerus</t>
  </si>
  <si>
    <t>Radius</t>
  </si>
  <si>
    <t>Humerus Circumference</t>
  </si>
  <si>
    <t>Radius Circumference</t>
  </si>
  <si>
    <t>Pullen (Vet tree)</t>
  </si>
  <si>
    <t>Pullen (Ridge)</t>
  </si>
  <si>
    <t>Time</t>
  </si>
  <si>
    <t>Notes</t>
  </si>
  <si>
    <t>Body weight taken without collar</t>
  </si>
  <si>
    <t>Age</t>
  </si>
  <si>
    <t>Stab Wound</t>
  </si>
  <si>
    <t>Houdini - Struggled to find for a while</t>
  </si>
  <si>
    <t>TenBosh</t>
  </si>
  <si>
    <t>Tenbosh</t>
  </si>
  <si>
    <t>Horn</t>
  </si>
  <si>
    <t>59 (23.5inch)</t>
  </si>
  <si>
    <t>38.8 (15.3inch)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</si>
</sst>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20" fontId="0" fillId="0" borderId="0" xfId="0" applyNumberFormat="1"/>
    <xf numFmtId="20" fontId="0" fillId="2" borderId="0" xfId="0" applyNumberFormat="1" applyFill="1"/>
    <xf numFmtId="1" fontId="0" fillId="0" borderId="0" xfId="0" applyNumberFormat="1"/>
    <xf numFmtId="0" fontId="0" fillId="0" borderId="0" xfId="0" applyFill="1"/>
    <xf numFmtId="20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82965-37A5-4B9B-BC22-7A9B68DD9E45}">
  <dimension ref="A1:AI31"/>
  <sheetViews>
    <sheetView tabSelected="1" workbookViewId="0">
      <pane xSplit="1" topLeftCell="B1" activePane="topRight" state="frozen"/>
      <selection pane="topRight" activeCell="H14" sqref="H14"/>
    </sheetView>
  </sheetViews>
  <sheetFormatPr defaultRowHeight="14.5" x14ac:dyDescent="0.35"/>
  <cols>
    <col min="35" max="35" width="27.453125" customWidth="1"/>
  </cols>
  <sheetData>
    <row r="1" spans="1:35" x14ac:dyDescent="0.35">
      <c r="A1" s="3" t="s">
        <v>21</v>
      </c>
      <c r="B1" s="3" t="s">
        <v>22</v>
      </c>
      <c r="C1" s="3" t="s">
        <v>20</v>
      </c>
      <c r="D1" s="3" t="s">
        <v>51</v>
      </c>
      <c r="E1" s="3" t="s">
        <v>48</v>
      </c>
      <c r="F1" s="3" t="s">
        <v>25</v>
      </c>
      <c r="G1" s="3" t="s">
        <v>56</v>
      </c>
      <c r="H1" s="4" t="s">
        <v>2</v>
      </c>
      <c r="I1" s="5" t="s">
        <v>3</v>
      </c>
      <c r="J1" s="5" t="s">
        <v>4</v>
      </c>
      <c r="K1" s="5" t="s">
        <v>5</v>
      </c>
      <c r="L1" s="5" t="s">
        <v>6</v>
      </c>
      <c r="M1" s="6" t="s">
        <v>7</v>
      </c>
      <c r="N1" s="6" t="s">
        <v>8</v>
      </c>
      <c r="O1" s="6" t="s">
        <v>9</v>
      </c>
      <c r="P1" s="6" t="s">
        <v>10</v>
      </c>
      <c r="Q1" s="4" t="s">
        <v>11</v>
      </c>
      <c r="R1" s="5" t="s">
        <v>30</v>
      </c>
      <c r="S1" s="5" t="s">
        <v>28</v>
      </c>
      <c r="T1" s="5" t="s">
        <v>5</v>
      </c>
      <c r="U1" s="5" t="s">
        <v>6</v>
      </c>
      <c r="V1" s="6" t="s">
        <v>31</v>
      </c>
      <c r="W1" s="6" t="s">
        <v>27</v>
      </c>
      <c r="X1" s="6" t="s">
        <v>9</v>
      </c>
      <c r="Y1" s="6" t="s">
        <v>10</v>
      </c>
      <c r="Z1" s="7" t="s">
        <v>12</v>
      </c>
      <c r="AA1" s="7" t="s">
        <v>13</v>
      </c>
      <c r="AB1" s="7" t="s">
        <v>29</v>
      </c>
      <c r="AC1" s="7" t="s">
        <v>14</v>
      </c>
      <c r="AD1" s="7" t="s">
        <v>15</v>
      </c>
      <c r="AE1" s="7" t="s">
        <v>16</v>
      </c>
      <c r="AF1" s="7" t="s">
        <v>17</v>
      </c>
      <c r="AG1" s="7" t="s">
        <v>18</v>
      </c>
      <c r="AH1" s="7" t="s">
        <v>19</v>
      </c>
      <c r="AI1" s="7" t="s">
        <v>49</v>
      </c>
    </row>
    <row r="2" spans="1:35" x14ac:dyDescent="0.35">
      <c r="A2">
        <v>1</v>
      </c>
      <c r="B2" t="s">
        <v>23</v>
      </c>
      <c r="C2" t="s">
        <v>24</v>
      </c>
      <c r="D2">
        <v>2</v>
      </c>
      <c r="E2" s="9">
        <v>0.5180555555555556</v>
      </c>
      <c r="F2">
        <f>SUM(62.8-5.13)</f>
        <v>57.669999999999995</v>
      </c>
      <c r="H2" t="s">
        <v>26</v>
      </c>
      <c r="I2">
        <v>24.5</v>
      </c>
      <c r="J2">
        <v>31</v>
      </c>
      <c r="K2">
        <v>25.5</v>
      </c>
      <c r="L2">
        <v>10</v>
      </c>
      <c r="M2">
        <v>59.5</v>
      </c>
      <c r="N2">
        <v>18</v>
      </c>
      <c r="O2">
        <v>10</v>
      </c>
      <c r="P2">
        <v>10.5</v>
      </c>
      <c r="Q2" t="s">
        <v>26</v>
      </c>
      <c r="R2">
        <v>21</v>
      </c>
      <c r="S2">
        <v>25</v>
      </c>
      <c r="T2">
        <v>23</v>
      </c>
      <c r="U2">
        <v>9</v>
      </c>
      <c r="V2">
        <v>39.5</v>
      </c>
      <c r="W2">
        <v>18.5</v>
      </c>
      <c r="X2">
        <v>9</v>
      </c>
      <c r="Y2">
        <v>10.5</v>
      </c>
      <c r="Z2">
        <v>145</v>
      </c>
      <c r="AA2">
        <v>14</v>
      </c>
      <c r="AB2">
        <v>64</v>
      </c>
      <c r="AC2">
        <v>19</v>
      </c>
      <c r="AD2">
        <v>36</v>
      </c>
      <c r="AE2">
        <v>27</v>
      </c>
      <c r="AF2">
        <v>132</v>
      </c>
      <c r="AG2">
        <v>47</v>
      </c>
      <c r="AH2">
        <v>98</v>
      </c>
      <c r="AI2" t="s">
        <v>50</v>
      </c>
    </row>
    <row r="3" spans="1:35" x14ac:dyDescent="0.35">
      <c r="A3">
        <v>2</v>
      </c>
      <c r="B3" t="s">
        <v>23</v>
      </c>
      <c r="C3" t="s">
        <v>24</v>
      </c>
      <c r="E3" s="9">
        <v>6.25E-2</v>
      </c>
      <c r="F3">
        <f>SUM(69-5.13)</f>
        <v>63.87</v>
      </c>
      <c r="H3" t="s">
        <v>26</v>
      </c>
      <c r="I3">
        <v>26</v>
      </c>
      <c r="J3">
        <v>35</v>
      </c>
      <c r="K3">
        <v>27</v>
      </c>
      <c r="L3">
        <v>9</v>
      </c>
      <c r="M3">
        <v>68</v>
      </c>
      <c r="N3">
        <v>15</v>
      </c>
      <c r="O3">
        <v>10</v>
      </c>
      <c r="P3">
        <v>11</v>
      </c>
      <c r="Q3" t="s">
        <v>26</v>
      </c>
      <c r="R3">
        <v>23</v>
      </c>
      <c r="S3">
        <v>28</v>
      </c>
      <c r="T3">
        <v>25</v>
      </c>
      <c r="U3">
        <v>11</v>
      </c>
      <c r="V3">
        <v>37</v>
      </c>
      <c r="W3">
        <v>20</v>
      </c>
      <c r="X3">
        <v>9</v>
      </c>
      <c r="Y3">
        <v>10.5</v>
      </c>
      <c r="Z3">
        <v>150</v>
      </c>
      <c r="AA3">
        <v>16.5</v>
      </c>
      <c r="AB3">
        <v>66</v>
      </c>
      <c r="AC3">
        <v>16</v>
      </c>
      <c r="AD3">
        <v>37</v>
      </c>
      <c r="AE3">
        <v>34</v>
      </c>
      <c r="AF3">
        <v>139</v>
      </c>
      <c r="AG3">
        <v>44</v>
      </c>
      <c r="AH3">
        <v>93.5</v>
      </c>
      <c r="AI3" t="s">
        <v>52</v>
      </c>
    </row>
    <row r="4" spans="1:35" s="12" customFormat="1" x14ac:dyDescent="0.35">
      <c r="A4" s="12">
        <v>3</v>
      </c>
      <c r="B4" s="12" t="s">
        <v>55</v>
      </c>
      <c r="C4" s="12" t="s">
        <v>33</v>
      </c>
      <c r="D4" s="12">
        <v>3</v>
      </c>
      <c r="E4" s="13">
        <v>0.48472222222222222</v>
      </c>
      <c r="F4" s="12">
        <f>SUM(47.2-5.13)</f>
        <v>42.07</v>
      </c>
      <c r="H4" s="12" t="s">
        <v>26</v>
      </c>
      <c r="I4" s="12">
        <v>26</v>
      </c>
      <c r="J4" s="12">
        <v>23.5</v>
      </c>
      <c r="K4" s="12">
        <v>24</v>
      </c>
      <c r="L4" s="12">
        <v>10</v>
      </c>
      <c r="M4" s="12">
        <v>58.5</v>
      </c>
      <c r="N4" s="12">
        <v>9</v>
      </c>
      <c r="O4" s="12">
        <v>9</v>
      </c>
      <c r="P4" s="12">
        <v>9</v>
      </c>
      <c r="Q4" s="12" t="s">
        <v>26</v>
      </c>
      <c r="R4" s="12">
        <v>21.5</v>
      </c>
      <c r="S4" s="12">
        <v>27</v>
      </c>
      <c r="T4" s="12">
        <v>22</v>
      </c>
      <c r="U4" s="12">
        <v>10</v>
      </c>
      <c r="V4" s="12">
        <v>34.5</v>
      </c>
      <c r="W4" s="12">
        <v>18</v>
      </c>
      <c r="X4" s="12">
        <v>8</v>
      </c>
      <c r="Y4" s="12">
        <v>9.5</v>
      </c>
      <c r="Z4" s="12">
        <v>138.5</v>
      </c>
      <c r="AA4" s="12">
        <v>15</v>
      </c>
      <c r="AB4" s="12">
        <v>69</v>
      </c>
      <c r="AC4" s="12">
        <v>12</v>
      </c>
      <c r="AD4" s="12">
        <v>34.5</v>
      </c>
      <c r="AE4" s="12">
        <v>28.5</v>
      </c>
      <c r="AF4" s="12">
        <v>118</v>
      </c>
      <c r="AG4" s="12">
        <v>29</v>
      </c>
      <c r="AH4" s="12">
        <v>89.5</v>
      </c>
    </row>
    <row r="5" spans="1:35" x14ac:dyDescent="0.35">
      <c r="A5">
        <v>4</v>
      </c>
      <c r="B5" t="s">
        <v>55</v>
      </c>
      <c r="C5" t="s">
        <v>24</v>
      </c>
      <c r="E5" s="9">
        <v>0.4284722222222222</v>
      </c>
      <c r="F5">
        <f>SUM(63.1-5.13)</f>
        <v>57.97</v>
      </c>
      <c r="G5" t="s">
        <v>57</v>
      </c>
      <c r="H5" t="s">
        <v>26</v>
      </c>
      <c r="I5">
        <v>28</v>
      </c>
      <c r="J5">
        <v>32</v>
      </c>
      <c r="K5">
        <v>24</v>
      </c>
      <c r="L5">
        <v>10</v>
      </c>
      <c r="M5">
        <v>60</v>
      </c>
      <c r="N5">
        <v>17</v>
      </c>
      <c r="O5">
        <v>11</v>
      </c>
      <c r="P5">
        <v>10</v>
      </c>
      <c r="Q5" t="s">
        <v>26</v>
      </c>
      <c r="R5">
        <v>24</v>
      </c>
      <c r="S5">
        <v>26.5</v>
      </c>
      <c r="T5">
        <v>22</v>
      </c>
      <c r="U5">
        <v>9</v>
      </c>
      <c r="V5">
        <v>33</v>
      </c>
      <c r="W5">
        <v>20</v>
      </c>
      <c r="X5">
        <v>9</v>
      </c>
      <c r="Y5">
        <v>9</v>
      </c>
      <c r="Z5">
        <v>148</v>
      </c>
      <c r="AA5">
        <v>12</v>
      </c>
      <c r="AB5">
        <v>70.5</v>
      </c>
      <c r="AC5">
        <v>15</v>
      </c>
      <c r="AD5">
        <v>38</v>
      </c>
      <c r="AE5">
        <v>28</v>
      </c>
      <c r="AF5">
        <v>120</v>
      </c>
      <c r="AG5">
        <v>49.5</v>
      </c>
      <c r="AH5">
        <v>86.5</v>
      </c>
    </row>
    <row r="6" spans="1:35" x14ac:dyDescent="0.35">
      <c r="A6">
        <v>5</v>
      </c>
      <c r="B6" t="s">
        <v>55</v>
      </c>
      <c r="C6" t="s">
        <v>24</v>
      </c>
      <c r="D6" s="11">
        <v>3</v>
      </c>
      <c r="E6" s="9">
        <v>0.46388888888888885</v>
      </c>
      <c r="F6">
        <f>SUM(58.6-5.13)</f>
        <v>53.47</v>
      </c>
      <c r="G6" t="s">
        <v>58</v>
      </c>
      <c r="H6" t="s">
        <v>26</v>
      </c>
      <c r="I6">
        <v>30.5</v>
      </c>
      <c r="J6">
        <v>33.5</v>
      </c>
      <c r="K6">
        <v>26</v>
      </c>
      <c r="L6">
        <v>11</v>
      </c>
      <c r="M6">
        <v>60.5</v>
      </c>
      <c r="N6">
        <v>19</v>
      </c>
      <c r="O6">
        <v>9.5</v>
      </c>
      <c r="P6">
        <v>10.5</v>
      </c>
      <c r="Q6" t="s">
        <v>26</v>
      </c>
      <c r="R6">
        <v>23</v>
      </c>
      <c r="S6">
        <v>26.5</v>
      </c>
      <c r="T6">
        <v>23</v>
      </c>
      <c r="U6">
        <v>9.5</v>
      </c>
      <c r="V6">
        <v>33.5</v>
      </c>
      <c r="W6">
        <v>20.5</v>
      </c>
      <c r="X6">
        <v>9</v>
      </c>
      <c r="Y6">
        <v>10</v>
      </c>
      <c r="Z6">
        <v>134</v>
      </c>
      <c r="AA6">
        <v>12.5</v>
      </c>
      <c r="AB6">
        <v>66</v>
      </c>
      <c r="AC6">
        <v>12</v>
      </c>
      <c r="AD6">
        <v>39</v>
      </c>
      <c r="AE6">
        <v>28</v>
      </c>
      <c r="AF6">
        <v>109</v>
      </c>
      <c r="AG6">
        <v>39</v>
      </c>
      <c r="AH6">
        <v>86.5</v>
      </c>
    </row>
    <row r="7" spans="1:35" x14ac:dyDescent="0.35">
      <c r="A7">
        <v>6</v>
      </c>
      <c r="B7" t="s">
        <v>23</v>
      </c>
      <c r="C7" t="s">
        <v>24</v>
      </c>
      <c r="E7" s="9">
        <v>0.42222222222222222</v>
      </c>
      <c r="F7">
        <f>SUM(69.4-5.13)</f>
        <v>64.27000000000001</v>
      </c>
      <c r="H7" t="s">
        <v>32</v>
      </c>
      <c r="I7">
        <v>24</v>
      </c>
      <c r="J7">
        <v>40</v>
      </c>
      <c r="K7">
        <v>33</v>
      </c>
      <c r="L7">
        <v>10</v>
      </c>
      <c r="M7">
        <v>58</v>
      </c>
      <c r="N7">
        <v>15</v>
      </c>
      <c r="O7">
        <v>10</v>
      </c>
      <c r="P7">
        <v>11.5</v>
      </c>
      <c r="Q7" t="s">
        <v>32</v>
      </c>
      <c r="R7">
        <v>22</v>
      </c>
      <c r="S7">
        <v>26</v>
      </c>
      <c r="T7">
        <v>24</v>
      </c>
      <c r="U7">
        <v>11</v>
      </c>
      <c r="V7">
        <v>35</v>
      </c>
      <c r="W7">
        <v>20</v>
      </c>
      <c r="X7">
        <v>9</v>
      </c>
      <c r="Y7">
        <v>10</v>
      </c>
      <c r="Z7">
        <v>150</v>
      </c>
      <c r="AA7">
        <v>19</v>
      </c>
      <c r="AB7">
        <v>60</v>
      </c>
      <c r="AC7">
        <v>20</v>
      </c>
      <c r="AD7">
        <v>43</v>
      </c>
      <c r="AE7">
        <v>31</v>
      </c>
      <c r="AF7">
        <v>151</v>
      </c>
      <c r="AG7">
        <v>45</v>
      </c>
      <c r="AH7">
        <v>89</v>
      </c>
    </row>
    <row r="8" spans="1:35" x14ac:dyDescent="0.35">
      <c r="A8">
        <v>7</v>
      </c>
      <c r="B8" t="s">
        <v>23</v>
      </c>
      <c r="C8" t="s">
        <v>33</v>
      </c>
      <c r="E8" s="9">
        <v>0.4597222222222222</v>
      </c>
      <c r="F8">
        <f>SUM(39.6-5.13)</f>
        <v>34.47</v>
      </c>
      <c r="H8" t="s">
        <v>26</v>
      </c>
      <c r="I8">
        <v>24</v>
      </c>
      <c r="J8">
        <v>34</v>
      </c>
      <c r="K8">
        <v>25</v>
      </c>
      <c r="L8">
        <v>9</v>
      </c>
      <c r="M8">
        <v>51.5</v>
      </c>
      <c r="N8">
        <v>18</v>
      </c>
      <c r="O8">
        <v>9</v>
      </c>
      <c r="P8">
        <v>9.5</v>
      </c>
      <c r="Q8" t="s">
        <v>26</v>
      </c>
      <c r="R8">
        <v>19</v>
      </c>
      <c r="S8">
        <v>25</v>
      </c>
      <c r="T8">
        <v>22.5</v>
      </c>
      <c r="U8">
        <v>8</v>
      </c>
      <c r="V8">
        <v>28.5</v>
      </c>
      <c r="W8">
        <v>16</v>
      </c>
      <c r="X8">
        <v>8</v>
      </c>
      <c r="Y8">
        <v>8.8000000000000007</v>
      </c>
      <c r="Z8">
        <v>129</v>
      </c>
      <c r="AA8">
        <v>14</v>
      </c>
      <c r="AB8">
        <v>60</v>
      </c>
      <c r="AC8">
        <v>13</v>
      </c>
      <c r="AD8">
        <v>36</v>
      </c>
      <c r="AE8">
        <v>27</v>
      </c>
      <c r="AF8">
        <v>117</v>
      </c>
      <c r="AG8">
        <v>27.5</v>
      </c>
      <c r="AH8">
        <v>78</v>
      </c>
    </row>
    <row r="9" spans="1:35" x14ac:dyDescent="0.35">
      <c r="A9">
        <v>8</v>
      </c>
      <c r="B9" t="s">
        <v>23</v>
      </c>
      <c r="C9" t="s">
        <v>24</v>
      </c>
      <c r="E9" s="9">
        <v>0.50624999999999998</v>
      </c>
      <c r="F9">
        <f>SUM(58.3-5.13)</f>
        <v>53.169999999999995</v>
      </c>
      <c r="H9" t="s">
        <v>32</v>
      </c>
      <c r="I9">
        <v>26</v>
      </c>
      <c r="J9">
        <v>34</v>
      </c>
      <c r="K9">
        <v>28</v>
      </c>
      <c r="L9">
        <v>10</v>
      </c>
      <c r="M9">
        <v>54.5</v>
      </c>
      <c r="N9">
        <v>15</v>
      </c>
      <c r="O9">
        <v>10</v>
      </c>
      <c r="P9">
        <v>10</v>
      </c>
      <c r="Q9" t="s">
        <v>32</v>
      </c>
      <c r="R9">
        <v>22</v>
      </c>
      <c r="S9">
        <v>28</v>
      </c>
      <c r="T9">
        <v>24</v>
      </c>
      <c r="U9">
        <v>10</v>
      </c>
      <c r="V9">
        <v>36</v>
      </c>
      <c r="W9">
        <v>16.5</v>
      </c>
      <c r="X9">
        <v>8.5</v>
      </c>
      <c r="Y9">
        <v>10</v>
      </c>
      <c r="Z9">
        <v>142</v>
      </c>
      <c r="AA9">
        <v>15</v>
      </c>
      <c r="AB9">
        <v>68</v>
      </c>
      <c r="AC9">
        <v>14</v>
      </c>
      <c r="AD9">
        <v>30</v>
      </c>
      <c r="AE9">
        <v>26</v>
      </c>
      <c r="AF9">
        <v>127</v>
      </c>
      <c r="AG9">
        <v>37.5</v>
      </c>
      <c r="AH9">
        <v>91</v>
      </c>
      <c r="AI9" t="s">
        <v>53</v>
      </c>
    </row>
    <row r="10" spans="1:35" s="1" customFormat="1" x14ac:dyDescent="0.35">
      <c r="A10" s="1">
        <v>9</v>
      </c>
      <c r="B10" s="1" t="s">
        <v>47</v>
      </c>
      <c r="C10" s="1" t="s">
        <v>33</v>
      </c>
      <c r="E10" s="10">
        <v>0.47222222222222227</v>
      </c>
    </row>
    <row r="11" spans="1:35" x14ac:dyDescent="0.35">
      <c r="A11">
        <v>10</v>
      </c>
      <c r="B11" t="s">
        <v>46</v>
      </c>
      <c r="C11" t="s">
        <v>33</v>
      </c>
      <c r="E11" s="9">
        <v>0.53194444444444444</v>
      </c>
      <c r="F11">
        <v>27.45</v>
      </c>
      <c r="H11" t="s">
        <v>26</v>
      </c>
      <c r="I11">
        <v>24</v>
      </c>
      <c r="J11">
        <v>31</v>
      </c>
      <c r="K11">
        <v>29.5</v>
      </c>
      <c r="L11">
        <v>9</v>
      </c>
      <c r="M11">
        <v>42.5</v>
      </c>
      <c r="N11">
        <v>10</v>
      </c>
      <c r="O11">
        <v>7.9</v>
      </c>
      <c r="P11">
        <v>8.8000000000000007</v>
      </c>
      <c r="Q11" t="s">
        <v>26</v>
      </c>
      <c r="R11">
        <v>19.5</v>
      </c>
      <c r="S11">
        <v>26</v>
      </c>
      <c r="T11">
        <v>21.5</v>
      </c>
      <c r="U11">
        <v>7.3</v>
      </c>
      <c r="V11">
        <v>28</v>
      </c>
      <c r="W11">
        <v>16</v>
      </c>
      <c r="X11">
        <v>7.5</v>
      </c>
      <c r="Y11">
        <v>8.4</v>
      </c>
      <c r="Z11">
        <v>132</v>
      </c>
      <c r="AA11">
        <v>9</v>
      </c>
      <c r="AB11">
        <v>58</v>
      </c>
      <c r="AC11">
        <v>7</v>
      </c>
      <c r="AD11">
        <v>42</v>
      </c>
      <c r="AE11">
        <v>24</v>
      </c>
      <c r="AF11">
        <v>120</v>
      </c>
      <c r="AG11">
        <v>25</v>
      </c>
      <c r="AH11">
        <v>73.5</v>
      </c>
    </row>
    <row r="12" spans="1:35" x14ac:dyDescent="0.35">
      <c r="A12">
        <v>11</v>
      </c>
      <c r="B12" t="s">
        <v>35</v>
      </c>
      <c r="C12" t="s">
        <v>24</v>
      </c>
      <c r="E12" s="9">
        <v>0.1173611111111111</v>
      </c>
      <c r="F12">
        <f>SUM(65.7-5.13)</f>
        <v>60.57</v>
      </c>
      <c r="H12" t="s">
        <v>26</v>
      </c>
      <c r="I12">
        <v>28</v>
      </c>
      <c r="J12">
        <v>32</v>
      </c>
      <c r="K12">
        <v>25</v>
      </c>
      <c r="L12">
        <v>9.5</v>
      </c>
      <c r="M12">
        <v>67.5</v>
      </c>
      <c r="N12">
        <v>17</v>
      </c>
      <c r="O12">
        <v>12</v>
      </c>
      <c r="P12">
        <v>11</v>
      </c>
      <c r="Q12" t="s">
        <v>26</v>
      </c>
      <c r="R12">
        <v>24</v>
      </c>
      <c r="S12">
        <v>27</v>
      </c>
      <c r="T12">
        <v>21.5</v>
      </c>
      <c r="U12">
        <v>9</v>
      </c>
      <c r="V12">
        <v>34</v>
      </c>
      <c r="W12">
        <v>18</v>
      </c>
      <c r="X12">
        <v>9.5</v>
      </c>
      <c r="Y12">
        <v>9.5</v>
      </c>
      <c r="Z12">
        <v>149</v>
      </c>
      <c r="AA12">
        <v>15</v>
      </c>
      <c r="AB12">
        <v>70</v>
      </c>
      <c r="AC12">
        <v>16</v>
      </c>
      <c r="AD12">
        <v>40.5</v>
      </c>
      <c r="AE12">
        <v>30</v>
      </c>
      <c r="AF12">
        <v>135</v>
      </c>
      <c r="AG12">
        <v>44</v>
      </c>
      <c r="AH12">
        <v>89</v>
      </c>
      <c r="AI12" t="s">
        <v>50</v>
      </c>
    </row>
    <row r="13" spans="1:35" x14ac:dyDescent="0.35">
      <c r="A13">
        <v>12</v>
      </c>
      <c r="B13" t="s">
        <v>35</v>
      </c>
      <c r="C13" t="s">
        <v>24</v>
      </c>
      <c r="D13">
        <v>0.8</v>
      </c>
      <c r="E13" s="9">
        <v>0.14583333333333334</v>
      </c>
      <c r="F13">
        <f>SUM(38-5.13)</f>
        <v>32.869999999999997</v>
      </c>
      <c r="H13" t="s">
        <v>26</v>
      </c>
      <c r="I13">
        <v>25</v>
      </c>
      <c r="J13">
        <v>28</v>
      </c>
      <c r="K13">
        <v>24</v>
      </c>
      <c r="L13">
        <v>10</v>
      </c>
      <c r="M13">
        <v>53</v>
      </c>
      <c r="N13">
        <v>20</v>
      </c>
      <c r="O13">
        <v>9</v>
      </c>
      <c r="P13">
        <v>10</v>
      </c>
      <c r="Q13" t="s">
        <v>26</v>
      </c>
      <c r="R13">
        <v>19.5</v>
      </c>
      <c r="S13">
        <v>22.5</v>
      </c>
      <c r="T13">
        <v>21.5</v>
      </c>
      <c r="U13">
        <v>10</v>
      </c>
      <c r="V13">
        <v>28</v>
      </c>
      <c r="W13">
        <v>17.5</v>
      </c>
      <c r="X13">
        <v>10</v>
      </c>
      <c r="Y13">
        <v>7.5</v>
      </c>
      <c r="Z13">
        <v>118</v>
      </c>
      <c r="AA13">
        <v>12</v>
      </c>
      <c r="AB13">
        <v>61</v>
      </c>
      <c r="AC13">
        <v>10</v>
      </c>
      <c r="AD13">
        <v>27</v>
      </c>
      <c r="AE13">
        <v>22.5</v>
      </c>
      <c r="AF13">
        <v>111</v>
      </c>
      <c r="AG13">
        <v>27</v>
      </c>
      <c r="AH13">
        <v>74</v>
      </c>
      <c r="AI13" t="s">
        <v>50</v>
      </c>
    </row>
    <row r="14" spans="1:35" s="1" customFormat="1" x14ac:dyDescent="0.35">
      <c r="A14" s="1">
        <v>13</v>
      </c>
      <c r="B14" s="1" t="s">
        <v>55</v>
      </c>
      <c r="C14" s="1" t="s">
        <v>24</v>
      </c>
    </row>
    <row r="15" spans="1:35" x14ac:dyDescent="0.35">
      <c r="A15">
        <v>14</v>
      </c>
      <c r="B15" t="s">
        <v>55</v>
      </c>
      <c r="C15" t="s">
        <v>33</v>
      </c>
      <c r="E15" s="9">
        <v>0.49236111111111108</v>
      </c>
      <c r="F15">
        <f>SUM(50.6-5.13)</f>
        <v>45.47</v>
      </c>
      <c r="H15" t="s">
        <v>26</v>
      </c>
      <c r="I15">
        <v>28.5</v>
      </c>
      <c r="J15">
        <v>33.5</v>
      </c>
      <c r="K15">
        <v>25</v>
      </c>
      <c r="L15">
        <v>10</v>
      </c>
      <c r="M15">
        <v>55</v>
      </c>
      <c r="N15">
        <v>21</v>
      </c>
      <c r="O15">
        <v>9.5</v>
      </c>
      <c r="P15">
        <v>10</v>
      </c>
      <c r="Q15" t="s">
        <v>26</v>
      </c>
      <c r="R15">
        <v>22</v>
      </c>
      <c r="S15">
        <v>26</v>
      </c>
      <c r="T15">
        <v>23</v>
      </c>
      <c r="U15">
        <v>9</v>
      </c>
      <c r="V15">
        <v>31.5</v>
      </c>
      <c r="W15">
        <v>16</v>
      </c>
      <c r="X15">
        <v>8</v>
      </c>
      <c r="Y15">
        <v>9</v>
      </c>
      <c r="Z15">
        <v>142.5</v>
      </c>
      <c r="AA15">
        <v>15</v>
      </c>
      <c r="AB15">
        <v>71</v>
      </c>
      <c r="AC15">
        <v>11</v>
      </c>
      <c r="AD15">
        <v>35</v>
      </c>
      <c r="AE15">
        <v>27.5</v>
      </c>
      <c r="AF15">
        <v>116.5</v>
      </c>
      <c r="AG15">
        <v>32.5</v>
      </c>
      <c r="AH15">
        <v>82.5</v>
      </c>
    </row>
    <row r="16" spans="1:35" x14ac:dyDescent="0.35">
      <c r="A16">
        <v>15</v>
      </c>
      <c r="B16" t="s">
        <v>54</v>
      </c>
      <c r="C16" t="s">
        <v>33</v>
      </c>
      <c r="E16" s="9">
        <v>0.51250000000000007</v>
      </c>
      <c r="F16">
        <f>SUM(52-5.13)</f>
        <v>46.87</v>
      </c>
      <c r="H16" t="s">
        <v>26</v>
      </c>
      <c r="I16">
        <v>26</v>
      </c>
      <c r="J16">
        <v>31</v>
      </c>
      <c r="K16">
        <v>23</v>
      </c>
      <c r="L16">
        <v>9</v>
      </c>
      <c r="M16">
        <v>61</v>
      </c>
      <c r="N16">
        <v>18</v>
      </c>
      <c r="O16">
        <v>9.5</v>
      </c>
      <c r="P16">
        <v>10</v>
      </c>
      <c r="Q16" t="s">
        <v>26</v>
      </c>
      <c r="R16">
        <v>22</v>
      </c>
      <c r="S16">
        <v>25</v>
      </c>
      <c r="T16">
        <v>23</v>
      </c>
      <c r="U16">
        <v>8.5</v>
      </c>
      <c r="V16">
        <v>32</v>
      </c>
      <c r="W16">
        <v>19</v>
      </c>
      <c r="X16">
        <v>8</v>
      </c>
      <c r="Y16">
        <v>9</v>
      </c>
      <c r="Z16">
        <v>136</v>
      </c>
      <c r="AA16">
        <v>14</v>
      </c>
      <c r="AB16">
        <v>68.5</v>
      </c>
      <c r="AC16">
        <v>13</v>
      </c>
      <c r="AD16">
        <v>37.5</v>
      </c>
      <c r="AE16">
        <v>27</v>
      </c>
      <c r="AF16">
        <v>131</v>
      </c>
      <c r="AG16">
        <v>29</v>
      </c>
      <c r="AH16">
        <v>86</v>
      </c>
    </row>
    <row r="17" spans="1:2" s="2" customFormat="1" x14ac:dyDescent="0.35">
      <c r="A17" s="2">
        <v>16</v>
      </c>
    </row>
    <row r="19" spans="1:2" x14ac:dyDescent="0.35">
      <c r="A19" s="8" t="s">
        <v>34</v>
      </c>
    </row>
    <row r="20" spans="1:2" x14ac:dyDescent="0.35">
      <c r="A20" s="5" t="s">
        <v>3</v>
      </c>
      <c r="B20" s="5" t="s">
        <v>0</v>
      </c>
    </row>
    <row r="21" spans="1:2" x14ac:dyDescent="0.35">
      <c r="A21" s="5" t="s">
        <v>4</v>
      </c>
      <c r="B21" s="5" t="s">
        <v>1</v>
      </c>
    </row>
    <row r="22" spans="1:2" x14ac:dyDescent="0.35">
      <c r="A22" s="5" t="s">
        <v>5</v>
      </c>
      <c r="B22" s="5" t="s">
        <v>36</v>
      </c>
    </row>
    <row r="23" spans="1:2" x14ac:dyDescent="0.35">
      <c r="A23" s="5" t="s">
        <v>6</v>
      </c>
      <c r="B23" s="5" t="s">
        <v>37</v>
      </c>
    </row>
    <row r="24" spans="1:2" x14ac:dyDescent="0.35">
      <c r="A24" s="6" t="s">
        <v>7</v>
      </c>
      <c r="B24" s="6" t="s">
        <v>38</v>
      </c>
    </row>
    <row r="25" spans="1:2" x14ac:dyDescent="0.35">
      <c r="A25" s="6" t="s">
        <v>8</v>
      </c>
      <c r="B25" s="6" t="s">
        <v>39</v>
      </c>
    </row>
    <row r="26" spans="1:2" x14ac:dyDescent="0.35">
      <c r="A26" s="6" t="s">
        <v>9</v>
      </c>
      <c r="B26" s="6" t="s">
        <v>40</v>
      </c>
    </row>
    <row r="27" spans="1:2" x14ac:dyDescent="0.35">
      <c r="A27" s="6" t="s">
        <v>10</v>
      </c>
      <c r="B27" s="6" t="s">
        <v>41</v>
      </c>
    </row>
    <row r="28" spans="1:2" x14ac:dyDescent="0.35">
      <c r="A28" s="5" t="s">
        <v>30</v>
      </c>
      <c r="B28" s="5" t="s">
        <v>42</v>
      </c>
    </row>
    <row r="29" spans="1:2" x14ac:dyDescent="0.35">
      <c r="A29" s="5" t="s">
        <v>28</v>
      </c>
      <c r="B29" s="5" t="s">
        <v>43</v>
      </c>
    </row>
    <row r="30" spans="1:2" x14ac:dyDescent="0.35">
      <c r="A30" s="6" t="s">
        <v>31</v>
      </c>
      <c r="B30" s="6" t="s">
        <v>44</v>
      </c>
    </row>
    <row r="31" spans="1:2" x14ac:dyDescent="0.35">
      <c r="A31" s="6" t="s">
        <v>27</v>
      </c>
      <c r="B31" s="6" t="s">
        <v>45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the Sunshine Coast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Annett</dc:creator>
  <cp:lastModifiedBy>Jasmin Annett</cp:lastModifiedBy>
  <dcterms:created xsi:type="dcterms:W3CDTF">2024-06-30T07:02:40Z</dcterms:created>
  <dcterms:modified xsi:type="dcterms:W3CDTF">2024-07-24T05:25:56Z</dcterms:modified>
</cp:coreProperties>
</file>