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885" windowWidth="24240" windowHeight="13320" activeTab="4"/>
  </bookViews>
  <sheets>
    <sheet name="Bandi (Grids)" sheetId="1" r:id="rId1"/>
    <sheet name="Bandi " sheetId="12" r:id="rId2"/>
    <sheet name="quoll habitat 2018" sheetId="24" r:id="rId3"/>
    <sheet name="Quoll" sheetId="13" r:id="rId4"/>
    <sheet name="Acclerometer2019" sheetId="26" r:id="rId5"/>
    <sheet name="Glider " sheetId="11" r:id="rId6"/>
    <sheet name="Rodent" sheetId="14" r:id="rId7"/>
    <sheet name="Capture no measure" sheetId="3" r:id="rId8"/>
    <sheet name="Dead SM" sheetId="10" r:id="rId9"/>
    <sheet name="Notes" sheetId="2" r:id="rId10"/>
    <sheet name="AL1" sheetId="4" r:id="rId11"/>
    <sheet name="DUG" sheetId="17" r:id="rId12"/>
    <sheet name="PS" sheetId="5" r:id="rId13"/>
    <sheet name="PS2" sheetId="15" r:id="rId14"/>
    <sheet name="PS3" sheetId="16" r:id="rId15"/>
    <sheet name="P13" sheetId="6" r:id="rId16"/>
    <sheet name="P24" sheetId="31" r:id="rId17"/>
    <sheet name="AP" sheetId="27" r:id="rId18"/>
    <sheet name="AN1" sheetId="8" r:id="rId19"/>
    <sheet name="AN2" sheetId="9" r:id="rId20"/>
    <sheet name="PS4" sheetId="18" r:id="rId21"/>
    <sheet name="HW1" sheetId="19" r:id="rId22"/>
    <sheet name="HW3" sheetId="28" r:id="rId23"/>
    <sheet name="HW4" sheetId="29" r:id="rId24"/>
    <sheet name="HW6" sheetId="23" r:id="rId25"/>
    <sheet name="HW7" sheetId="25" r:id="rId26"/>
    <sheet name="HW8" sheetId="22" r:id="rId27"/>
    <sheet name="HW9" sheetId="20" r:id="rId28"/>
    <sheet name="HW10" sheetId="21" r:id="rId29"/>
    <sheet name="OW1" sheetId="32" r:id="rId30"/>
    <sheet name="OW2" sheetId="33" r:id="rId31"/>
    <sheet name="OW3" sheetId="34" r:id="rId32"/>
    <sheet name="OW4" sheetId="35" r:id="rId33"/>
  </sheets>
  <definedNames>
    <definedName name="_xlnm._FilterDatabase" localSheetId="0" hidden="1">'Bandi (Grids)'!$I$1:$I$122</definedName>
  </definedNames>
  <calcPr calcId="145621" calcOnSave="0"/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269" i="1" l="1"/>
  <c r="AE269" i="1"/>
  <c r="AA269" i="1"/>
  <c r="W269" i="1"/>
  <c r="O269" i="1"/>
  <c r="AI268" i="1"/>
  <c r="AE268" i="1"/>
  <c r="AA268" i="1"/>
  <c r="W268" i="1"/>
  <c r="O268" i="1"/>
  <c r="AI267" i="1"/>
  <c r="AE267" i="1"/>
  <c r="AA267" i="1"/>
  <c r="W267" i="1"/>
  <c r="O267" i="1"/>
  <c r="AI264" i="1" l="1"/>
  <c r="AI265" i="1"/>
  <c r="AI266" i="1"/>
  <c r="AI263" i="1"/>
  <c r="AE264" i="1"/>
  <c r="AE265" i="1"/>
  <c r="AE266" i="1"/>
  <c r="AE263" i="1"/>
  <c r="AA265" i="1"/>
  <c r="AA266" i="1"/>
  <c r="AA263" i="1"/>
  <c r="AA264" i="1"/>
  <c r="W265" i="1"/>
  <c r="W266" i="1"/>
  <c r="W263" i="1"/>
  <c r="W264" i="1"/>
  <c r="S264" i="1"/>
  <c r="S265" i="1"/>
  <c r="S266" i="1"/>
  <c r="S263" i="1"/>
  <c r="O266" i="1"/>
  <c r="U20" i="26" l="1"/>
  <c r="U19" i="26"/>
  <c r="O265" i="1" l="1"/>
  <c r="O264" i="1"/>
  <c r="O263" i="1"/>
  <c r="N146" i="13" l="1"/>
  <c r="N145" i="13"/>
  <c r="BO144" i="13" l="1"/>
  <c r="BK144" i="13"/>
  <c r="BG144" i="13"/>
  <c r="N144" i="13"/>
  <c r="AK144" i="13"/>
  <c r="W262" i="1"/>
  <c r="AA258" i="1"/>
  <c r="AA259" i="1"/>
  <c r="AA261" i="1"/>
  <c r="AA262" i="1"/>
  <c r="AE262" i="1"/>
  <c r="AI259" i="1"/>
  <c r="AI261" i="1"/>
  <c r="AI262" i="1"/>
  <c r="BE257" i="1"/>
  <c r="BE258" i="1"/>
  <c r="BE259" i="1"/>
  <c r="BE261" i="1"/>
  <c r="BE262" i="1"/>
  <c r="BI262" i="1"/>
  <c r="S262" i="1"/>
  <c r="O262" i="1"/>
  <c r="BI261" i="1"/>
  <c r="AE261" i="1"/>
  <c r="W261" i="1"/>
  <c r="S261" i="1"/>
  <c r="O261" i="1"/>
  <c r="N143" i="13" l="1"/>
  <c r="N142" i="13"/>
  <c r="N141" i="13"/>
  <c r="N140" i="13"/>
  <c r="N139" i="13" l="1"/>
  <c r="N138" i="13" l="1"/>
  <c r="N137" i="13" l="1"/>
  <c r="N136" i="13"/>
  <c r="N135" i="13" l="1"/>
  <c r="N134" i="13" l="1"/>
  <c r="N133" i="13" l="1"/>
  <c r="N132" i="13" l="1"/>
  <c r="N131" i="13" l="1"/>
  <c r="N130" i="13"/>
  <c r="N129" i="13"/>
  <c r="N128" i="13"/>
  <c r="N127" i="13"/>
  <c r="N126" i="13"/>
  <c r="N125" i="13"/>
  <c r="N124" i="13"/>
  <c r="N123" i="13"/>
  <c r="N122" i="13"/>
  <c r="N111" i="13"/>
  <c r="N112" i="13"/>
  <c r="N113" i="13"/>
  <c r="N114" i="13"/>
  <c r="N115" i="13"/>
  <c r="N116" i="13"/>
  <c r="N117" i="13"/>
  <c r="N118" i="13"/>
  <c r="N119" i="13"/>
  <c r="N120" i="13"/>
  <c r="N121" i="13"/>
  <c r="N110" i="13"/>
  <c r="BI259" i="1"/>
  <c r="AE259" i="1"/>
  <c r="W259" i="1"/>
  <c r="W258" i="1"/>
  <c r="W257" i="1"/>
  <c r="W256" i="1"/>
  <c r="W255" i="1"/>
  <c r="W254" i="1"/>
  <c r="W253" i="1"/>
  <c r="W251" i="1"/>
  <c r="W250" i="1"/>
  <c r="W249" i="1"/>
  <c r="S259" i="1"/>
  <c r="O259" i="1"/>
  <c r="BI258" i="1"/>
  <c r="AI258" i="1"/>
  <c r="AE258" i="1"/>
  <c r="S258" i="1"/>
  <c r="O258" i="1"/>
  <c r="BI257" i="1"/>
  <c r="AE257" i="1"/>
  <c r="AA257" i="1"/>
  <c r="AA256" i="1"/>
  <c r="AA255" i="1"/>
  <c r="AA254" i="1"/>
  <c r="AA253" i="1"/>
  <c r="AA251" i="1"/>
  <c r="AA250" i="1"/>
  <c r="AA249" i="1"/>
  <c r="S257" i="1"/>
  <c r="O257" i="1"/>
  <c r="AE256" i="1"/>
  <c r="AE255" i="1"/>
  <c r="AE254" i="1"/>
  <c r="AE253" i="1"/>
  <c r="AE251" i="1"/>
  <c r="AE250" i="1"/>
  <c r="AE249" i="1"/>
  <c r="AE247" i="1"/>
  <c r="AE246" i="1"/>
  <c r="AE245" i="1"/>
  <c r="AE244" i="1"/>
  <c r="AE243" i="1"/>
  <c r="AE242" i="1"/>
  <c r="AE240" i="1"/>
  <c r="AE239" i="1"/>
  <c r="AE238" i="1"/>
  <c r="AE237" i="1"/>
  <c r="AE236" i="1"/>
  <c r="AE235" i="1"/>
  <c r="AE234" i="1"/>
  <c r="AE233" i="1"/>
  <c r="AE232" i="1"/>
  <c r="AE230" i="1"/>
  <c r="AE229" i="1"/>
  <c r="AE228" i="1"/>
  <c r="AE227" i="1"/>
  <c r="AE226" i="1"/>
  <c r="AE225" i="1"/>
  <c r="AE224" i="1"/>
  <c r="AE222" i="1"/>
  <c r="AE221" i="1"/>
  <c r="AE220" i="1"/>
  <c r="AE219" i="1"/>
  <c r="AE218" i="1"/>
  <c r="AE217" i="1"/>
  <c r="AE215" i="1"/>
  <c r="AE214" i="1"/>
  <c r="AE213" i="1"/>
  <c r="AE212" i="1"/>
  <c r="AE211" i="1"/>
  <c r="AE210" i="1"/>
  <c r="AE209" i="1"/>
  <c r="AE208" i="1"/>
  <c r="AE207" i="1"/>
  <c r="AE206" i="1"/>
  <c r="AE205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S256" i="1"/>
  <c r="S255" i="1"/>
  <c r="S254" i="1"/>
  <c r="S253" i="1"/>
  <c r="S251" i="1"/>
  <c r="S250" i="1"/>
  <c r="S249" i="1"/>
  <c r="O255" i="1"/>
  <c r="BE256" i="1"/>
  <c r="BE254" i="1"/>
  <c r="BE253" i="1"/>
  <c r="BE251" i="1"/>
  <c r="BE250" i="1"/>
  <c r="BE249" i="1"/>
  <c r="BI256" i="1"/>
  <c r="BI255" i="1"/>
  <c r="BI254" i="1"/>
  <c r="BI253" i="1"/>
  <c r="BI251" i="1"/>
  <c r="BI250" i="1"/>
  <c r="BI249" i="1"/>
  <c r="O256" i="1"/>
  <c r="O254" i="1"/>
  <c r="O253" i="1"/>
  <c r="O251" i="1"/>
  <c r="O250" i="1"/>
  <c r="O249" i="1"/>
  <c r="BI242" i="1"/>
  <c r="BI243" i="1"/>
  <c r="BI244" i="1"/>
  <c r="BI245" i="1"/>
  <c r="BI246" i="1"/>
  <c r="BI247" i="1"/>
  <c r="BE242" i="1"/>
  <c r="BE243" i="1"/>
  <c r="BE244" i="1"/>
  <c r="BE245" i="1"/>
  <c r="BE246" i="1"/>
  <c r="BE247" i="1"/>
  <c r="BA240" i="1"/>
  <c r="BA242" i="1"/>
  <c r="BA243" i="1"/>
  <c r="BA244" i="1"/>
  <c r="BA245" i="1"/>
  <c r="BA246" i="1"/>
  <c r="BA247" i="1"/>
  <c r="AQ242" i="1"/>
  <c r="AQ246" i="1"/>
  <c r="AQ247" i="1"/>
  <c r="AM242" i="1"/>
  <c r="AM246" i="1"/>
  <c r="AM247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5" i="1"/>
  <c r="AI206" i="1"/>
  <c r="AI207" i="1"/>
  <c r="AI208" i="1"/>
  <c r="AI209" i="1"/>
  <c r="AI210" i="1"/>
  <c r="AI211" i="1"/>
  <c r="AI212" i="1"/>
  <c r="AI213" i="1"/>
  <c r="AI214" i="1"/>
  <c r="AI215" i="1"/>
  <c r="AI217" i="1"/>
  <c r="AI218" i="1"/>
  <c r="AI219" i="1"/>
  <c r="AI220" i="1"/>
  <c r="AI221" i="1"/>
  <c r="AI222" i="1"/>
  <c r="AI224" i="1"/>
  <c r="AI225" i="1"/>
  <c r="AI226" i="1"/>
  <c r="AI227" i="1"/>
  <c r="AI228" i="1"/>
  <c r="AI229" i="1"/>
  <c r="AI230" i="1"/>
  <c r="AI232" i="1"/>
  <c r="AI233" i="1"/>
  <c r="AI234" i="1"/>
  <c r="AI235" i="1"/>
  <c r="AI236" i="1"/>
  <c r="AI237" i="1"/>
  <c r="AI238" i="1"/>
  <c r="AI239" i="1"/>
  <c r="AI240" i="1"/>
  <c r="AI242" i="1"/>
  <c r="AI243" i="1"/>
  <c r="AI244" i="1"/>
  <c r="AI245" i="1"/>
  <c r="AI246" i="1"/>
  <c r="AI247" i="1"/>
  <c r="AI173" i="1"/>
  <c r="AA242" i="1"/>
  <c r="AA243" i="1"/>
  <c r="AA244" i="1"/>
  <c r="AA245" i="1"/>
  <c r="AA246" i="1"/>
  <c r="AA247" i="1"/>
  <c r="W242" i="1"/>
  <c r="W243" i="1"/>
  <c r="W244" i="1"/>
  <c r="W245" i="1"/>
  <c r="W246" i="1"/>
  <c r="W247" i="1"/>
  <c r="O242" i="1"/>
  <c r="O243" i="1"/>
  <c r="O244" i="1"/>
  <c r="O245" i="1"/>
  <c r="O246" i="1"/>
  <c r="O247" i="1"/>
  <c r="S242" i="1"/>
  <c r="S243" i="1"/>
  <c r="S244" i="1"/>
  <c r="S245" i="1"/>
  <c r="S246" i="1"/>
  <c r="S247" i="1"/>
  <c r="BX139" i="24"/>
  <c r="BT139" i="24"/>
  <c r="BP139" i="24"/>
  <c r="BL139" i="24"/>
  <c r="BH139" i="24"/>
  <c r="BD139" i="24"/>
  <c r="AZ139" i="24"/>
  <c r="AK139" i="24"/>
  <c r="AG139" i="24"/>
  <c r="AC139" i="24"/>
  <c r="Y139" i="24"/>
  <c r="U139" i="24"/>
  <c r="Q139" i="24"/>
  <c r="M139" i="24"/>
  <c r="BX138" i="24"/>
  <c r="BT138" i="24"/>
  <c r="BP138" i="24"/>
  <c r="BL138" i="24"/>
  <c r="BH138" i="24"/>
  <c r="BD138" i="24"/>
  <c r="AZ138" i="24"/>
  <c r="AK138" i="24"/>
  <c r="AG138" i="24"/>
  <c r="AC138" i="24"/>
  <c r="Y138" i="24"/>
  <c r="U138" i="24"/>
  <c r="Q138" i="24"/>
  <c r="M138" i="24"/>
  <c r="BX137" i="24"/>
  <c r="BT137" i="24"/>
  <c r="BP137" i="24"/>
  <c r="BL137" i="24"/>
  <c r="BH137" i="24"/>
  <c r="BD137" i="24"/>
  <c r="AZ137" i="24"/>
  <c r="AK137" i="24"/>
  <c r="AG137" i="24"/>
  <c r="AC137" i="24"/>
  <c r="Y137" i="24"/>
  <c r="U137" i="24"/>
  <c r="Q137" i="24"/>
  <c r="M137" i="24"/>
  <c r="BX136" i="24"/>
  <c r="BT136" i="24"/>
  <c r="BP136" i="24"/>
  <c r="BL136" i="24"/>
  <c r="BH136" i="24"/>
  <c r="BD136" i="24"/>
  <c r="AZ136" i="24"/>
  <c r="AK136" i="24"/>
  <c r="AG136" i="24"/>
  <c r="AC136" i="24"/>
  <c r="Y136" i="24"/>
  <c r="U136" i="24"/>
  <c r="Q136" i="24"/>
  <c r="M136" i="24"/>
  <c r="BX135" i="24"/>
  <c r="BT135" i="24"/>
  <c r="BP135" i="24"/>
  <c r="BL135" i="24"/>
  <c r="BH135" i="24"/>
  <c r="BD135" i="24"/>
  <c r="AZ135" i="24"/>
  <c r="AK135" i="24"/>
  <c r="AG135" i="24"/>
  <c r="AC135" i="24"/>
  <c r="Y135" i="24"/>
  <c r="U135" i="24"/>
  <c r="Q135" i="24"/>
  <c r="M135" i="24"/>
  <c r="BX134" i="24"/>
  <c r="BT134" i="24"/>
  <c r="BP134" i="24"/>
  <c r="BL134" i="24"/>
  <c r="BH134" i="24"/>
  <c r="BD134" i="24"/>
  <c r="AZ134" i="24"/>
  <c r="AK134" i="24"/>
  <c r="AG134" i="24"/>
  <c r="AC134" i="24"/>
  <c r="Y134" i="24"/>
  <c r="U134" i="24"/>
  <c r="Q134" i="24"/>
  <c r="M134" i="24"/>
  <c r="BX133" i="24"/>
  <c r="BT133" i="24"/>
  <c r="BP133" i="24"/>
  <c r="BL133" i="24"/>
  <c r="BH133" i="24"/>
  <c r="BD133" i="24"/>
  <c r="AZ133" i="24"/>
  <c r="AK133" i="24"/>
  <c r="AG133" i="24"/>
  <c r="AC133" i="24"/>
  <c r="Y133" i="24"/>
  <c r="U133" i="24"/>
  <c r="Q133" i="24"/>
  <c r="M133" i="24"/>
  <c r="BX132" i="24"/>
  <c r="BT132" i="24"/>
  <c r="BP132" i="24"/>
  <c r="BL132" i="24"/>
  <c r="BH132" i="24"/>
  <c r="BD132" i="24"/>
  <c r="AZ132" i="24"/>
  <c r="AK132" i="24"/>
  <c r="AG132" i="24"/>
  <c r="AC132" i="24"/>
  <c r="Y132" i="24"/>
  <c r="U132" i="24"/>
  <c r="Q132" i="24"/>
  <c r="M132" i="24"/>
  <c r="BX131" i="24"/>
  <c r="BT131" i="24"/>
  <c r="BP131" i="24"/>
  <c r="BL131" i="24"/>
  <c r="BH131" i="24"/>
  <c r="BD131" i="24"/>
  <c r="AZ131" i="24"/>
  <c r="AK131" i="24"/>
  <c r="AG131" i="24"/>
  <c r="AC131" i="24"/>
  <c r="Y131" i="24"/>
  <c r="U131" i="24"/>
  <c r="Q131" i="24"/>
  <c r="M131" i="24"/>
  <c r="BX130" i="24"/>
  <c r="BT130" i="24"/>
  <c r="BP130" i="24"/>
  <c r="BL130" i="24"/>
  <c r="BH130" i="24"/>
  <c r="BD130" i="24"/>
  <c r="AZ130" i="24"/>
  <c r="AK130" i="24"/>
  <c r="AG130" i="24"/>
  <c r="AC130" i="24"/>
  <c r="Y130" i="24"/>
  <c r="U130" i="24"/>
  <c r="Q130" i="24"/>
  <c r="M130" i="24"/>
  <c r="BX129" i="24"/>
  <c r="BT129" i="24"/>
  <c r="BP129" i="24"/>
  <c r="BL129" i="24"/>
  <c r="BH129" i="24"/>
  <c r="BD129" i="24"/>
  <c r="AZ129" i="24"/>
  <c r="AK129" i="24"/>
  <c r="AG129" i="24"/>
  <c r="AC129" i="24"/>
  <c r="Y129" i="24"/>
  <c r="U129" i="24"/>
  <c r="Q129" i="24"/>
  <c r="M129" i="24"/>
  <c r="BX128" i="24"/>
  <c r="BT128" i="24"/>
  <c r="BP128" i="24"/>
  <c r="BL128" i="24"/>
  <c r="BH128" i="24"/>
  <c r="BD128" i="24"/>
  <c r="AZ128" i="24"/>
  <c r="AK128" i="24"/>
  <c r="AG128" i="24"/>
  <c r="AC128" i="24"/>
  <c r="Y128" i="24"/>
  <c r="U128" i="24"/>
  <c r="Q128" i="24"/>
  <c r="M128" i="24"/>
  <c r="BX127" i="24"/>
  <c r="BT127" i="24"/>
  <c r="BP127" i="24"/>
  <c r="BL127" i="24"/>
  <c r="BH127" i="24"/>
  <c r="BD127" i="24"/>
  <c r="AZ127" i="24"/>
  <c r="AK127" i="24"/>
  <c r="AG127" i="24"/>
  <c r="AC127" i="24"/>
  <c r="Y127" i="24"/>
  <c r="U127" i="24"/>
  <c r="Q127" i="24"/>
  <c r="M127" i="24"/>
  <c r="BX126" i="24"/>
  <c r="BT126" i="24"/>
  <c r="BP126" i="24"/>
  <c r="BL126" i="24"/>
  <c r="BH126" i="24"/>
  <c r="BD126" i="24"/>
  <c r="AZ126" i="24"/>
  <c r="AK126" i="24"/>
  <c r="AG126" i="24"/>
  <c r="AC126" i="24"/>
  <c r="Y126" i="24"/>
  <c r="U126" i="24"/>
  <c r="Q126" i="24"/>
  <c r="M126" i="24"/>
  <c r="BX125" i="24"/>
  <c r="BT125" i="24"/>
  <c r="BP125" i="24"/>
  <c r="BL125" i="24"/>
  <c r="BH125" i="24"/>
  <c r="BD125" i="24"/>
  <c r="AZ125" i="24"/>
  <c r="AK125" i="24"/>
  <c r="AG125" i="24"/>
  <c r="AC125" i="24"/>
  <c r="Y125" i="24"/>
  <c r="U125" i="24"/>
  <c r="Q125" i="24"/>
  <c r="M125" i="24"/>
  <c r="BX124" i="24"/>
  <c r="BT124" i="24"/>
  <c r="BP124" i="24"/>
  <c r="BL124" i="24"/>
  <c r="BH124" i="24"/>
  <c r="BD124" i="24"/>
  <c r="AZ124" i="24"/>
  <c r="AK124" i="24"/>
  <c r="AG124" i="24"/>
  <c r="AC124" i="24"/>
  <c r="Y124" i="24"/>
  <c r="U124" i="24"/>
  <c r="Q124" i="24"/>
  <c r="M124" i="24"/>
  <c r="BX123" i="24"/>
  <c r="BT123" i="24"/>
  <c r="BP123" i="24"/>
  <c r="BL123" i="24"/>
  <c r="BH123" i="24"/>
  <c r="BD123" i="24"/>
  <c r="AZ123" i="24"/>
  <c r="AK123" i="24"/>
  <c r="AG123" i="24"/>
  <c r="AC123" i="24"/>
  <c r="Y123" i="24"/>
  <c r="U123" i="24"/>
  <c r="Q123" i="24"/>
  <c r="M123" i="24"/>
  <c r="BX122" i="24"/>
  <c r="BT122" i="24"/>
  <c r="BP122" i="24"/>
  <c r="BL122" i="24"/>
  <c r="BH122" i="24"/>
  <c r="BD122" i="24"/>
  <c r="AZ122" i="24"/>
  <c r="AK122" i="24"/>
  <c r="AG122" i="24"/>
  <c r="AC122" i="24"/>
  <c r="Y122" i="24"/>
  <c r="U122" i="24"/>
  <c r="Q122" i="24"/>
  <c r="M122" i="24"/>
  <c r="BX121" i="24"/>
  <c r="BT121" i="24"/>
  <c r="BP121" i="24"/>
  <c r="BL121" i="24"/>
  <c r="BH121" i="24"/>
  <c r="BD121" i="24"/>
  <c r="AZ121" i="24"/>
  <c r="AK121" i="24"/>
  <c r="AG121" i="24"/>
  <c r="AC121" i="24"/>
  <c r="Y121" i="24"/>
  <c r="U121" i="24"/>
  <c r="Q121" i="24"/>
  <c r="M121" i="24"/>
  <c r="BX120" i="24"/>
  <c r="BT120" i="24"/>
  <c r="BP120" i="24"/>
  <c r="BL120" i="24"/>
  <c r="BH120" i="24"/>
  <c r="BD120" i="24"/>
  <c r="AZ120" i="24"/>
  <c r="AK120" i="24"/>
  <c r="AG120" i="24"/>
  <c r="AC120" i="24"/>
  <c r="Y120" i="24"/>
  <c r="U120" i="24"/>
  <c r="Q120" i="24"/>
  <c r="M120" i="24"/>
  <c r="BX119" i="24"/>
  <c r="BT119" i="24"/>
  <c r="BP119" i="24"/>
  <c r="BL119" i="24"/>
  <c r="BH119" i="24"/>
  <c r="BD119" i="24"/>
  <c r="AZ119" i="24"/>
  <c r="AK119" i="24"/>
  <c r="AG119" i="24"/>
  <c r="AC119" i="24"/>
  <c r="Y119" i="24"/>
  <c r="U119" i="24"/>
  <c r="Q119" i="24"/>
  <c r="M119" i="24"/>
  <c r="BX118" i="24"/>
  <c r="BT118" i="24"/>
  <c r="BP118" i="24"/>
  <c r="BL118" i="24"/>
  <c r="BH118" i="24"/>
  <c r="BD118" i="24"/>
  <c r="AZ118" i="24"/>
  <c r="AK118" i="24"/>
  <c r="AG118" i="24"/>
  <c r="AC118" i="24"/>
  <c r="Y118" i="24"/>
  <c r="U118" i="24"/>
  <c r="Q118" i="24"/>
  <c r="M118" i="24"/>
  <c r="BX117" i="24"/>
  <c r="BT117" i="24"/>
  <c r="BP117" i="24"/>
  <c r="BL117" i="24"/>
  <c r="BH117" i="24"/>
  <c r="BD117" i="24"/>
  <c r="AZ117" i="24"/>
  <c r="AK117" i="24"/>
  <c r="AG117" i="24"/>
  <c r="AC117" i="24"/>
  <c r="Y117" i="24"/>
  <c r="U117" i="24"/>
  <c r="Q117" i="24"/>
  <c r="M117" i="24"/>
  <c r="BX116" i="24"/>
  <c r="BT116" i="24"/>
  <c r="BP116" i="24"/>
  <c r="BL116" i="24"/>
  <c r="BH116" i="24"/>
  <c r="BD116" i="24"/>
  <c r="AZ116" i="24"/>
  <c r="AK116" i="24"/>
  <c r="AG116" i="24"/>
  <c r="AC116" i="24"/>
  <c r="Y116" i="24"/>
  <c r="U116" i="24"/>
  <c r="Q116" i="24"/>
  <c r="M116" i="24"/>
  <c r="BX115" i="24"/>
  <c r="BT115" i="24"/>
  <c r="BP115" i="24"/>
  <c r="BL115" i="24"/>
  <c r="BH115" i="24"/>
  <c r="BD115" i="24"/>
  <c r="AZ115" i="24"/>
  <c r="AK115" i="24"/>
  <c r="AG115" i="24"/>
  <c r="AC115" i="24"/>
  <c r="Y115" i="24"/>
  <c r="U115" i="24"/>
  <c r="Q115" i="24"/>
  <c r="M115" i="24"/>
  <c r="BX114" i="24"/>
  <c r="BT114" i="24"/>
  <c r="BP114" i="24"/>
  <c r="BL114" i="24"/>
  <c r="BH114" i="24"/>
  <c r="BD114" i="24"/>
  <c r="AZ114" i="24"/>
  <c r="AK114" i="24"/>
  <c r="AG114" i="24"/>
  <c r="AC114" i="24"/>
  <c r="Y114" i="24"/>
  <c r="U114" i="24"/>
  <c r="Q114" i="24"/>
  <c r="M114" i="24"/>
  <c r="BX113" i="24"/>
  <c r="BT113" i="24"/>
  <c r="BP113" i="24"/>
  <c r="BL113" i="24"/>
  <c r="BH113" i="24"/>
  <c r="BD113" i="24"/>
  <c r="AZ113" i="24"/>
  <c r="AK113" i="24"/>
  <c r="AG113" i="24"/>
  <c r="AC113" i="24"/>
  <c r="Y113" i="24"/>
  <c r="U113" i="24"/>
  <c r="Q113" i="24"/>
  <c r="M113" i="24"/>
  <c r="BX112" i="24"/>
  <c r="BT112" i="24"/>
  <c r="BP112" i="24"/>
  <c r="BL112" i="24"/>
  <c r="BH112" i="24"/>
  <c r="BD112" i="24"/>
  <c r="AZ112" i="24"/>
  <c r="AK112" i="24"/>
  <c r="AG112" i="24"/>
  <c r="AC112" i="24"/>
  <c r="Y112" i="24"/>
  <c r="U112" i="24"/>
  <c r="Q112" i="24"/>
  <c r="M112" i="24"/>
  <c r="BX111" i="24"/>
  <c r="BT111" i="24"/>
  <c r="BP111" i="24"/>
  <c r="BL111" i="24"/>
  <c r="BH111" i="24"/>
  <c r="BD111" i="24"/>
  <c r="AZ111" i="24"/>
  <c r="AK111" i="24"/>
  <c r="AG111" i="24"/>
  <c r="AC111" i="24"/>
  <c r="Y111" i="24"/>
  <c r="U111" i="24"/>
  <c r="Q111" i="24"/>
  <c r="M111" i="24"/>
  <c r="BX110" i="24"/>
  <c r="BT110" i="24"/>
  <c r="BP110" i="24"/>
  <c r="BL110" i="24"/>
  <c r="BH110" i="24"/>
  <c r="BD110" i="24"/>
  <c r="AZ110" i="24"/>
  <c r="AK110" i="24"/>
  <c r="AG110" i="24"/>
  <c r="AC110" i="24"/>
  <c r="Y110" i="24"/>
  <c r="U110" i="24"/>
  <c r="Q110" i="24"/>
  <c r="M110" i="24"/>
  <c r="BX109" i="24"/>
  <c r="BT109" i="24"/>
  <c r="BP109" i="24"/>
  <c r="BL109" i="24"/>
  <c r="BH109" i="24"/>
  <c r="BD109" i="24"/>
  <c r="AZ109" i="24"/>
  <c r="AK109" i="24"/>
  <c r="AG109" i="24"/>
  <c r="AC109" i="24"/>
  <c r="Y109" i="24"/>
  <c r="U109" i="24"/>
  <c r="Q109" i="24"/>
  <c r="M109" i="24"/>
  <c r="BX108" i="24"/>
  <c r="BT108" i="24"/>
  <c r="BP108" i="24"/>
  <c r="BL108" i="24"/>
  <c r="BH108" i="24"/>
  <c r="BD108" i="24"/>
  <c r="AZ108" i="24"/>
  <c r="AK108" i="24"/>
  <c r="AG108" i="24"/>
  <c r="AC108" i="24"/>
  <c r="Y108" i="24"/>
  <c r="U108" i="24"/>
  <c r="Q108" i="24"/>
  <c r="M108" i="24"/>
  <c r="BX107" i="24"/>
  <c r="BT107" i="24"/>
  <c r="BP107" i="24"/>
  <c r="BL107" i="24"/>
  <c r="BH107" i="24"/>
  <c r="BD107" i="24"/>
  <c r="AZ107" i="24"/>
  <c r="AK107" i="24"/>
  <c r="AG107" i="24"/>
  <c r="AC107" i="24"/>
  <c r="Y107" i="24"/>
  <c r="U107" i="24"/>
  <c r="Q107" i="24"/>
  <c r="M107" i="24"/>
  <c r="BX106" i="24"/>
  <c r="BT106" i="24"/>
  <c r="BP106" i="24"/>
  <c r="BL106" i="24"/>
  <c r="BH106" i="24"/>
  <c r="BD106" i="24"/>
  <c r="AZ106" i="24"/>
  <c r="AK106" i="24"/>
  <c r="AG106" i="24"/>
  <c r="AC106" i="24"/>
  <c r="Y106" i="24"/>
  <c r="U106" i="24"/>
  <c r="Q106" i="24"/>
  <c r="M106" i="24"/>
  <c r="BX105" i="24"/>
  <c r="BT105" i="24"/>
  <c r="BP105" i="24"/>
  <c r="BL105" i="24"/>
  <c r="BH105" i="24"/>
  <c r="BD105" i="24"/>
  <c r="AZ105" i="24"/>
  <c r="AK105" i="24"/>
  <c r="AG105" i="24"/>
  <c r="AC105" i="24"/>
  <c r="Y105" i="24"/>
  <c r="U105" i="24"/>
  <c r="Q105" i="24"/>
  <c r="M105" i="24"/>
  <c r="BX104" i="24"/>
  <c r="BT104" i="24"/>
  <c r="BP104" i="24"/>
  <c r="BL104" i="24"/>
  <c r="BH104" i="24"/>
  <c r="BD104" i="24"/>
  <c r="AZ104" i="24"/>
  <c r="AK104" i="24"/>
  <c r="AG104" i="24"/>
  <c r="AC104" i="24"/>
  <c r="Y104" i="24"/>
  <c r="U104" i="24"/>
  <c r="Q104" i="24"/>
  <c r="M104" i="24"/>
  <c r="BX103" i="24"/>
  <c r="BT103" i="24"/>
  <c r="BP103" i="24"/>
  <c r="BL103" i="24"/>
  <c r="BH103" i="24"/>
  <c r="BD103" i="24"/>
  <c r="AZ103" i="24"/>
  <c r="AK103" i="24"/>
  <c r="AG103" i="24"/>
  <c r="AC103" i="24"/>
  <c r="Y103" i="24"/>
  <c r="U103" i="24"/>
  <c r="Q103" i="24"/>
  <c r="M103" i="24"/>
  <c r="BX102" i="24"/>
  <c r="BT102" i="24"/>
  <c r="BP102" i="24"/>
  <c r="BL102" i="24"/>
  <c r="BH102" i="24"/>
  <c r="BD102" i="24"/>
  <c r="AZ102" i="24"/>
  <c r="AK102" i="24"/>
  <c r="AG102" i="24"/>
  <c r="AC102" i="24"/>
  <c r="Y102" i="24"/>
  <c r="U102" i="24"/>
  <c r="Q102" i="24"/>
  <c r="M102" i="24"/>
  <c r="BX101" i="24"/>
  <c r="BT101" i="24"/>
  <c r="BP101" i="24"/>
  <c r="BL101" i="24"/>
  <c r="BH101" i="24"/>
  <c r="BD101" i="24"/>
  <c r="AZ101" i="24"/>
  <c r="AK101" i="24"/>
  <c r="AG101" i="24"/>
  <c r="AC101" i="24"/>
  <c r="Y101" i="24"/>
  <c r="U101" i="24"/>
  <c r="Q101" i="24"/>
  <c r="M101" i="24"/>
  <c r="BX100" i="24"/>
  <c r="BT100" i="24"/>
  <c r="BP100" i="24"/>
  <c r="BL100" i="24"/>
  <c r="BH100" i="24"/>
  <c r="BD100" i="24"/>
  <c r="AZ100" i="24"/>
  <c r="AK100" i="24"/>
  <c r="AG100" i="24"/>
  <c r="AC100" i="24"/>
  <c r="Y100" i="24"/>
  <c r="U100" i="24"/>
  <c r="Q100" i="24"/>
  <c r="M100" i="24"/>
  <c r="BX99" i="24"/>
  <c r="BT99" i="24"/>
  <c r="BP99" i="24"/>
  <c r="BL99" i="24"/>
  <c r="BH99" i="24"/>
  <c r="BD99" i="24"/>
  <c r="AZ99" i="24"/>
  <c r="AK99" i="24"/>
  <c r="AG99" i="24"/>
  <c r="AC99" i="24"/>
  <c r="Y99" i="24"/>
  <c r="U99" i="24"/>
  <c r="Q99" i="24"/>
  <c r="M99" i="24"/>
  <c r="BX98" i="24"/>
  <c r="BT98" i="24"/>
  <c r="BP98" i="24"/>
  <c r="BL98" i="24"/>
  <c r="BH98" i="24"/>
  <c r="BD98" i="24"/>
  <c r="AZ98" i="24"/>
  <c r="AK98" i="24"/>
  <c r="AG98" i="24"/>
  <c r="AC98" i="24"/>
  <c r="Y98" i="24"/>
  <c r="U98" i="24"/>
  <c r="Q98" i="24"/>
  <c r="M98" i="24"/>
  <c r="BX97" i="24"/>
  <c r="BT97" i="24"/>
  <c r="BP97" i="24"/>
  <c r="BL97" i="24"/>
  <c r="BH97" i="24"/>
  <c r="BD97" i="24"/>
  <c r="AZ97" i="24"/>
  <c r="AK97" i="24"/>
  <c r="AG97" i="24"/>
  <c r="AC97" i="24"/>
  <c r="Y97" i="24"/>
  <c r="U97" i="24"/>
  <c r="Q97" i="24"/>
  <c r="M97" i="24"/>
  <c r="BX96" i="24"/>
  <c r="BT96" i="24"/>
  <c r="BP96" i="24"/>
  <c r="BL96" i="24"/>
  <c r="BH96" i="24"/>
  <c r="BD96" i="24"/>
  <c r="AZ96" i="24"/>
  <c r="AK96" i="24"/>
  <c r="AG96" i="24"/>
  <c r="AC96" i="24"/>
  <c r="Y96" i="24"/>
  <c r="U96" i="24"/>
  <c r="Q96" i="24"/>
  <c r="M96" i="24"/>
  <c r="BX95" i="24"/>
  <c r="BT95" i="24"/>
  <c r="BP95" i="24"/>
  <c r="BL95" i="24"/>
  <c r="BH95" i="24"/>
  <c r="BD95" i="24"/>
  <c r="AZ95" i="24"/>
  <c r="AK95" i="24"/>
  <c r="AG95" i="24"/>
  <c r="AC95" i="24"/>
  <c r="Y95" i="24"/>
  <c r="U95" i="24"/>
  <c r="Q95" i="24"/>
  <c r="M95" i="24"/>
  <c r="BX94" i="24"/>
  <c r="BT94" i="24"/>
  <c r="BP94" i="24"/>
  <c r="BL94" i="24"/>
  <c r="BH94" i="24"/>
  <c r="BD94" i="24"/>
  <c r="AZ94" i="24"/>
  <c r="AK94" i="24"/>
  <c r="AG94" i="24"/>
  <c r="AC94" i="24"/>
  <c r="Y94" i="24"/>
  <c r="U94" i="24"/>
  <c r="Q94" i="24"/>
  <c r="M94" i="24"/>
  <c r="BX93" i="24"/>
  <c r="BT93" i="24"/>
  <c r="BP93" i="24"/>
  <c r="BL93" i="24"/>
  <c r="BH93" i="24"/>
  <c r="BD93" i="24"/>
  <c r="AZ93" i="24"/>
  <c r="AK93" i="24"/>
  <c r="AG93" i="24"/>
  <c r="AC93" i="24"/>
  <c r="Y93" i="24"/>
  <c r="U93" i="24"/>
  <c r="Q93" i="24"/>
  <c r="M93" i="24"/>
  <c r="BX92" i="24"/>
  <c r="BT92" i="24"/>
  <c r="BP92" i="24"/>
  <c r="BL92" i="24"/>
  <c r="BH92" i="24"/>
  <c r="BD92" i="24"/>
  <c r="AZ92" i="24"/>
  <c r="AK92" i="24"/>
  <c r="AG92" i="24"/>
  <c r="AC92" i="24"/>
  <c r="Y92" i="24"/>
  <c r="U92" i="24"/>
  <c r="Q92" i="24"/>
  <c r="M92" i="24"/>
  <c r="BX91" i="24"/>
  <c r="BT91" i="24"/>
  <c r="BP91" i="24"/>
  <c r="BL91" i="24"/>
  <c r="BH91" i="24"/>
  <c r="BD91" i="24"/>
  <c r="AZ91" i="24"/>
  <c r="AK91" i="24"/>
  <c r="AG91" i="24"/>
  <c r="AC91" i="24"/>
  <c r="Y91" i="24"/>
  <c r="U91" i="24"/>
  <c r="Q91" i="24"/>
  <c r="M91" i="24"/>
  <c r="BX90" i="24"/>
  <c r="BT90" i="24"/>
  <c r="BP90" i="24"/>
  <c r="BL90" i="24"/>
  <c r="BH90" i="24"/>
  <c r="BD90" i="24"/>
  <c r="AZ90" i="24"/>
  <c r="AK90" i="24"/>
  <c r="AG90" i="24"/>
  <c r="AC90" i="24"/>
  <c r="Y90" i="24"/>
  <c r="U90" i="24"/>
  <c r="Q90" i="24"/>
  <c r="M90" i="24"/>
  <c r="BX89" i="24"/>
  <c r="BT89" i="24"/>
  <c r="BP89" i="24"/>
  <c r="BL89" i="24"/>
  <c r="BH89" i="24"/>
  <c r="BD89" i="24"/>
  <c r="AZ89" i="24"/>
  <c r="AK89" i="24"/>
  <c r="AG89" i="24"/>
  <c r="AC89" i="24"/>
  <c r="Y89" i="24"/>
  <c r="U89" i="24"/>
  <c r="Q89" i="24"/>
  <c r="M89" i="24"/>
  <c r="BX88" i="24"/>
  <c r="BT88" i="24"/>
  <c r="BP88" i="24"/>
  <c r="BL88" i="24"/>
  <c r="BH88" i="24"/>
  <c r="BD88" i="24"/>
  <c r="AZ88" i="24"/>
  <c r="AK88" i="24"/>
  <c r="AG88" i="24"/>
  <c r="AC88" i="24"/>
  <c r="Y88" i="24"/>
  <c r="U88" i="24"/>
  <c r="Q88" i="24"/>
  <c r="M88" i="24"/>
  <c r="BX87" i="24"/>
  <c r="BT87" i="24"/>
  <c r="BP87" i="24"/>
  <c r="BL87" i="24"/>
  <c r="BH87" i="24"/>
  <c r="BD87" i="24"/>
  <c r="AZ87" i="24"/>
  <c r="AK87" i="24"/>
  <c r="AG87" i="24"/>
  <c r="AC87" i="24"/>
  <c r="Y87" i="24"/>
  <c r="U87" i="24"/>
  <c r="Q87" i="24"/>
  <c r="M87" i="24"/>
  <c r="BX86" i="24"/>
  <c r="BT86" i="24"/>
  <c r="BP86" i="24"/>
  <c r="BL86" i="24"/>
  <c r="BH86" i="24"/>
  <c r="BD86" i="24"/>
  <c r="AZ86" i="24"/>
  <c r="AK86" i="24"/>
  <c r="AG86" i="24"/>
  <c r="AC86" i="24"/>
  <c r="Y86" i="24"/>
  <c r="U86" i="24"/>
  <c r="Q86" i="24"/>
  <c r="M86" i="24"/>
  <c r="BX85" i="24"/>
  <c r="BT85" i="24"/>
  <c r="BP85" i="24"/>
  <c r="BL85" i="24"/>
  <c r="BH85" i="24"/>
  <c r="BD85" i="24"/>
  <c r="AZ85" i="24"/>
  <c r="AK85" i="24"/>
  <c r="AG85" i="24"/>
  <c r="AC85" i="24"/>
  <c r="Y85" i="24"/>
  <c r="U85" i="24"/>
  <c r="Q85" i="24"/>
  <c r="M85" i="24"/>
  <c r="BX84" i="24"/>
  <c r="BT84" i="24"/>
  <c r="BP84" i="24"/>
  <c r="BL84" i="24"/>
  <c r="BH84" i="24"/>
  <c r="BD84" i="24"/>
  <c r="AZ84" i="24"/>
  <c r="AK84" i="24"/>
  <c r="AG84" i="24"/>
  <c r="AC84" i="24"/>
  <c r="Y84" i="24"/>
  <c r="U84" i="24"/>
  <c r="Q84" i="24"/>
  <c r="M84" i="24"/>
  <c r="BX83" i="24"/>
  <c r="BT83" i="24"/>
  <c r="BP83" i="24"/>
  <c r="BL83" i="24"/>
  <c r="BH83" i="24"/>
  <c r="BD83" i="24"/>
  <c r="AZ83" i="24"/>
  <c r="AK83" i="24"/>
  <c r="AG83" i="24"/>
  <c r="AC83" i="24"/>
  <c r="Y83" i="24"/>
  <c r="U83" i="24"/>
  <c r="Q83" i="24"/>
  <c r="M83" i="24"/>
  <c r="BX82" i="24"/>
  <c r="BT82" i="24"/>
  <c r="BP82" i="24"/>
  <c r="BL82" i="24"/>
  <c r="BH82" i="24"/>
  <c r="BD82" i="24"/>
  <c r="AZ82" i="24"/>
  <c r="AK82" i="24"/>
  <c r="AG82" i="24"/>
  <c r="AC82" i="24"/>
  <c r="Y82" i="24"/>
  <c r="U82" i="24"/>
  <c r="Q82" i="24"/>
  <c r="M82" i="24"/>
  <c r="BX81" i="24"/>
  <c r="BT81" i="24"/>
  <c r="BP81" i="24"/>
  <c r="BL81" i="24"/>
  <c r="BH81" i="24"/>
  <c r="BD81" i="24"/>
  <c r="AZ81" i="24"/>
  <c r="AK81" i="24"/>
  <c r="AG81" i="24"/>
  <c r="AC81" i="24"/>
  <c r="Y81" i="24"/>
  <c r="U81" i="24"/>
  <c r="Q81" i="24"/>
  <c r="M81" i="24"/>
  <c r="BX80" i="24"/>
  <c r="BT80" i="24"/>
  <c r="BP80" i="24"/>
  <c r="BL80" i="24"/>
  <c r="BH80" i="24"/>
  <c r="BD80" i="24"/>
  <c r="AZ80" i="24"/>
  <c r="AO80" i="24"/>
  <c r="AK80" i="24"/>
  <c r="AG80" i="24"/>
  <c r="AC80" i="24"/>
  <c r="Y80" i="24"/>
  <c r="U80" i="24"/>
  <c r="Q80" i="24"/>
  <c r="M80" i="24"/>
  <c r="BX79" i="24"/>
  <c r="BT79" i="24"/>
  <c r="BP79" i="24"/>
  <c r="BL79" i="24"/>
  <c r="BH79" i="24"/>
  <c r="BD79" i="24"/>
  <c r="AZ79" i="24"/>
  <c r="AK79" i="24"/>
  <c r="AG79" i="24"/>
  <c r="AC79" i="24"/>
  <c r="Y79" i="24"/>
  <c r="U79" i="24"/>
  <c r="Q79" i="24"/>
  <c r="M79" i="24"/>
  <c r="BX78" i="24"/>
  <c r="BT78" i="24"/>
  <c r="BP78" i="24"/>
  <c r="BL78" i="24"/>
  <c r="BH78" i="24"/>
  <c r="BD78" i="24"/>
  <c r="AZ78" i="24"/>
  <c r="AK78" i="24"/>
  <c r="AG78" i="24"/>
  <c r="AC78" i="24"/>
  <c r="Y78" i="24"/>
  <c r="U78" i="24"/>
  <c r="Q78" i="24"/>
  <c r="M78" i="24"/>
  <c r="BX77" i="24"/>
  <c r="BT77" i="24"/>
  <c r="BP77" i="24"/>
  <c r="BL77" i="24"/>
  <c r="BH77" i="24"/>
  <c r="BD77" i="24"/>
  <c r="AZ77" i="24"/>
  <c r="AK77" i="24"/>
  <c r="AG77" i="24"/>
  <c r="AC77" i="24"/>
  <c r="Y77" i="24"/>
  <c r="U77" i="24"/>
  <c r="Q77" i="24"/>
  <c r="M77" i="24"/>
  <c r="BX76" i="24"/>
  <c r="BT76" i="24"/>
  <c r="BP76" i="24"/>
  <c r="BL76" i="24"/>
  <c r="BH76" i="24"/>
  <c r="BD76" i="24"/>
  <c r="AZ76" i="24"/>
  <c r="AK76" i="24"/>
  <c r="AG76" i="24"/>
  <c r="AC76" i="24"/>
  <c r="Y76" i="24"/>
  <c r="U76" i="24"/>
  <c r="Q76" i="24"/>
  <c r="M76" i="24"/>
  <c r="BX75" i="24"/>
  <c r="BT75" i="24"/>
  <c r="BP75" i="24"/>
  <c r="BL75" i="24"/>
  <c r="BH75" i="24"/>
  <c r="BD75" i="24"/>
  <c r="AZ75" i="24"/>
  <c r="AK75" i="24"/>
  <c r="AG75" i="24"/>
  <c r="AC75" i="24"/>
  <c r="Y75" i="24"/>
  <c r="U75" i="24"/>
  <c r="Q75" i="24"/>
  <c r="M75" i="24"/>
  <c r="BX74" i="24"/>
  <c r="BT74" i="24"/>
  <c r="BP74" i="24"/>
  <c r="BL74" i="24"/>
  <c r="BH74" i="24"/>
  <c r="BD74" i="24"/>
  <c r="AZ74" i="24"/>
  <c r="AK74" i="24"/>
  <c r="AG74" i="24"/>
  <c r="AC74" i="24"/>
  <c r="Y74" i="24"/>
  <c r="U74" i="24"/>
  <c r="Q74" i="24"/>
  <c r="M74" i="24"/>
  <c r="BX73" i="24"/>
  <c r="BT73" i="24"/>
  <c r="BP73" i="24"/>
  <c r="BL73" i="24"/>
  <c r="BH73" i="24"/>
  <c r="BD73" i="24"/>
  <c r="AZ73" i="24"/>
  <c r="AK73" i="24"/>
  <c r="AG73" i="24"/>
  <c r="AC73" i="24"/>
  <c r="Y73" i="24"/>
  <c r="U73" i="24"/>
  <c r="Q73" i="24"/>
  <c r="M73" i="24"/>
  <c r="BX72" i="24"/>
  <c r="BT72" i="24"/>
  <c r="BP72" i="24"/>
  <c r="BL72" i="24"/>
  <c r="BH72" i="24"/>
  <c r="BD72" i="24"/>
  <c r="AZ72" i="24"/>
  <c r="AK72" i="24"/>
  <c r="AG72" i="24"/>
  <c r="AC72" i="24"/>
  <c r="Y72" i="24"/>
  <c r="U72" i="24"/>
  <c r="Q72" i="24"/>
  <c r="M72" i="24"/>
  <c r="BX71" i="24"/>
  <c r="BT71" i="24"/>
  <c r="BP71" i="24"/>
  <c r="BL71" i="24"/>
  <c r="BH71" i="24"/>
  <c r="BD71" i="24"/>
  <c r="AZ71" i="24"/>
  <c r="AK71" i="24"/>
  <c r="AG71" i="24"/>
  <c r="AC71" i="24"/>
  <c r="Y71" i="24"/>
  <c r="U71" i="24"/>
  <c r="Q71" i="24"/>
  <c r="M71" i="24"/>
  <c r="BX70" i="24"/>
  <c r="BT70" i="24"/>
  <c r="BP70" i="24"/>
  <c r="BL70" i="24"/>
  <c r="BH70" i="24"/>
  <c r="BD70" i="24"/>
  <c r="AZ70" i="24"/>
  <c r="AK70" i="24"/>
  <c r="AG70" i="24"/>
  <c r="AC70" i="24"/>
  <c r="Y70" i="24"/>
  <c r="U70" i="24"/>
  <c r="Q70" i="24"/>
  <c r="M70" i="24"/>
  <c r="BX69" i="24"/>
  <c r="BT69" i="24"/>
  <c r="BP69" i="24"/>
  <c r="BL69" i="24"/>
  <c r="BH69" i="24"/>
  <c r="BD69" i="24"/>
  <c r="AZ69" i="24"/>
  <c r="AK69" i="24"/>
  <c r="AG69" i="24"/>
  <c r="AC69" i="24"/>
  <c r="Y69" i="24"/>
  <c r="U69" i="24"/>
  <c r="Q69" i="24"/>
  <c r="M69" i="24"/>
  <c r="BX68" i="24"/>
  <c r="BT68" i="24"/>
  <c r="BP68" i="24"/>
  <c r="BL68" i="24"/>
  <c r="BH68" i="24"/>
  <c r="BD68" i="24"/>
  <c r="AZ68" i="24"/>
  <c r="AK68" i="24"/>
  <c r="AG68" i="24"/>
  <c r="AC68" i="24"/>
  <c r="Y68" i="24"/>
  <c r="U68" i="24"/>
  <c r="Q68" i="24"/>
  <c r="M68" i="24"/>
  <c r="BX67" i="24"/>
  <c r="BT67" i="24"/>
  <c r="BP67" i="24"/>
  <c r="BL67" i="24"/>
  <c r="BH67" i="24"/>
  <c r="BD67" i="24"/>
  <c r="AZ67" i="24"/>
  <c r="AK67" i="24"/>
  <c r="AG67" i="24"/>
  <c r="AC67" i="24"/>
  <c r="Y67" i="24"/>
  <c r="U67" i="24"/>
  <c r="Q67" i="24"/>
  <c r="M67" i="24"/>
  <c r="BX66" i="24"/>
  <c r="BT66" i="24"/>
  <c r="BP66" i="24"/>
  <c r="BL66" i="24"/>
  <c r="BH66" i="24"/>
  <c r="BD66" i="24"/>
  <c r="AZ66" i="24"/>
  <c r="AK66" i="24"/>
  <c r="AG66" i="24"/>
  <c r="AC66" i="24"/>
  <c r="Y66" i="24"/>
  <c r="U66" i="24"/>
  <c r="Q66" i="24"/>
  <c r="M66" i="24"/>
  <c r="BX65" i="24"/>
  <c r="BT65" i="24"/>
  <c r="BP65" i="24"/>
  <c r="BL65" i="24"/>
  <c r="BH65" i="24"/>
  <c r="BD65" i="24"/>
  <c r="AZ65" i="24"/>
  <c r="AK65" i="24"/>
  <c r="AG65" i="24"/>
  <c r="AC65" i="24"/>
  <c r="Y65" i="24"/>
  <c r="U65" i="24"/>
  <c r="Q65" i="24"/>
  <c r="M65" i="24"/>
  <c r="BX64" i="24"/>
  <c r="BT64" i="24"/>
  <c r="BP64" i="24"/>
  <c r="BL64" i="24"/>
  <c r="BH64" i="24"/>
  <c r="BD64" i="24"/>
  <c r="AZ64" i="24"/>
  <c r="AK64" i="24"/>
  <c r="AG64" i="24"/>
  <c r="AC64" i="24"/>
  <c r="Y64" i="24"/>
  <c r="U64" i="24"/>
  <c r="Q64" i="24"/>
  <c r="M64" i="24"/>
  <c r="BX63" i="24"/>
  <c r="BT63" i="24"/>
  <c r="BP63" i="24"/>
  <c r="BL63" i="24"/>
  <c r="BH63" i="24"/>
  <c r="BD63" i="24"/>
  <c r="AZ63" i="24"/>
  <c r="AK63" i="24"/>
  <c r="AG63" i="24"/>
  <c r="AC63" i="24"/>
  <c r="Y63" i="24"/>
  <c r="U63" i="24"/>
  <c r="Q63" i="24"/>
  <c r="M63" i="24"/>
  <c r="BX62" i="24"/>
  <c r="BT62" i="24"/>
  <c r="BP62" i="24"/>
  <c r="BL62" i="24"/>
  <c r="BH62" i="24"/>
  <c r="BD62" i="24"/>
  <c r="AZ62" i="24"/>
  <c r="AK62" i="24"/>
  <c r="AG62" i="24"/>
  <c r="AC62" i="24"/>
  <c r="Y62" i="24"/>
  <c r="U62" i="24"/>
  <c r="Q62" i="24"/>
  <c r="M62" i="24"/>
  <c r="BX61" i="24"/>
  <c r="BT61" i="24"/>
  <c r="BP61" i="24"/>
  <c r="BL61" i="24"/>
  <c r="BH61" i="24"/>
  <c r="BD61" i="24"/>
  <c r="AZ61" i="24"/>
  <c r="AK61" i="24"/>
  <c r="AG61" i="24"/>
  <c r="AC61" i="24"/>
  <c r="Y61" i="24"/>
  <c r="U61" i="24"/>
  <c r="Q61" i="24"/>
  <c r="M61" i="24"/>
  <c r="BX60" i="24"/>
  <c r="BT60" i="24"/>
  <c r="BP60" i="24"/>
  <c r="BL60" i="24"/>
  <c r="BH60" i="24"/>
  <c r="BD60" i="24"/>
  <c r="AZ60" i="24"/>
  <c r="AK60" i="24"/>
  <c r="AG60" i="24"/>
  <c r="AC60" i="24"/>
  <c r="Y60" i="24"/>
  <c r="U60" i="24"/>
  <c r="Q60" i="24"/>
  <c r="M60" i="24"/>
  <c r="BX59" i="24"/>
  <c r="BT59" i="24"/>
  <c r="BP59" i="24"/>
  <c r="BL59" i="24"/>
  <c r="BH59" i="24"/>
  <c r="BD59" i="24"/>
  <c r="AZ59" i="24"/>
  <c r="AS59" i="24"/>
  <c r="AK59" i="24"/>
  <c r="AG59" i="24"/>
  <c r="AC59" i="24"/>
  <c r="Y59" i="24"/>
  <c r="U59" i="24"/>
  <c r="Q59" i="24"/>
  <c r="M59" i="24"/>
  <c r="BX58" i="24"/>
  <c r="BT58" i="24"/>
  <c r="BP58" i="24"/>
  <c r="BL58" i="24"/>
  <c r="BH58" i="24"/>
  <c r="BD58" i="24"/>
  <c r="AZ58" i="24"/>
  <c r="AS58" i="24"/>
  <c r="AK58" i="24"/>
  <c r="AG58" i="24"/>
  <c r="AC58" i="24"/>
  <c r="Y58" i="24"/>
  <c r="U58" i="24"/>
  <c r="Q58" i="24"/>
  <c r="M58" i="24"/>
  <c r="BX57" i="24"/>
  <c r="BT57" i="24"/>
  <c r="BP57" i="24"/>
  <c r="BL57" i="24"/>
  <c r="BH57" i="24"/>
  <c r="BD57" i="24"/>
  <c r="AZ57" i="24"/>
  <c r="AS57" i="24"/>
  <c r="AO57" i="24"/>
  <c r="AK57" i="24"/>
  <c r="AG57" i="24"/>
  <c r="AC57" i="24"/>
  <c r="Y57" i="24"/>
  <c r="Q57" i="24"/>
  <c r="M57" i="24"/>
  <c r="BX56" i="24"/>
  <c r="BT56" i="24"/>
  <c r="BP56" i="24"/>
  <c r="BL56" i="24"/>
  <c r="BH56" i="24"/>
  <c r="BD56" i="24"/>
  <c r="AZ56" i="24"/>
  <c r="AS56" i="24"/>
  <c r="AO56" i="24"/>
  <c r="AK56" i="24"/>
  <c r="AG56" i="24"/>
  <c r="AC56" i="24"/>
  <c r="Y56" i="24"/>
  <c r="U56" i="24"/>
  <c r="Q56" i="24"/>
  <c r="M56" i="24"/>
  <c r="BX55" i="24"/>
  <c r="BT55" i="24"/>
  <c r="BP55" i="24"/>
  <c r="BL55" i="24"/>
  <c r="BH55" i="24"/>
  <c r="BD55" i="24"/>
  <c r="AZ55" i="24"/>
  <c r="AK55" i="24"/>
  <c r="AG55" i="24"/>
  <c r="AC55" i="24"/>
  <c r="Y55" i="24"/>
  <c r="U55" i="24"/>
  <c r="Q55" i="24"/>
  <c r="M55" i="24"/>
  <c r="BX54" i="24"/>
  <c r="BT54" i="24"/>
  <c r="BP54" i="24"/>
  <c r="BL54" i="24"/>
  <c r="BH54" i="24"/>
  <c r="BD54" i="24"/>
  <c r="AZ54" i="24"/>
  <c r="AS54" i="24"/>
  <c r="AO54" i="24"/>
  <c r="AK54" i="24"/>
  <c r="AG54" i="24"/>
  <c r="AC54" i="24"/>
  <c r="Y54" i="24"/>
  <c r="U54" i="24"/>
  <c r="Q54" i="24"/>
  <c r="M54" i="24"/>
  <c r="BX53" i="24"/>
  <c r="BT53" i="24"/>
  <c r="BP53" i="24"/>
  <c r="BL53" i="24"/>
  <c r="BH53" i="24"/>
  <c r="BD53" i="24"/>
  <c r="AZ53" i="24"/>
  <c r="AS53" i="24"/>
  <c r="AO53" i="24"/>
  <c r="AK53" i="24"/>
  <c r="AG53" i="24"/>
  <c r="AC53" i="24"/>
  <c r="Y53" i="24"/>
  <c r="U53" i="24"/>
  <c r="Q53" i="24"/>
  <c r="M53" i="24"/>
  <c r="BX52" i="24"/>
  <c r="BT52" i="24"/>
  <c r="BP52" i="24"/>
  <c r="BL52" i="24"/>
  <c r="BH52" i="24"/>
  <c r="BD52" i="24"/>
  <c r="AZ52" i="24"/>
  <c r="AS52" i="24"/>
  <c r="AO52" i="24"/>
  <c r="AK52" i="24"/>
  <c r="AG52" i="24"/>
  <c r="AC52" i="24"/>
  <c r="Y52" i="24"/>
  <c r="U52" i="24"/>
  <c r="Q52" i="24"/>
  <c r="M52" i="24"/>
  <c r="BX51" i="24"/>
  <c r="BT51" i="24"/>
  <c r="BP51" i="24"/>
  <c r="BL51" i="24"/>
  <c r="BH51" i="24"/>
  <c r="BD51" i="24"/>
  <c r="AZ51" i="24"/>
  <c r="AK51" i="24"/>
  <c r="AG51" i="24"/>
  <c r="AC51" i="24"/>
  <c r="Y51" i="24"/>
  <c r="U51" i="24"/>
  <c r="Q51" i="24"/>
  <c r="M51" i="24"/>
  <c r="BX50" i="24"/>
  <c r="BT50" i="24"/>
  <c r="BP50" i="24"/>
  <c r="BL50" i="24"/>
  <c r="BH50" i="24"/>
  <c r="BD50" i="24"/>
  <c r="AZ50" i="24"/>
  <c r="AS50" i="24"/>
  <c r="AO50" i="24"/>
  <c r="AK50" i="24"/>
  <c r="AG50" i="24"/>
  <c r="AC50" i="24"/>
  <c r="Y50" i="24"/>
  <c r="U50" i="24"/>
  <c r="Q50" i="24"/>
  <c r="M50" i="24"/>
  <c r="BX49" i="24"/>
  <c r="BT49" i="24"/>
  <c r="BP49" i="24"/>
  <c r="BL49" i="24"/>
  <c r="BH49" i="24"/>
  <c r="BD49" i="24"/>
  <c r="AZ49" i="24"/>
  <c r="AS49" i="24"/>
  <c r="AO49" i="24"/>
  <c r="AK49" i="24"/>
  <c r="AG49" i="24"/>
  <c r="AC49" i="24"/>
  <c r="Y49" i="24"/>
  <c r="U49" i="24"/>
  <c r="Q49" i="24"/>
  <c r="M49" i="24"/>
  <c r="BX48" i="24"/>
  <c r="BT48" i="24"/>
  <c r="BP48" i="24"/>
  <c r="BL48" i="24"/>
  <c r="BH48" i="24"/>
  <c r="BD48" i="24"/>
  <c r="AZ48" i="24"/>
  <c r="AK48" i="24"/>
  <c r="AG48" i="24"/>
  <c r="AC48" i="24"/>
  <c r="Y48" i="24"/>
  <c r="U48" i="24"/>
  <c r="Q48" i="24"/>
  <c r="M48" i="24"/>
  <c r="BX47" i="24"/>
  <c r="BT47" i="24"/>
  <c r="BP47" i="24"/>
  <c r="BL47" i="24"/>
  <c r="BH47" i="24"/>
  <c r="BD47" i="24"/>
  <c r="AZ47" i="24"/>
  <c r="AK47" i="24"/>
  <c r="AG47" i="24"/>
  <c r="AC47" i="24"/>
  <c r="Y47" i="24"/>
  <c r="U47" i="24"/>
  <c r="Q47" i="24"/>
  <c r="M47" i="24"/>
  <c r="BX46" i="24"/>
  <c r="BT46" i="24"/>
  <c r="BP46" i="24"/>
  <c r="BL46" i="24"/>
  <c r="BH46" i="24"/>
  <c r="BD46" i="24"/>
  <c r="AZ46" i="24"/>
  <c r="AK46" i="24"/>
  <c r="AG46" i="24"/>
  <c r="AC46" i="24"/>
  <c r="Y46" i="24"/>
  <c r="U46" i="24"/>
  <c r="Q46" i="24"/>
  <c r="M46" i="24"/>
  <c r="BX45" i="24"/>
  <c r="BT45" i="24"/>
  <c r="BP45" i="24"/>
  <c r="BL45" i="24"/>
  <c r="BH45" i="24"/>
  <c r="BD45" i="24"/>
  <c r="AZ45" i="24"/>
  <c r="AS45" i="24"/>
  <c r="AO45" i="24"/>
  <c r="AK45" i="24"/>
  <c r="AG45" i="24"/>
  <c r="AC45" i="24"/>
  <c r="Y45" i="24"/>
  <c r="U45" i="24"/>
  <c r="Q45" i="24"/>
  <c r="M45" i="24"/>
  <c r="BX44" i="24"/>
  <c r="BT44" i="24"/>
  <c r="BP44" i="24"/>
  <c r="BL44" i="24"/>
  <c r="BH44" i="24"/>
  <c r="BD44" i="24"/>
  <c r="AZ44" i="24"/>
  <c r="AK44" i="24"/>
  <c r="AG44" i="24"/>
  <c r="AC44" i="24"/>
  <c r="Y44" i="24"/>
  <c r="U44" i="24"/>
  <c r="Q44" i="24"/>
  <c r="M44" i="24"/>
  <c r="BX43" i="24"/>
  <c r="BT43" i="24"/>
  <c r="BP43" i="24"/>
  <c r="BL43" i="24"/>
  <c r="BH43" i="24"/>
  <c r="BD43" i="24"/>
  <c r="AZ43" i="24"/>
  <c r="AS43" i="24"/>
  <c r="AO43" i="24"/>
  <c r="AK43" i="24"/>
  <c r="AG43" i="24"/>
  <c r="AC43" i="24"/>
  <c r="Y43" i="24"/>
  <c r="U43" i="24"/>
  <c r="Q43" i="24"/>
  <c r="M43" i="24"/>
  <c r="BX42" i="24"/>
  <c r="BT42" i="24"/>
  <c r="BP42" i="24"/>
  <c r="BL42" i="24"/>
  <c r="BH42" i="24"/>
  <c r="BD42" i="24"/>
  <c r="AZ42" i="24"/>
  <c r="AS42" i="24"/>
  <c r="AO42" i="24"/>
  <c r="AK42" i="24"/>
  <c r="AG42" i="24"/>
  <c r="AC42" i="24"/>
  <c r="Y42" i="24"/>
  <c r="U42" i="24"/>
  <c r="Q42" i="24"/>
  <c r="M42" i="24"/>
  <c r="BX41" i="24"/>
  <c r="BT41" i="24"/>
  <c r="BP41" i="24"/>
  <c r="BL41" i="24"/>
  <c r="BH41" i="24"/>
  <c r="BD41" i="24"/>
  <c r="AZ41" i="24"/>
  <c r="AS41" i="24"/>
  <c r="AO41" i="24"/>
  <c r="AK41" i="24"/>
  <c r="AG41" i="24"/>
  <c r="AC41" i="24"/>
  <c r="Y41" i="24"/>
  <c r="U41" i="24"/>
  <c r="Q41" i="24"/>
  <c r="M41" i="24"/>
  <c r="BX40" i="24"/>
  <c r="BT40" i="24"/>
  <c r="BP40" i="24"/>
  <c r="BL40" i="24"/>
  <c r="BH40" i="24"/>
  <c r="BD40" i="24"/>
  <c r="AZ40" i="24"/>
  <c r="AK40" i="24"/>
  <c r="AG40" i="24"/>
  <c r="AC40" i="24"/>
  <c r="Y40" i="24"/>
  <c r="U40" i="24"/>
  <c r="Q40" i="24"/>
  <c r="M40" i="24"/>
  <c r="BX39" i="24"/>
  <c r="BT39" i="24"/>
  <c r="BP39" i="24"/>
  <c r="BL39" i="24"/>
  <c r="BH39" i="24"/>
  <c r="BD39" i="24"/>
  <c r="AZ39" i="24"/>
  <c r="AS39" i="24"/>
  <c r="AO39" i="24"/>
  <c r="AK39" i="24"/>
  <c r="AG39" i="24"/>
  <c r="AC39" i="24"/>
  <c r="Y39" i="24"/>
  <c r="U39" i="24"/>
  <c r="Q39" i="24"/>
  <c r="M39" i="24"/>
  <c r="BX38" i="24"/>
  <c r="BT38" i="24"/>
  <c r="BP38" i="24"/>
  <c r="BL38" i="24"/>
  <c r="BH38" i="24"/>
  <c r="BD38" i="24"/>
  <c r="AZ38" i="24"/>
  <c r="AS38" i="24"/>
  <c r="AO38" i="24"/>
  <c r="AK38" i="24"/>
  <c r="AG38" i="24"/>
  <c r="AC38" i="24"/>
  <c r="Y38" i="24"/>
  <c r="U38" i="24"/>
  <c r="Q38" i="24"/>
  <c r="M38" i="24"/>
  <c r="BX37" i="24"/>
  <c r="BT37" i="24"/>
  <c r="BP37" i="24"/>
  <c r="BL37" i="24"/>
  <c r="BH37" i="24"/>
  <c r="BD37" i="24"/>
  <c r="AZ37" i="24"/>
  <c r="AS37" i="24"/>
  <c r="AO37" i="24"/>
  <c r="AK37" i="24"/>
  <c r="AG37" i="24"/>
  <c r="AC37" i="24"/>
  <c r="Y37" i="24"/>
  <c r="U37" i="24"/>
  <c r="Q37" i="24"/>
  <c r="M37" i="24"/>
  <c r="BX36" i="24"/>
  <c r="BT36" i="24"/>
  <c r="BP36" i="24"/>
  <c r="BL36" i="24"/>
  <c r="BH36" i="24"/>
  <c r="BD36" i="24"/>
  <c r="AZ36" i="24"/>
  <c r="AK36" i="24"/>
  <c r="AG36" i="24"/>
  <c r="AC36" i="24"/>
  <c r="Y36" i="24"/>
  <c r="U36" i="24"/>
  <c r="Q36" i="24"/>
  <c r="M36" i="24"/>
  <c r="BX35" i="24"/>
  <c r="BT35" i="24"/>
  <c r="BP35" i="24"/>
  <c r="BL35" i="24"/>
  <c r="BH35" i="24"/>
  <c r="BD35" i="24"/>
  <c r="AZ35" i="24"/>
  <c r="AK35" i="24"/>
  <c r="AG35" i="24"/>
  <c r="AC35" i="24"/>
  <c r="Y35" i="24"/>
  <c r="U35" i="24"/>
  <c r="Q35" i="24"/>
  <c r="M35" i="24"/>
  <c r="BX34" i="24"/>
  <c r="BT34" i="24"/>
  <c r="BP34" i="24"/>
  <c r="BL34" i="24"/>
  <c r="BH34" i="24"/>
  <c r="BD34" i="24"/>
  <c r="AZ34" i="24"/>
  <c r="AS34" i="24"/>
  <c r="AO34" i="24"/>
  <c r="AK34" i="24"/>
  <c r="AG34" i="24"/>
  <c r="AC34" i="24"/>
  <c r="Y34" i="24"/>
  <c r="U34" i="24"/>
  <c r="Q34" i="24"/>
  <c r="M34" i="24"/>
  <c r="BX33" i="24"/>
  <c r="BT33" i="24"/>
  <c r="BP33" i="24"/>
  <c r="BL33" i="24"/>
  <c r="BH33" i="24"/>
  <c r="BD33" i="24"/>
  <c r="AZ33" i="24"/>
  <c r="AS33" i="24"/>
  <c r="AO33" i="24"/>
  <c r="AK33" i="24"/>
  <c r="AG33" i="24"/>
  <c r="AC33" i="24"/>
  <c r="Y33" i="24"/>
  <c r="U33" i="24"/>
  <c r="Q33" i="24"/>
  <c r="M33" i="24"/>
  <c r="BX32" i="24"/>
  <c r="BT32" i="24"/>
  <c r="BP32" i="24"/>
  <c r="BL32" i="24"/>
  <c r="BH32" i="24"/>
  <c r="BD32" i="24"/>
  <c r="AZ32" i="24"/>
  <c r="AS32" i="24"/>
  <c r="AO32" i="24"/>
  <c r="AK32" i="24"/>
  <c r="AG32" i="24"/>
  <c r="AC32" i="24"/>
  <c r="Y32" i="24"/>
  <c r="U32" i="24"/>
  <c r="Q32" i="24"/>
  <c r="M32" i="24"/>
  <c r="BX31" i="24"/>
  <c r="BT31" i="24"/>
  <c r="BP31" i="24"/>
  <c r="BL31" i="24"/>
  <c r="BH31" i="24"/>
  <c r="BD31" i="24"/>
  <c r="AZ31" i="24"/>
  <c r="AK31" i="24"/>
  <c r="AG31" i="24"/>
  <c r="AC31" i="24"/>
  <c r="Y31" i="24"/>
  <c r="U31" i="24"/>
  <c r="Q31" i="24"/>
  <c r="M31" i="24"/>
  <c r="BX30" i="24"/>
  <c r="BT30" i="24"/>
  <c r="BP30" i="24"/>
  <c r="BL30" i="24"/>
  <c r="BH30" i="24"/>
  <c r="BD30" i="24"/>
  <c r="AZ30" i="24"/>
  <c r="AS30" i="24"/>
  <c r="AO30" i="24"/>
  <c r="AK30" i="24"/>
  <c r="AG30" i="24"/>
  <c r="AC30" i="24"/>
  <c r="Y30" i="24"/>
  <c r="U30" i="24"/>
  <c r="Q30" i="24"/>
  <c r="M30" i="24"/>
  <c r="BX29" i="24"/>
  <c r="BT29" i="24"/>
  <c r="BP29" i="24"/>
  <c r="BL29" i="24"/>
  <c r="BH29" i="24"/>
  <c r="BD29" i="24"/>
  <c r="AZ29" i="24"/>
  <c r="AK29" i="24"/>
  <c r="AG29" i="24"/>
  <c r="AC29" i="24"/>
  <c r="Y29" i="24"/>
  <c r="U29" i="24"/>
  <c r="Q29" i="24"/>
  <c r="M29" i="24"/>
  <c r="BX28" i="24"/>
  <c r="BT28" i="24"/>
  <c r="BP28" i="24"/>
  <c r="BL28" i="24"/>
  <c r="BH28" i="24"/>
  <c r="BD28" i="24"/>
  <c r="AZ28" i="24"/>
  <c r="AS28" i="24"/>
  <c r="AO28" i="24"/>
  <c r="AK28" i="24"/>
  <c r="AG28" i="24"/>
  <c r="AC28" i="24"/>
  <c r="Y28" i="24"/>
  <c r="U28" i="24"/>
  <c r="Q28" i="24"/>
  <c r="M28" i="24"/>
  <c r="BX27" i="24"/>
  <c r="BT27" i="24"/>
  <c r="BP27" i="24"/>
  <c r="BL27" i="24"/>
  <c r="BH27" i="24"/>
  <c r="BD27" i="24"/>
  <c r="AZ27" i="24"/>
  <c r="AS27" i="24"/>
  <c r="AO27" i="24"/>
  <c r="AK27" i="24"/>
  <c r="AG27" i="24"/>
  <c r="AC27" i="24"/>
  <c r="Y27" i="24"/>
  <c r="U27" i="24"/>
  <c r="Q27" i="24"/>
  <c r="M27" i="24"/>
  <c r="BX26" i="24"/>
  <c r="BT26" i="24"/>
  <c r="BP26" i="24"/>
  <c r="BL26" i="24"/>
  <c r="BH26" i="24"/>
  <c r="BD26" i="24"/>
  <c r="AZ26" i="24"/>
  <c r="AK26" i="24"/>
  <c r="AG26" i="24"/>
  <c r="AC26" i="24"/>
  <c r="Y26" i="24"/>
  <c r="U26" i="24"/>
  <c r="Q26" i="24"/>
  <c r="M26" i="24"/>
  <c r="BX25" i="24"/>
  <c r="BT25" i="24"/>
  <c r="BP25" i="24"/>
  <c r="BL25" i="24"/>
  <c r="BH25" i="24"/>
  <c r="BD25" i="24"/>
  <c r="AZ25" i="24"/>
  <c r="AK25" i="24"/>
  <c r="AG25" i="24"/>
  <c r="AC25" i="24"/>
  <c r="Y25" i="24"/>
  <c r="U25" i="24"/>
  <c r="Q25" i="24"/>
  <c r="M25" i="24"/>
  <c r="BX24" i="24"/>
  <c r="BT24" i="24"/>
  <c r="BP24" i="24"/>
  <c r="BL24" i="24"/>
  <c r="BH24" i="24"/>
  <c r="BD24" i="24"/>
  <c r="AZ24" i="24"/>
  <c r="AK24" i="24"/>
  <c r="AG24" i="24"/>
  <c r="AC24" i="24"/>
  <c r="Y24" i="24"/>
  <c r="U24" i="24"/>
  <c r="Q24" i="24"/>
  <c r="M24" i="24"/>
  <c r="BX23" i="24"/>
  <c r="BT23" i="24"/>
  <c r="BP23" i="24"/>
  <c r="BL23" i="24"/>
  <c r="BH23" i="24"/>
  <c r="BD23" i="24"/>
  <c r="AZ23" i="24"/>
  <c r="AK23" i="24"/>
  <c r="AG23" i="24"/>
  <c r="AC23" i="24"/>
  <c r="Y23" i="24"/>
  <c r="U23" i="24"/>
  <c r="Q23" i="24"/>
  <c r="M23" i="24"/>
  <c r="BX22" i="24"/>
  <c r="BT22" i="24"/>
  <c r="BP22" i="24"/>
  <c r="BL22" i="24"/>
  <c r="BH22" i="24"/>
  <c r="BD22" i="24"/>
  <c r="AZ22" i="24"/>
  <c r="AS22" i="24"/>
  <c r="AO22" i="24"/>
  <c r="AK22" i="24"/>
  <c r="AG22" i="24"/>
  <c r="AC22" i="24"/>
  <c r="Y22" i="24"/>
  <c r="U22" i="24"/>
  <c r="Q22" i="24"/>
  <c r="M22" i="24"/>
  <c r="BX21" i="24"/>
  <c r="BT21" i="24"/>
  <c r="BP21" i="24"/>
  <c r="BL21" i="24"/>
  <c r="BH21" i="24"/>
  <c r="BD21" i="24"/>
  <c r="AZ21" i="24"/>
  <c r="AK21" i="24"/>
  <c r="AG21" i="24"/>
  <c r="AC21" i="24"/>
  <c r="Y21" i="24"/>
  <c r="U21" i="24"/>
  <c r="Q21" i="24"/>
  <c r="M21" i="24"/>
  <c r="BX20" i="24"/>
  <c r="BT20" i="24"/>
  <c r="BP20" i="24"/>
  <c r="BL20" i="24"/>
  <c r="BH20" i="24"/>
  <c r="BD20" i="24"/>
  <c r="AZ20" i="24"/>
  <c r="AK20" i="24"/>
  <c r="AG20" i="24"/>
  <c r="AC20" i="24"/>
  <c r="Y20" i="24"/>
  <c r="U20" i="24"/>
  <c r="Q20" i="24"/>
  <c r="M20" i="24"/>
  <c r="BX19" i="24"/>
  <c r="BT19" i="24"/>
  <c r="BP19" i="24"/>
  <c r="BL19" i="24"/>
  <c r="BH19" i="24"/>
  <c r="BD19" i="24"/>
  <c r="AZ19" i="24"/>
  <c r="AS19" i="24"/>
  <c r="AO19" i="24"/>
  <c r="AK19" i="24"/>
  <c r="AG19" i="24"/>
  <c r="AC19" i="24"/>
  <c r="Y19" i="24"/>
  <c r="U19" i="24"/>
  <c r="Q19" i="24"/>
  <c r="M19" i="24"/>
  <c r="BX18" i="24"/>
  <c r="BT18" i="24"/>
  <c r="BP18" i="24"/>
  <c r="BL18" i="24"/>
  <c r="BH18" i="24"/>
  <c r="BD18" i="24"/>
  <c r="AZ18" i="24"/>
  <c r="AS18" i="24"/>
  <c r="AO18" i="24"/>
  <c r="AK18" i="24"/>
  <c r="AG18" i="24"/>
  <c r="AC18" i="24"/>
  <c r="Y18" i="24"/>
  <c r="U18" i="24"/>
  <c r="Q18" i="24"/>
  <c r="M18" i="24"/>
  <c r="BX17" i="24"/>
  <c r="BT17" i="24"/>
  <c r="BP17" i="24"/>
  <c r="BL17" i="24"/>
  <c r="BH17" i="24"/>
  <c r="BD17" i="24"/>
  <c r="AZ17" i="24"/>
  <c r="AK17" i="24"/>
  <c r="AG17" i="24"/>
  <c r="AC17" i="24"/>
  <c r="Y17" i="24"/>
  <c r="U17" i="24"/>
  <c r="Q17" i="24"/>
  <c r="M17" i="24"/>
  <c r="BX16" i="24"/>
  <c r="BT16" i="24"/>
  <c r="BP16" i="24"/>
  <c r="BL16" i="24"/>
  <c r="BH16" i="24"/>
  <c r="BD16" i="24"/>
  <c r="AZ16" i="24"/>
  <c r="AK16" i="24"/>
  <c r="AG16" i="24"/>
  <c r="AC16" i="24"/>
  <c r="Y16" i="24"/>
  <c r="U16" i="24"/>
  <c r="Q16" i="24"/>
  <c r="M16" i="24"/>
  <c r="BX15" i="24"/>
  <c r="BT15" i="24"/>
  <c r="BP15" i="24"/>
  <c r="BL15" i="24"/>
  <c r="BH15" i="24"/>
  <c r="BD15" i="24"/>
  <c r="AZ15" i="24"/>
  <c r="AK15" i="24"/>
  <c r="AG15" i="24"/>
  <c r="AC15" i="24"/>
  <c r="Y15" i="24"/>
  <c r="U15" i="24"/>
  <c r="Q15" i="24"/>
  <c r="M15" i="24"/>
  <c r="BX14" i="24"/>
  <c r="BT14" i="24"/>
  <c r="BP14" i="24"/>
  <c r="BL14" i="24"/>
  <c r="BH14" i="24"/>
  <c r="BD14" i="24"/>
  <c r="AZ14" i="24"/>
  <c r="AK14" i="24"/>
  <c r="AG14" i="24"/>
  <c r="AC14" i="24"/>
  <c r="Y14" i="24"/>
  <c r="U14" i="24"/>
  <c r="Q14" i="24"/>
  <c r="M14" i="24"/>
  <c r="BX13" i="24"/>
  <c r="BT13" i="24"/>
  <c r="BP13" i="24"/>
  <c r="BL13" i="24"/>
  <c r="BH13" i="24"/>
  <c r="BD13" i="24"/>
  <c r="AZ13" i="24"/>
  <c r="AK13" i="24"/>
  <c r="AG13" i="24"/>
  <c r="AC13" i="24"/>
  <c r="Y13" i="24"/>
  <c r="U13" i="24"/>
  <c r="Q13" i="24"/>
  <c r="M13" i="24"/>
  <c r="BX12" i="24"/>
  <c r="BT12" i="24"/>
  <c r="BP12" i="24"/>
  <c r="BL12" i="24"/>
  <c r="BH12" i="24"/>
  <c r="BD12" i="24"/>
  <c r="AZ12" i="24"/>
  <c r="AK12" i="24"/>
  <c r="AG12" i="24"/>
  <c r="AC12" i="24"/>
  <c r="Y12" i="24"/>
  <c r="U12" i="24"/>
  <c r="Q12" i="24"/>
  <c r="M12" i="24"/>
  <c r="BX11" i="24"/>
  <c r="BT11" i="24"/>
  <c r="BP11" i="24"/>
  <c r="BL11" i="24"/>
  <c r="BH11" i="24"/>
  <c r="BD11" i="24"/>
  <c r="AZ11" i="24"/>
  <c r="AK11" i="24"/>
  <c r="AG11" i="24"/>
  <c r="AC11" i="24"/>
  <c r="Y11" i="24"/>
  <c r="U11" i="24"/>
  <c r="Q11" i="24"/>
  <c r="M11" i="24"/>
  <c r="BX10" i="24"/>
  <c r="BT10" i="24"/>
  <c r="BP10" i="24"/>
  <c r="BL10" i="24"/>
  <c r="BH10" i="24"/>
  <c r="BD10" i="24"/>
  <c r="AZ10" i="24"/>
  <c r="AS10" i="24"/>
  <c r="AO10" i="24"/>
  <c r="AK10" i="24"/>
  <c r="AG10" i="24"/>
  <c r="AC10" i="24"/>
  <c r="Y10" i="24"/>
  <c r="U10" i="24"/>
  <c r="Q10" i="24"/>
  <c r="M10" i="24"/>
  <c r="BX9" i="24"/>
  <c r="BT9" i="24"/>
  <c r="BP9" i="24"/>
  <c r="BL9" i="24"/>
  <c r="BH9" i="24"/>
  <c r="BD9" i="24"/>
  <c r="AZ9" i="24"/>
  <c r="AK9" i="24"/>
  <c r="AG9" i="24"/>
  <c r="AC9" i="24"/>
  <c r="Y9" i="24"/>
  <c r="U9" i="24"/>
  <c r="Q9" i="24"/>
  <c r="M9" i="24"/>
  <c r="BX8" i="24"/>
  <c r="BT8" i="24"/>
  <c r="BP8" i="24"/>
  <c r="BL8" i="24"/>
  <c r="BH8" i="24"/>
  <c r="BD8" i="24"/>
  <c r="AZ8" i="24"/>
  <c r="AK8" i="24"/>
  <c r="AG8" i="24"/>
  <c r="AC8" i="24"/>
  <c r="Y8" i="24"/>
  <c r="U8" i="24"/>
  <c r="Q8" i="24"/>
  <c r="M8" i="24"/>
  <c r="BX7" i="24"/>
  <c r="BT7" i="24"/>
  <c r="BP7" i="24"/>
  <c r="BL7" i="24"/>
  <c r="BH7" i="24"/>
  <c r="BD7" i="24"/>
  <c r="AZ7" i="24"/>
  <c r="AS7" i="24"/>
  <c r="AO7" i="24"/>
  <c r="AK7" i="24"/>
  <c r="AG7" i="24"/>
  <c r="AC7" i="24"/>
  <c r="Y7" i="24"/>
  <c r="U7" i="24"/>
  <c r="Q7" i="24"/>
  <c r="M7" i="24"/>
  <c r="BX6" i="24"/>
  <c r="BT6" i="24"/>
  <c r="BP6" i="24"/>
  <c r="BL6" i="24"/>
  <c r="BH6" i="24"/>
  <c r="BD6" i="24"/>
  <c r="AZ6" i="24"/>
  <c r="AK6" i="24"/>
  <c r="AG6" i="24"/>
  <c r="AC6" i="24"/>
  <c r="Y6" i="24"/>
  <c r="U6" i="24"/>
  <c r="Q6" i="24"/>
  <c r="M6" i="24"/>
  <c r="BX5" i="24"/>
  <c r="BT5" i="24"/>
  <c r="BP5" i="24"/>
  <c r="BL5" i="24"/>
  <c r="BH5" i="24"/>
  <c r="BD5" i="24"/>
  <c r="AZ5" i="24"/>
  <c r="AK5" i="24"/>
  <c r="AG5" i="24"/>
  <c r="AC5" i="24"/>
  <c r="Y5" i="24"/>
  <c r="U5" i="24"/>
  <c r="Q5" i="24"/>
  <c r="M5" i="24"/>
  <c r="BX4" i="24"/>
  <c r="BT4" i="24"/>
  <c r="BP4" i="24"/>
  <c r="BL4" i="24"/>
  <c r="BH4" i="24"/>
  <c r="BD4" i="24"/>
  <c r="AZ4" i="24"/>
  <c r="AK4" i="24"/>
  <c r="AG4" i="24"/>
  <c r="AC4" i="24"/>
  <c r="Y4" i="24"/>
  <c r="U4" i="24"/>
  <c r="Q4" i="24"/>
  <c r="M4" i="24"/>
  <c r="BX3" i="24"/>
  <c r="BT3" i="24"/>
  <c r="BP3" i="24"/>
  <c r="BL3" i="24"/>
  <c r="BH3" i="24"/>
  <c r="BD3" i="24"/>
  <c r="AZ3" i="24"/>
  <c r="AS3" i="24"/>
  <c r="AO3" i="24"/>
  <c r="AK3" i="24"/>
  <c r="AG3" i="24"/>
  <c r="AC3" i="24"/>
  <c r="Y3" i="24"/>
  <c r="U3" i="24"/>
  <c r="Q3" i="24"/>
  <c r="M3" i="24"/>
  <c r="BX2" i="24"/>
  <c r="BT2" i="24"/>
  <c r="BP2" i="24"/>
  <c r="BL2" i="24"/>
  <c r="BH2" i="24"/>
  <c r="BD2" i="24"/>
  <c r="AZ2" i="24"/>
  <c r="AK2" i="24"/>
  <c r="AG2" i="24"/>
  <c r="AC2" i="24"/>
  <c r="Y2" i="24"/>
  <c r="U2" i="24"/>
  <c r="Q2" i="24"/>
  <c r="M2" i="24"/>
  <c r="BI82" i="12"/>
  <c r="BE82" i="12"/>
  <c r="BA82" i="12"/>
  <c r="AH82" i="12"/>
  <c r="AD82" i="12"/>
  <c r="Z82" i="12"/>
  <c r="V82" i="12"/>
  <c r="R82" i="12"/>
  <c r="N82" i="12"/>
  <c r="BI81" i="12"/>
  <c r="BE81" i="12"/>
  <c r="BA81" i="12"/>
  <c r="AH81" i="12"/>
  <c r="AD81" i="12"/>
  <c r="Z81" i="12"/>
  <c r="V81" i="12"/>
  <c r="R81" i="12"/>
  <c r="N81" i="12"/>
  <c r="BI80" i="12"/>
  <c r="BE80" i="12"/>
  <c r="BA80" i="12"/>
  <c r="AP80" i="12"/>
  <c r="AL80" i="12"/>
  <c r="AH80" i="12"/>
  <c r="AD80" i="12"/>
  <c r="Z80" i="12"/>
  <c r="V80" i="12"/>
  <c r="R80" i="12"/>
  <c r="N80" i="12"/>
  <c r="N79" i="12"/>
  <c r="BI78" i="12"/>
  <c r="BE78" i="12"/>
  <c r="BA78" i="12"/>
  <c r="AH78" i="12"/>
  <c r="AD78" i="12"/>
  <c r="Z78" i="12"/>
  <c r="V78" i="12"/>
  <c r="R78" i="12"/>
  <c r="N78" i="12"/>
  <c r="BI77" i="12"/>
  <c r="BE77" i="12"/>
  <c r="BA77" i="12"/>
  <c r="AH77" i="12"/>
  <c r="AD77" i="12"/>
  <c r="Z77" i="12"/>
  <c r="V77" i="12"/>
  <c r="R77" i="12"/>
  <c r="N77" i="12"/>
  <c r="BI76" i="12"/>
  <c r="BE76" i="12"/>
  <c r="BA76" i="12"/>
  <c r="AP76" i="12"/>
  <c r="AL76" i="12"/>
  <c r="AH76" i="12"/>
  <c r="AD76" i="12"/>
  <c r="Z76" i="12"/>
  <c r="V76" i="12"/>
  <c r="R76" i="12"/>
  <c r="N76" i="12"/>
  <c r="BI75" i="12"/>
  <c r="BE75" i="12"/>
  <c r="BA75" i="12"/>
  <c r="AP75" i="12"/>
  <c r="AL75" i="12"/>
  <c r="AH75" i="12"/>
  <c r="AD75" i="12"/>
  <c r="Z75" i="12"/>
  <c r="V75" i="12"/>
  <c r="R75" i="12"/>
  <c r="N75" i="12"/>
  <c r="BI74" i="12"/>
  <c r="BE74" i="12"/>
  <c r="BA74" i="12"/>
  <c r="AP74" i="12"/>
  <c r="AL74" i="12"/>
  <c r="AH74" i="12"/>
  <c r="AD74" i="12"/>
  <c r="Z74" i="12"/>
  <c r="V74" i="12"/>
  <c r="R74" i="12"/>
  <c r="N74" i="12"/>
  <c r="BI73" i="12"/>
  <c r="BE73" i="12"/>
  <c r="BA73" i="12"/>
  <c r="AP73" i="12"/>
  <c r="AL73" i="12"/>
  <c r="AH73" i="12"/>
  <c r="AD73" i="12"/>
  <c r="Z73" i="12"/>
  <c r="V73" i="12"/>
  <c r="R73" i="12"/>
  <c r="N73" i="12"/>
  <c r="BI72" i="12"/>
  <c r="BE72" i="12"/>
  <c r="BA72" i="12"/>
  <c r="AP72" i="12"/>
  <c r="AL72" i="12"/>
  <c r="AH72" i="12"/>
  <c r="AD72" i="12"/>
  <c r="Z72" i="12"/>
  <c r="V72" i="12"/>
  <c r="R72" i="12"/>
  <c r="N72" i="12"/>
  <c r="BI71" i="12"/>
  <c r="BE71" i="12"/>
  <c r="BA71" i="12"/>
  <c r="AP71" i="12"/>
  <c r="AL71" i="12"/>
  <c r="AH71" i="12"/>
  <c r="AD71" i="12"/>
  <c r="Z71" i="12"/>
  <c r="V71" i="12"/>
  <c r="R71" i="12"/>
  <c r="N71" i="12"/>
  <c r="BI70" i="12"/>
  <c r="BE70" i="12"/>
  <c r="BA70" i="12"/>
  <c r="AP70" i="12"/>
  <c r="AL70" i="12"/>
  <c r="AH70" i="12"/>
  <c r="AD70" i="12"/>
  <c r="Z70" i="12"/>
  <c r="V70" i="12"/>
  <c r="R70" i="12"/>
  <c r="N70" i="12"/>
  <c r="BI69" i="12"/>
  <c r="BE69" i="12"/>
  <c r="BA69" i="12"/>
  <c r="AH69" i="12"/>
  <c r="AD69" i="12"/>
  <c r="Z69" i="12"/>
  <c r="V69" i="12"/>
  <c r="R69" i="12"/>
  <c r="N69" i="12"/>
  <c r="BI68" i="12"/>
  <c r="BE68" i="12"/>
  <c r="BA68" i="12"/>
  <c r="AP68" i="12"/>
  <c r="AL68" i="12"/>
  <c r="AH68" i="12"/>
  <c r="AD68" i="12"/>
  <c r="Z68" i="12"/>
  <c r="V68" i="12"/>
  <c r="R68" i="12"/>
  <c r="N68" i="12"/>
  <c r="BI67" i="12"/>
  <c r="BE67" i="12"/>
  <c r="BA67" i="12"/>
  <c r="AP67" i="12"/>
  <c r="AL67" i="12"/>
  <c r="AH67" i="12"/>
  <c r="AD67" i="12"/>
  <c r="Z67" i="12"/>
  <c r="V67" i="12"/>
  <c r="R67" i="12"/>
  <c r="N67" i="12"/>
  <c r="N66" i="12"/>
  <c r="BI65" i="12"/>
  <c r="BE65" i="12"/>
  <c r="BA65" i="12"/>
  <c r="AP65" i="12"/>
  <c r="AL65" i="12"/>
  <c r="AH65" i="12"/>
  <c r="AD65" i="12"/>
  <c r="Z65" i="12"/>
  <c r="V65" i="12"/>
  <c r="R65" i="12"/>
  <c r="N65" i="12"/>
  <c r="BI64" i="12"/>
  <c r="BE64" i="12"/>
  <c r="BA64" i="12"/>
  <c r="AP64" i="12"/>
  <c r="AL64" i="12"/>
  <c r="AH64" i="12"/>
  <c r="AD64" i="12"/>
  <c r="Z64" i="12"/>
  <c r="V64" i="12"/>
  <c r="R64" i="12"/>
  <c r="N64" i="12"/>
  <c r="BI63" i="12"/>
  <c r="BE63" i="12"/>
  <c r="BA63" i="12"/>
  <c r="AH63" i="12"/>
  <c r="AD63" i="12"/>
  <c r="Z63" i="12"/>
  <c r="V63" i="12"/>
  <c r="R63" i="12"/>
  <c r="N63" i="12"/>
  <c r="BI62" i="12"/>
  <c r="BE62" i="12"/>
  <c r="BA62" i="12"/>
  <c r="AH62" i="12"/>
  <c r="AD62" i="12"/>
  <c r="Z62" i="12"/>
  <c r="V62" i="12"/>
  <c r="R62" i="12"/>
  <c r="N62" i="12"/>
  <c r="BI61" i="12"/>
  <c r="BE61" i="12"/>
  <c r="BA61" i="12"/>
  <c r="AP61" i="12"/>
  <c r="AL61" i="12"/>
  <c r="AH61" i="12"/>
  <c r="AD61" i="12"/>
  <c r="Z61" i="12"/>
  <c r="V61" i="12"/>
  <c r="R61" i="12"/>
  <c r="N61" i="12"/>
  <c r="BI60" i="12"/>
  <c r="BE60" i="12"/>
  <c r="BA60" i="12"/>
  <c r="AH60" i="12"/>
  <c r="AD60" i="12"/>
  <c r="Z60" i="12"/>
  <c r="V60" i="12"/>
  <c r="R60" i="12"/>
  <c r="N60" i="12"/>
  <c r="BI59" i="12"/>
  <c r="BE59" i="12"/>
  <c r="BA59" i="12"/>
  <c r="AH59" i="12"/>
  <c r="AD59" i="12"/>
  <c r="Z59" i="12"/>
  <c r="V59" i="12"/>
  <c r="R59" i="12"/>
  <c r="N59" i="12"/>
  <c r="BI58" i="12"/>
  <c r="BE58" i="12"/>
  <c r="BA58" i="12"/>
  <c r="AP58" i="12"/>
  <c r="AL58" i="12"/>
  <c r="AH58" i="12"/>
  <c r="AD58" i="12"/>
  <c r="Z58" i="12"/>
  <c r="V58" i="12"/>
  <c r="R58" i="12"/>
  <c r="N58" i="12"/>
  <c r="BI57" i="12"/>
  <c r="BE57" i="12"/>
  <c r="BA57" i="12"/>
  <c r="AP57" i="12"/>
  <c r="AL57" i="12"/>
  <c r="AH57" i="12"/>
  <c r="AD57" i="12"/>
  <c r="Z57" i="12"/>
  <c r="V57" i="12"/>
  <c r="R57" i="12"/>
  <c r="N57" i="12"/>
  <c r="BI56" i="12"/>
  <c r="BE56" i="12"/>
  <c r="BA56" i="12"/>
  <c r="AH56" i="12"/>
  <c r="AD56" i="12"/>
  <c r="Z56" i="12"/>
  <c r="V56" i="12"/>
  <c r="R56" i="12"/>
  <c r="N56" i="12"/>
  <c r="BI55" i="12"/>
  <c r="BE55" i="12"/>
  <c r="BA55" i="12"/>
  <c r="AP55" i="12"/>
  <c r="AL55" i="12"/>
  <c r="AH55" i="12"/>
  <c r="AD55" i="12"/>
  <c r="Z55" i="12"/>
  <c r="V55" i="12"/>
  <c r="R55" i="12"/>
  <c r="N55" i="12"/>
  <c r="BI54" i="12"/>
  <c r="BE54" i="12"/>
  <c r="BA54" i="12"/>
  <c r="AP54" i="12"/>
  <c r="AL54" i="12"/>
  <c r="AH54" i="12"/>
  <c r="AD54" i="12"/>
  <c r="Z54" i="12"/>
  <c r="V54" i="12"/>
  <c r="R54" i="12"/>
  <c r="N54" i="12"/>
  <c r="BI233" i="1"/>
  <c r="BI234" i="1"/>
  <c r="BI235" i="1"/>
  <c r="BI236" i="1"/>
  <c r="BI237" i="1"/>
  <c r="BI238" i="1"/>
  <c r="BI239" i="1"/>
  <c r="BI240" i="1"/>
  <c r="BI232" i="1"/>
  <c r="BE233" i="1"/>
  <c r="BE234" i="1"/>
  <c r="BE235" i="1"/>
  <c r="BE236" i="1"/>
  <c r="BE237" i="1"/>
  <c r="BE238" i="1"/>
  <c r="BE239" i="1"/>
  <c r="BE240" i="1"/>
  <c r="BE232" i="1"/>
  <c r="BA233" i="1"/>
  <c r="BA234" i="1"/>
  <c r="BA235" i="1"/>
  <c r="BA236" i="1"/>
  <c r="BA237" i="1"/>
  <c r="BA238" i="1"/>
  <c r="BA239" i="1"/>
  <c r="BA232" i="1"/>
  <c r="BI228" i="1"/>
  <c r="BI229" i="1"/>
  <c r="BI230" i="1"/>
  <c r="BI227" i="1"/>
  <c r="BE228" i="1"/>
  <c r="BE229" i="1"/>
  <c r="BE230" i="1"/>
  <c r="BE227" i="1"/>
  <c r="BA228" i="1"/>
  <c r="BA229" i="1"/>
  <c r="BA230" i="1"/>
  <c r="BA227" i="1"/>
  <c r="BI225" i="1"/>
  <c r="BI226" i="1"/>
  <c r="BI224" i="1"/>
  <c r="BE225" i="1"/>
  <c r="BE226" i="1"/>
  <c r="BE224" i="1"/>
  <c r="BA225" i="1"/>
  <c r="BA226" i="1"/>
  <c r="BA224" i="1"/>
  <c r="BI218" i="1"/>
  <c r="BI219" i="1"/>
  <c r="BI220" i="1"/>
  <c r="BI221" i="1"/>
  <c r="BI222" i="1"/>
  <c r="BI217" i="1"/>
  <c r="BE218" i="1"/>
  <c r="BE219" i="1"/>
  <c r="BE220" i="1"/>
  <c r="BE221" i="1"/>
  <c r="BE222" i="1"/>
  <c r="BE217" i="1"/>
  <c r="BA218" i="1"/>
  <c r="BA219" i="1"/>
  <c r="BA220" i="1"/>
  <c r="BA221" i="1"/>
  <c r="BA222" i="1"/>
  <c r="BA217" i="1"/>
  <c r="BI206" i="1"/>
  <c r="BI207" i="1"/>
  <c r="BI208" i="1"/>
  <c r="BI209" i="1"/>
  <c r="BI210" i="1"/>
  <c r="BI211" i="1"/>
  <c r="BI212" i="1"/>
  <c r="BI213" i="1"/>
  <c r="BI214" i="1"/>
  <c r="BI215" i="1"/>
  <c r="BI205" i="1"/>
  <c r="BE206" i="1"/>
  <c r="BE207" i="1"/>
  <c r="BE208" i="1"/>
  <c r="BE209" i="1"/>
  <c r="BE210" i="1"/>
  <c r="BE211" i="1"/>
  <c r="BE212" i="1"/>
  <c r="BE213" i="1"/>
  <c r="BE214" i="1"/>
  <c r="BE215" i="1"/>
  <c r="BE205" i="1"/>
  <c r="BA206" i="1"/>
  <c r="BA207" i="1"/>
  <c r="BA208" i="1"/>
  <c r="BA209" i="1"/>
  <c r="BA210" i="1"/>
  <c r="BA211" i="1"/>
  <c r="BA212" i="1"/>
  <c r="BA213" i="1"/>
  <c r="BA214" i="1"/>
  <c r="BA215" i="1"/>
  <c r="BA205" i="1"/>
  <c r="BI176" i="1"/>
  <c r="BI177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175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42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09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75" i="1"/>
  <c r="AQ75" i="1"/>
  <c r="AQ79" i="1"/>
  <c r="AQ78" i="1"/>
  <c r="AQ85" i="1"/>
  <c r="AQ84" i="1"/>
  <c r="AQ83" i="1"/>
  <c r="AQ90" i="1"/>
  <c r="AQ93" i="1"/>
  <c r="AQ95" i="1"/>
  <c r="AQ98" i="1"/>
  <c r="AQ101" i="1"/>
  <c r="AQ104" i="1"/>
  <c r="AQ114" i="1"/>
  <c r="AQ113" i="1"/>
  <c r="AQ118" i="1"/>
  <c r="AQ117" i="1"/>
  <c r="AQ132" i="1"/>
  <c r="AQ131" i="1"/>
  <c r="AQ130" i="1"/>
  <c r="AQ129" i="1"/>
  <c r="AQ128" i="1"/>
  <c r="AQ127" i="1"/>
  <c r="AQ138" i="1"/>
  <c r="AQ137" i="1"/>
  <c r="AQ140" i="1"/>
  <c r="AQ149" i="1"/>
  <c r="AQ152" i="1"/>
  <c r="AQ151" i="1"/>
  <c r="AQ159" i="1"/>
  <c r="AQ158" i="1"/>
  <c r="AQ164" i="1"/>
  <c r="AQ173" i="1"/>
  <c r="AQ172" i="1"/>
  <c r="AQ171" i="1"/>
  <c r="AQ175" i="1"/>
  <c r="AQ177" i="1"/>
  <c r="AQ179" i="1"/>
  <c r="AQ181" i="1"/>
  <c r="AQ193" i="1"/>
  <c r="AQ192" i="1"/>
  <c r="AQ191" i="1"/>
  <c r="AQ198" i="1"/>
  <c r="AQ197" i="1"/>
  <c r="AQ201" i="1"/>
  <c r="AQ205" i="1"/>
  <c r="AQ207" i="1"/>
  <c r="AQ210" i="1"/>
  <c r="AQ214" i="1"/>
  <c r="AQ213" i="1"/>
  <c r="AQ212" i="1"/>
  <c r="AQ218" i="1"/>
  <c r="AQ225" i="1"/>
  <c r="AQ224" i="1"/>
  <c r="AM227" i="1"/>
  <c r="AM229" i="1"/>
  <c r="AQ232" i="1"/>
  <c r="AQ240" i="1"/>
  <c r="AQ239" i="1"/>
  <c r="AM240" i="1"/>
  <c r="AM239" i="1"/>
  <c r="AM232" i="1"/>
  <c r="AQ229" i="1"/>
  <c r="AQ227" i="1"/>
  <c r="AM225" i="1"/>
  <c r="AM224" i="1"/>
  <c r="AM218" i="1"/>
  <c r="AM214" i="1"/>
  <c r="AM213" i="1"/>
  <c r="AM212" i="1"/>
  <c r="AM210" i="1"/>
  <c r="AM207" i="1"/>
  <c r="AM205" i="1"/>
  <c r="AM201" i="1"/>
  <c r="AM198" i="1"/>
  <c r="AM197" i="1"/>
  <c r="AM193" i="1"/>
  <c r="AM192" i="1"/>
  <c r="AM191" i="1"/>
  <c r="AM185" i="1"/>
  <c r="AM181" i="1"/>
  <c r="AM179" i="1"/>
  <c r="AM177" i="1"/>
  <c r="AM175" i="1"/>
  <c r="AM173" i="1"/>
  <c r="AM172" i="1"/>
  <c r="AM171" i="1"/>
  <c r="AM164" i="1"/>
  <c r="AM159" i="1"/>
  <c r="AM158" i="1"/>
  <c r="AM152" i="1"/>
  <c r="AM151" i="1"/>
  <c r="AM149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42" i="1"/>
  <c r="AM140" i="1"/>
  <c r="AM138" i="1"/>
  <c r="AM137" i="1"/>
  <c r="AM132" i="1"/>
  <c r="AM131" i="1"/>
  <c r="AM130" i="1"/>
  <c r="AM129" i="1"/>
  <c r="AM128" i="1"/>
  <c r="AM127" i="1"/>
  <c r="AM118" i="1"/>
  <c r="AM117" i="1"/>
  <c r="AM114" i="1"/>
  <c r="AM113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09" i="1"/>
  <c r="AM104" i="1"/>
  <c r="AM101" i="1"/>
  <c r="AM98" i="1"/>
  <c r="AM95" i="1"/>
  <c r="AM93" i="1"/>
  <c r="AM90" i="1"/>
  <c r="AM85" i="1"/>
  <c r="AM84" i="1"/>
  <c r="AM83" i="1"/>
  <c r="AM79" i="1"/>
  <c r="AM78" i="1"/>
  <c r="AM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I75" i="1"/>
  <c r="AE75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09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175" i="1"/>
  <c r="AA206" i="1"/>
  <c r="AA207" i="1"/>
  <c r="AA208" i="1"/>
  <c r="AA209" i="1"/>
  <c r="AA210" i="1"/>
  <c r="AA211" i="1"/>
  <c r="AA212" i="1"/>
  <c r="AA213" i="1"/>
  <c r="AA214" i="1"/>
  <c r="AA215" i="1"/>
  <c r="AA205" i="1"/>
  <c r="AA218" i="1"/>
  <c r="AA219" i="1"/>
  <c r="AA220" i="1"/>
  <c r="AA221" i="1"/>
  <c r="AA222" i="1"/>
  <c r="AA217" i="1"/>
  <c r="AA225" i="1"/>
  <c r="AA226" i="1"/>
  <c r="AA224" i="1"/>
  <c r="AA228" i="1"/>
  <c r="AA229" i="1"/>
  <c r="AA230" i="1"/>
  <c r="AA227" i="1"/>
  <c r="AA233" i="1"/>
  <c r="AA234" i="1"/>
  <c r="AA235" i="1"/>
  <c r="AA236" i="1"/>
  <c r="AA237" i="1"/>
  <c r="AA238" i="1"/>
  <c r="AA239" i="1"/>
  <c r="AA240" i="1"/>
  <c r="AA232" i="1"/>
  <c r="W235" i="1"/>
  <c r="W236" i="1"/>
  <c r="W237" i="1"/>
  <c r="W238" i="1"/>
  <c r="W239" i="1"/>
  <c r="W240" i="1"/>
  <c r="W233" i="1"/>
  <c r="W234" i="1"/>
  <c r="W232" i="1"/>
  <c r="W228" i="1"/>
  <c r="W229" i="1"/>
  <c r="W230" i="1"/>
  <c r="W227" i="1"/>
  <c r="W225" i="1"/>
  <c r="W226" i="1"/>
  <c r="W224" i="1"/>
  <c r="W218" i="1"/>
  <c r="W219" i="1"/>
  <c r="W220" i="1"/>
  <c r="W221" i="1"/>
  <c r="W222" i="1"/>
  <c r="W217" i="1"/>
  <c r="W206" i="1"/>
  <c r="W207" i="1"/>
  <c r="W208" i="1"/>
  <c r="W209" i="1"/>
  <c r="W210" i="1"/>
  <c r="W211" i="1"/>
  <c r="W212" i="1"/>
  <c r="W213" i="1"/>
  <c r="W214" i="1"/>
  <c r="W215" i="1"/>
  <c r="W20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175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09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75" i="1"/>
  <c r="S32" i="1"/>
  <c r="AA28" i="1"/>
  <c r="W28" i="1"/>
  <c r="S233" i="1"/>
  <c r="S234" i="1"/>
  <c r="S235" i="1"/>
  <c r="S236" i="1"/>
  <c r="S237" i="1"/>
  <c r="S238" i="1"/>
  <c r="S239" i="1"/>
  <c r="S240" i="1"/>
  <c r="S232" i="1"/>
  <c r="S228" i="1"/>
  <c r="S229" i="1"/>
  <c r="S230" i="1"/>
  <c r="S227" i="1"/>
  <c r="S225" i="1"/>
  <c r="S226" i="1"/>
  <c r="S224" i="1"/>
  <c r="S218" i="1"/>
  <c r="S219" i="1"/>
  <c r="S220" i="1"/>
  <c r="S221" i="1"/>
  <c r="S222" i="1"/>
  <c r="S217" i="1"/>
  <c r="S206" i="1"/>
  <c r="S207" i="1"/>
  <c r="S208" i="1"/>
  <c r="S209" i="1"/>
  <c r="S210" i="1"/>
  <c r="S211" i="1"/>
  <c r="S212" i="1"/>
  <c r="S213" i="1"/>
  <c r="S214" i="1"/>
  <c r="S215" i="1"/>
  <c r="S20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175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09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3" i="1"/>
  <c r="O232" i="1"/>
  <c r="O240" i="1"/>
  <c r="O239" i="1"/>
  <c r="O238" i="1"/>
  <c r="O237" i="1"/>
  <c r="O236" i="1"/>
  <c r="O235" i="1"/>
  <c r="O234" i="1"/>
  <c r="O233" i="1"/>
  <c r="O230" i="1"/>
  <c r="O229" i="1"/>
  <c r="O228" i="1"/>
  <c r="O227" i="1"/>
  <c r="O226" i="1"/>
  <c r="O225" i="1"/>
  <c r="O224" i="1"/>
  <c r="O222" i="1"/>
  <c r="O221" i="1"/>
  <c r="O220" i="1"/>
  <c r="O219" i="1"/>
  <c r="O218" i="1"/>
  <c r="O217" i="1"/>
  <c r="O215" i="1"/>
  <c r="O214" i="1"/>
  <c r="O213" i="1"/>
  <c r="O212" i="1"/>
  <c r="O211" i="1"/>
  <c r="O210" i="1"/>
  <c r="O209" i="1"/>
  <c r="O208" i="1"/>
  <c r="O207" i="1"/>
  <c r="O206" i="1"/>
  <c r="O205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3" i="1"/>
  <c r="O172" i="1"/>
  <c r="O171" i="1"/>
  <c r="O170" i="1"/>
  <c r="O169" i="1"/>
  <c r="O168" i="1"/>
  <c r="O167" i="1"/>
  <c r="O166" i="1"/>
  <c r="BI52" i="12"/>
  <c r="BE52" i="12"/>
  <c r="BA52" i="12"/>
  <c r="AP52" i="12"/>
  <c r="AL52" i="12"/>
  <c r="AH52" i="12"/>
  <c r="AD52" i="12"/>
  <c r="Z52" i="12"/>
  <c r="V52" i="12"/>
  <c r="R52" i="12"/>
  <c r="BI51" i="12"/>
  <c r="BE51" i="12"/>
  <c r="BA51" i="12"/>
  <c r="AP51" i="12"/>
  <c r="AL51" i="12"/>
  <c r="AH51" i="12"/>
  <c r="AD51" i="12"/>
  <c r="Z51" i="12"/>
  <c r="V51" i="12"/>
  <c r="R51" i="12"/>
  <c r="BO74" i="13"/>
  <c r="BK74" i="13"/>
  <c r="BG74" i="13"/>
  <c r="AL80" i="13"/>
  <c r="AH80" i="13"/>
  <c r="V80" i="13"/>
  <c r="R80" i="13"/>
  <c r="N80" i="13"/>
  <c r="AL79" i="13"/>
  <c r="AH79" i="13"/>
  <c r="AD79" i="13"/>
  <c r="V79" i="13"/>
  <c r="R79" i="13"/>
  <c r="N79" i="13"/>
  <c r="AL78" i="13"/>
  <c r="AH78" i="13"/>
  <c r="AD78" i="13"/>
  <c r="V78" i="13"/>
  <c r="R78" i="13"/>
  <c r="N78" i="13"/>
  <c r="AL77" i="13"/>
  <c r="AH77" i="13"/>
  <c r="AD77" i="13"/>
  <c r="V77" i="13"/>
  <c r="R77" i="13"/>
  <c r="N77" i="13"/>
  <c r="N76" i="13"/>
  <c r="AL76" i="13"/>
  <c r="AH76" i="13"/>
  <c r="AD76" i="13"/>
  <c r="V76" i="13"/>
  <c r="R76" i="13"/>
  <c r="AL75" i="13"/>
  <c r="AH75" i="13"/>
  <c r="AD75" i="13"/>
  <c r="V75" i="13"/>
  <c r="R75" i="13"/>
  <c r="N75" i="13"/>
  <c r="AL74" i="13"/>
  <c r="AH74" i="13"/>
  <c r="AD74" i="13"/>
  <c r="V74" i="13"/>
  <c r="R74" i="13"/>
  <c r="N74" i="13"/>
  <c r="BO73" i="13"/>
  <c r="BK73" i="13"/>
  <c r="BG73" i="13"/>
  <c r="AL73" i="13"/>
  <c r="AH73" i="13"/>
  <c r="AD73" i="13"/>
  <c r="V73" i="13"/>
  <c r="R73" i="13"/>
  <c r="N73" i="13"/>
  <c r="BO72" i="13"/>
  <c r="BK72" i="13"/>
  <c r="BG72" i="13"/>
  <c r="AL72" i="13"/>
  <c r="AH72" i="13"/>
  <c r="AD72" i="13"/>
  <c r="V72" i="13"/>
  <c r="R72" i="13"/>
  <c r="N72" i="13"/>
  <c r="BO71" i="13"/>
  <c r="BK71" i="13"/>
  <c r="BG71" i="13"/>
  <c r="AL71" i="13"/>
  <c r="AH71" i="13"/>
  <c r="AD71" i="13"/>
  <c r="V71" i="13"/>
  <c r="R71" i="13"/>
  <c r="N71" i="13"/>
  <c r="BO70" i="13"/>
  <c r="BK70" i="13"/>
  <c r="BG70" i="13"/>
  <c r="AL70" i="13"/>
  <c r="AH70" i="13"/>
  <c r="AD70" i="13"/>
  <c r="V70" i="13"/>
  <c r="R70" i="13"/>
  <c r="N70" i="13"/>
  <c r="BO69" i="13"/>
  <c r="BK69" i="13"/>
  <c r="BG69" i="13"/>
  <c r="AL69" i="13"/>
  <c r="AH69" i="13"/>
  <c r="AD69" i="13"/>
  <c r="V69" i="13"/>
  <c r="R69" i="13"/>
  <c r="N69" i="13"/>
  <c r="N68" i="13"/>
  <c r="BO68" i="13"/>
  <c r="BK68" i="13"/>
  <c r="BG68" i="13"/>
  <c r="AL68" i="13"/>
  <c r="AH68" i="13"/>
  <c r="AD68" i="13"/>
  <c r="V68" i="13"/>
  <c r="R68" i="13"/>
  <c r="BO67" i="13"/>
  <c r="BK67" i="13"/>
  <c r="BG67" i="13"/>
  <c r="AL67" i="13"/>
  <c r="AH67" i="13"/>
  <c r="AD67" i="13"/>
  <c r="V67" i="13"/>
  <c r="R67" i="13"/>
  <c r="N67" i="13"/>
  <c r="BO66" i="13"/>
  <c r="BK66" i="13"/>
  <c r="BG66" i="13"/>
  <c r="AL66" i="13"/>
  <c r="AH66" i="13"/>
  <c r="AD66" i="13"/>
  <c r="V66" i="13"/>
  <c r="R66" i="13"/>
  <c r="N66" i="13"/>
  <c r="BO65" i="13"/>
  <c r="BK65" i="13"/>
  <c r="BG65" i="13"/>
  <c r="AL65" i="13"/>
  <c r="AH65" i="13"/>
  <c r="AD65" i="13"/>
  <c r="Z65" i="13"/>
  <c r="V65" i="13"/>
  <c r="R65" i="13"/>
  <c r="N65" i="13"/>
  <c r="BO64" i="13"/>
  <c r="BK64" i="13"/>
  <c r="BG64" i="13"/>
  <c r="AL64" i="13"/>
  <c r="AH64" i="13"/>
  <c r="AD64" i="13"/>
  <c r="Z64" i="13"/>
  <c r="V64" i="13"/>
  <c r="R64" i="13"/>
  <c r="N64" i="13"/>
  <c r="BO63" i="13"/>
  <c r="BK63" i="13"/>
  <c r="BG63" i="13"/>
  <c r="AL63" i="13"/>
  <c r="AH63" i="13"/>
  <c r="AD63" i="13"/>
  <c r="Z63" i="13"/>
  <c r="V63" i="13"/>
  <c r="R63" i="13"/>
  <c r="N63" i="13"/>
  <c r="BO62" i="13"/>
  <c r="BK62" i="13"/>
  <c r="BG62" i="13"/>
  <c r="AL62" i="13"/>
  <c r="AH62" i="13"/>
  <c r="AD62" i="13"/>
  <c r="Z62" i="13"/>
  <c r="V62" i="13"/>
  <c r="N62" i="13"/>
  <c r="R62" i="13"/>
  <c r="BO61" i="13"/>
  <c r="BK61" i="13"/>
  <c r="BG61" i="13"/>
  <c r="AL61" i="13"/>
  <c r="AH61" i="13"/>
  <c r="AD61" i="13"/>
  <c r="Z61" i="13"/>
  <c r="V61" i="13"/>
  <c r="R61" i="13"/>
  <c r="N61" i="13"/>
  <c r="BO60" i="13"/>
  <c r="BK60" i="13"/>
  <c r="BG60" i="13"/>
  <c r="AL60" i="13"/>
  <c r="AH60" i="13"/>
  <c r="AD60" i="13"/>
  <c r="Z60" i="13"/>
  <c r="V60" i="13"/>
  <c r="R60" i="13"/>
  <c r="N60" i="13"/>
  <c r="N55" i="13"/>
  <c r="N56" i="13"/>
  <c r="N57" i="13"/>
  <c r="N58" i="13"/>
  <c r="N59" i="13"/>
  <c r="BI50" i="12"/>
  <c r="BE50" i="12"/>
  <c r="BA50" i="12"/>
  <c r="AP50" i="12"/>
  <c r="AL50" i="12"/>
  <c r="AH50" i="12"/>
  <c r="AD50" i="12"/>
  <c r="Z50" i="12"/>
  <c r="V50" i="12"/>
  <c r="R50" i="12"/>
  <c r="BO59" i="13"/>
  <c r="BK59" i="13"/>
  <c r="BG59" i="13"/>
  <c r="AL59" i="13"/>
  <c r="AH59" i="13"/>
  <c r="AD59" i="13"/>
  <c r="Z59" i="13"/>
  <c r="V59" i="13"/>
  <c r="R59" i="13"/>
  <c r="BO58" i="13"/>
  <c r="BK58" i="13"/>
  <c r="BG58" i="13"/>
  <c r="AL58" i="13"/>
  <c r="AH58" i="13"/>
  <c r="AD58" i="13"/>
  <c r="Z58" i="13"/>
  <c r="V58" i="13"/>
  <c r="R58" i="13"/>
  <c r="BO57" i="13"/>
  <c r="BK57" i="13"/>
  <c r="BG57" i="13"/>
  <c r="AL57" i="13"/>
  <c r="AH57" i="13"/>
  <c r="AD57" i="13"/>
  <c r="Z57" i="13"/>
  <c r="V57" i="13"/>
  <c r="R57" i="13"/>
  <c r="BO56" i="13"/>
  <c r="BK56" i="13"/>
  <c r="BG56" i="13"/>
  <c r="AL56" i="13"/>
  <c r="AH56" i="13"/>
  <c r="AD56" i="13"/>
  <c r="Z56" i="13"/>
  <c r="V56" i="13"/>
  <c r="R56" i="13"/>
  <c r="BO55" i="13"/>
  <c r="BK55" i="13"/>
  <c r="BG55" i="13"/>
  <c r="AL55" i="13"/>
  <c r="AH55" i="13"/>
  <c r="AD55" i="13"/>
  <c r="Z55" i="13"/>
  <c r="V55" i="13"/>
  <c r="R55" i="13"/>
  <c r="BO54" i="13"/>
  <c r="BK54" i="13"/>
  <c r="BG54" i="13"/>
  <c r="AL54" i="13"/>
  <c r="AH54" i="13"/>
  <c r="AD54" i="13"/>
  <c r="Z54" i="13"/>
  <c r="V54" i="13"/>
  <c r="R54" i="13"/>
  <c r="N54" i="13"/>
  <c r="BO53" i="13"/>
  <c r="BK53" i="13"/>
  <c r="BG53" i="13"/>
  <c r="AL53" i="13"/>
  <c r="AH53" i="13"/>
  <c r="AD53" i="13"/>
  <c r="Z53" i="13"/>
  <c r="V53" i="13"/>
  <c r="R53" i="13"/>
  <c r="N53" i="13"/>
  <c r="BO52" i="13"/>
  <c r="BK52" i="13"/>
  <c r="BG52" i="13"/>
  <c r="AL52" i="13"/>
  <c r="AH52" i="13"/>
  <c r="AD52" i="13"/>
  <c r="Z52" i="13"/>
  <c r="V52" i="13"/>
  <c r="R52" i="13"/>
  <c r="N52" i="13"/>
  <c r="BO51" i="13"/>
  <c r="BK51" i="13"/>
  <c r="BG51" i="13"/>
  <c r="AL51" i="13"/>
  <c r="AH51" i="13"/>
  <c r="AD51" i="13"/>
  <c r="Z51" i="13"/>
  <c r="V51" i="13"/>
  <c r="R51" i="13"/>
  <c r="N51" i="13"/>
  <c r="BO50" i="13"/>
  <c r="BK50" i="13"/>
  <c r="BG50" i="13"/>
  <c r="AL50" i="13"/>
  <c r="AH50" i="13"/>
  <c r="AD50" i="13"/>
  <c r="Z50" i="13"/>
  <c r="V50" i="13"/>
  <c r="R50" i="13"/>
  <c r="N50" i="13"/>
  <c r="BO49" i="13"/>
  <c r="BK49" i="13"/>
  <c r="BG49" i="13"/>
  <c r="AH49" i="13"/>
  <c r="AL49" i="13"/>
  <c r="AD49" i="13"/>
  <c r="Z49" i="13"/>
  <c r="V49" i="13"/>
  <c r="R49" i="13"/>
  <c r="N49" i="13"/>
  <c r="BO48" i="13"/>
  <c r="BK48" i="13"/>
  <c r="BG48" i="13"/>
  <c r="AL48" i="13"/>
  <c r="AH48" i="13"/>
  <c r="AD48" i="13"/>
  <c r="Z48" i="13"/>
  <c r="V48" i="13"/>
  <c r="R48" i="13"/>
  <c r="N48" i="13"/>
  <c r="BO47" i="13"/>
  <c r="BK47" i="13"/>
  <c r="BG47" i="13"/>
  <c r="AL47" i="13"/>
  <c r="AH47" i="13"/>
  <c r="AD47" i="13"/>
  <c r="Z47" i="13"/>
  <c r="V47" i="13"/>
  <c r="R47" i="13"/>
  <c r="N47" i="13"/>
  <c r="BO46" i="13"/>
  <c r="BK46" i="13"/>
  <c r="BG46" i="13"/>
  <c r="AL46" i="13"/>
  <c r="AH46" i="13"/>
  <c r="AD46" i="13"/>
  <c r="Z46" i="13"/>
  <c r="V46" i="13"/>
  <c r="R46" i="13"/>
  <c r="N46" i="13"/>
  <c r="BG45" i="13"/>
  <c r="BO45" i="13"/>
  <c r="BK45" i="13"/>
  <c r="AL45" i="13"/>
  <c r="AH45" i="13"/>
  <c r="AD45" i="13"/>
  <c r="Z45" i="13"/>
  <c r="V45" i="13"/>
  <c r="R45" i="13"/>
  <c r="N45" i="13"/>
  <c r="BO44" i="13"/>
  <c r="BK44" i="13"/>
  <c r="BG44" i="13"/>
  <c r="AL44" i="13"/>
  <c r="AH44" i="13"/>
  <c r="AD44" i="13"/>
  <c r="Z44" i="13"/>
  <c r="V44" i="13"/>
  <c r="R44" i="13"/>
  <c r="N44" i="13"/>
  <c r="BO43" i="13"/>
  <c r="BK43" i="13"/>
  <c r="BG43" i="13"/>
  <c r="AL43" i="13"/>
  <c r="AH43" i="13"/>
  <c r="AD43" i="13"/>
  <c r="Z43" i="13"/>
  <c r="V43" i="13"/>
  <c r="R43" i="13"/>
  <c r="N43" i="13"/>
  <c r="BO42" i="13"/>
  <c r="BK42" i="13"/>
  <c r="BG42" i="13"/>
  <c r="AL42" i="13"/>
  <c r="AH39" i="13"/>
  <c r="AH40" i="13"/>
  <c r="AH41" i="13"/>
  <c r="AH42" i="13"/>
  <c r="AD42" i="13"/>
  <c r="Z42" i="13"/>
  <c r="V42" i="13"/>
  <c r="R42" i="13"/>
  <c r="N42" i="13"/>
  <c r="I4" i="3"/>
  <c r="AL36" i="13"/>
  <c r="AL37" i="13"/>
  <c r="AL38" i="13"/>
  <c r="AL39" i="13"/>
  <c r="AL40" i="13"/>
  <c r="AL41" i="13"/>
  <c r="BO41" i="13"/>
  <c r="BK41" i="13"/>
  <c r="BG41" i="13"/>
  <c r="AD41" i="13"/>
  <c r="Z41" i="13"/>
  <c r="V41" i="13"/>
  <c r="R41" i="13"/>
  <c r="N41" i="13"/>
  <c r="BO40" i="13"/>
  <c r="BK40" i="13"/>
  <c r="BG40" i="13"/>
  <c r="AD40" i="13"/>
  <c r="Z40" i="13"/>
  <c r="V40" i="13"/>
  <c r="R40" i="13"/>
  <c r="N40" i="13"/>
  <c r="BO39" i="13"/>
  <c r="BK39" i="13"/>
  <c r="BG39" i="13"/>
  <c r="AD39" i="13"/>
  <c r="Z39" i="13"/>
  <c r="V39" i="13"/>
  <c r="R39" i="13"/>
  <c r="N39" i="13"/>
  <c r="BO38" i="13"/>
  <c r="BK38" i="13"/>
  <c r="BG38" i="13"/>
  <c r="AH38" i="13"/>
  <c r="AD38" i="13"/>
  <c r="Z38" i="13"/>
  <c r="V38" i="13"/>
  <c r="R38" i="13"/>
  <c r="N38" i="13"/>
  <c r="N37" i="13"/>
  <c r="BO37" i="13"/>
  <c r="BK37" i="13"/>
  <c r="BG37" i="13"/>
  <c r="AH37" i="13"/>
  <c r="AD37" i="13"/>
  <c r="Z37" i="13"/>
  <c r="V37" i="13"/>
  <c r="R37" i="13"/>
  <c r="BO36" i="13"/>
  <c r="BK36" i="13"/>
  <c r="BG36" i="13"/>
  <c r="AH36" i="13"/>
  <c r="AD36" i="13"/>
  <c r="Z36" i="13"/>
  <c r="V36" i="13"/>
  <c r="R36" i="13"/>
  <c r="N36" i="13"/>
  <c r="BO35" i="13"/>
  <c r="BK35" i="13"/>
  <c r="BG35" i="13"/>
  <c r="AL35" i="13"/>
  <c r="AH35" i="13"/>
  <c r="AD35" i="13"/>
  <c r="Z35" i="13"/>
  <c r="V35" i="13"/>
  <c r="R35" i="13"/>
  <c r="N35" i="13"/>
  <c r="BO34" i="13"/>
  <c r="BK34" i="13"/>
  <c r="BG34" i="13"/>
  <c r="AL34" i="13"/>
  <c r="AH34" i="13"/>
  <c r="AD34" i="13"/>
  <c r="Z34" i="13"/>
  <c r="V34" i="13"/>
  <c r="R34" i="13"/>
  <c r="N34" i="13"/>
  <c r="BO33" i="13"/>
  <c r="BK33" i="13"/>
  <c r="BG33" i="13"/>
  <c r="AL33" i="13"/>
  <c r="AH33" i="13"/>
  <c r="AD33" i="13"/>
  <c r="Z33" i="13"/>
  <c r="V33" i="13"/>
  <c r="R33" i="13"/>
  <c r="N33" i="13"/>
  <c r="BO32" i="13"/>
  <c r="BK32" i="13"/>
  <c r="BG32" i="13"/>
  <c r="AL32" i="13"/>
  <c r="AH32" i="13"/>
  <c r="AD32" i="13"/>
  <c r="Z32" i="13"/>
  <c r="V32" i="13"/>
  <c r="R32" i="13"/>
  <c r="N32" i="13"/>
  <c r="BO31" i="13"/>
  <c r="BK31" i="13"/>
  <c r="BG31" i="13"/>
  <c r="AL31" i="13"/>
  <c r="AH31" i="13"/>
  <c r="AD31" i="13"/>
  <c r="Z31" i="13"/>
  <c r="V31" i="13"/>
  <c r="R31" i="13"/>
  <c r="N31" i="13"/>
  <c r="BO30" i="13"/>
  <c r="BK30" i="13"/>
  <c r="BG30" i="13"/>
  <c r="AL30" i="13"/>
  <c r="AH30" i="13"/>
  <c r="AD30" i="13"/>
  <c r="Z30" i="13"/>
  <c r="V30" i="13"/>
  <c r="R30" i="13"/>
  <c r="N30" i="13"/>
  <c r="BO29" i="13"/>
  <c r="BK29" i="13"/>
  <c r="BG29" i="13"/>
  <c r="AL29" i="13"/>
  <c r="AH29" i="13"/>
  <c r="AD29" i="13"/>
  <c r="Z29" i="13"/>
  <c r="V29" i="13"/>
  <c r="R29" i="13"/>
  <c r="N29" i="13"/>
  <c r="BO28" i="13"/>
  <c r="BK28" i="13"/>
  <c r="BG28" i="13"/>
  <c r="AL28" i="13"/>
  <c r="AH28" i="13"/>
  <c r="AD28" i="13"/>
  <c r="Z28" i="13"/>
  <c r="V28" i="13"/>
  <c r="R28" i="13"/>
  <c r="N28" i="13"/>
  <c r="BO27" i="13"/>
  <c r="BK27" i="13"/>
  <c r="BG27" i="13"/>
  <c r="AL27" i="13"/>
  <c r="AH27" i="13"/>
  <c r="AD27" i="13"/>
  <c r="Z27" i="13"/>
  <c r="V27" i="13"/>
  <c r="N27" i="13"/>
  <c r="R27" i="13"/>
  <c r="BO26" i="13"/>
  <c r="BK26" i="13"/>
  <c r="BG26" i="13"/>
  <c r="AL26" i="13"/>
  <c r="AH26" i="13"/>
  <c r="AD26" i="13"/>
  <c r="Z26" i="13"/>
  <c r="V26" i="13"/>
  <c r="R26" i="13"/>
  <c r="N26" i="13"/>
  <c r="BO25" i="13"/>
  <c r="BK25" i="13"/>
  <c r="BG25" i="13"/>
  <c r="AT25" i="13"/>
  <c r="AP25" i="13"/>
  <c r="AL25" i="13"/>
  <c r="AH25" i="13"/>
  <c r="AD25" i="13"/>
  <c r="Z25" i="13"/>
  <c r="V25" i="13"/>
  <c r="R25" i="13"/>
  <c r="N25" i="13"/>
  <c r="BO24" i="13"/>
  <c r="BK24" i="13"/>
  <c r="BG24" i="13"/>
  <c r="AT24" i="13"/>
  <c r="AP24" i="13"/>
  <c r="AL24" i="13"/>
  <c r="AH24" i="13"/>
  <c r="AD24" i="13"/>
  <c r="Z24" i="13"/>
  <c r="V24" i="13"/>
  <c r="R24" i="13"/>
  <c r="N24" i="13"/>
  <c r="V49" i="12"/>
  <c r="R49" i="12"/>
  <c r="BI49" i="12"/>
  <c r="BE49" i="12"/>
  <c r="BA49" i="12"/>
  <c r="Z49" i="12"/>
  <c r="AP49" i="12"/>
  <c r="AL49" i="12"/>
  <c r="AH49" i="12"/>
  <c r="AD49" i="12"/>
  <c r="BO23" i="13"/>
  <c r="BK23" i="13"/>
  <c r="BG23" i="13"/>
  <c r="AT23" i="13"/>
  <c r="AP23" i="13"/>
  <c r="AL23" i="13"/>
  <c r="AH23" i="13"/>
  <c r="AD23" i="13"/>
  <c r="Z23" i="13"/>
  <c r="V23" i="13"/>
  <c r="R23" i="13"/>
  <c r="N23" i="13"/>
  <c r="BI48" i="12"/>
  <c r="BI47" i="12"/>
  <c r="BI46" i="12"/>
  <c r="BI45" i="12"/>
  <c r="BI44" i="12"/>
  <c r="BI43" i="12"/>
  <c r="BI42" i="12"/>
  <c r="BI41" i="12"/>
  <c r="BI40" i="12"/>
  <c r="BI39" i="12"/>
  <c r="BI38" i="12"/>
  <c r="BI37" i="12"/>
  <c r="BI36" i="12"/>
  <c r="BI35" i="12"/>
  <c r="BI34" i="12"/>
  <c r="BI33" i="12"/>
  <c r="BI32" i="12"/>
  <c r="BI30" i="12"/>
  <c r="BI29" i="12"/>
  <c r="BI28" i="12"/>
  <c r="BI27" i="12"/>
  <c r="BI26" i="12"/>
  <c r="BI25" i="12"/>
  <c r="BI24" i="12"/>
  <c r="BI23" i="12"/>
  <c r="BI22" i="12"/>
  <c r="BI21" i="12"/>
  <c r="BI20" i="12"/>
  <c r="BI19" i="12"/>
  <c r="BI18" i="12"/>
  <c r="BI17" i="12"/>
  <c r="BI16" i="12"/>
  <c r="BI15" i="12"/>
  <c r="BI14" i="12"/>
  <c r="BI13" i="12"/>
  <c r="BI12" i="12"/>
  <c r="BI11" i="12"/>
  <c r="BI10" i="12"/>
  <c r="BI9" i="12"/>
  <c r="BI8" i="12"/>
  <c r="BI7" i="12"/>
  <c r="BI6" i="12"/>
  <c r="BI5" i="12"/>
  <c r="BI4" i="12"/>
  <c r="BE30" i="12"/>
  <c r="BE29" i="12"/>
  <c r="BE28" i="12"/>
  <c r="BE27" i="12"/>
  <c r="BE26" i="12"/>
  <c r="BE25" i="12"/>
  <c r="BE24" i="12"/>
  <c r="BE23" i="12"/>
  <c r="BE22" i="12"/>
  <c r="BE21" i="12"/>
  <c r="BE20" i="12"/>
  <c r="BE19" i="12"/>
  <c r="BE18" i="12"/>
  <c r="BE17" i="12"/>
  <c r="BE16" i="12"/>
  <c r="BE15" i="12"/>
  <c r="BE14" i="12"/>
  <c r="BE13" i="12"/>
  <c r="BE12" i="12"/>
  <c r="BE11" i="12"/>
  <c r="BE10" i="12"/>
  <c r="BE9" i="12"/>
  <c r="BE8" i="12"/>
  <c r="BE7" i="12"/>
  <c r="BE6" i="12"/>
  <c r="BE5" i="12"/>
  <c r="BE4" i="12"/>
  <c r="BE48" i="12"/>
  <c r="BE47" i="12"/>
  <c r="BE46" i="12"/>
  <c r="BE45" i="12"/>
  <c r="BE44" i="12"/>
  <c r="BE43" i="12"/>
  <c r="BE42" i="12"/>
  <c r="BE41" i="12"/>
  <c r="BE40" i="12"/>
  <c r="BE39" i="12"/>
  <c r="BE38" i="12"/>
  <c r="BE37" i="12"/>
  <c r="BE36" i="12"/>
  <c r="BE35" i="12"/>
  <c r="BE34" i="12"/>
  <c r="BE33" i="12"/>
  <c r="BE32" i="12"/>
  <c r="BA48" i="12"/>
  <c r="BA47" i="12"/>
  <c r="BA46" i="12"/>
  <c r="BA45" i="12"/>
  <c r="BA44" i="12"/>
  <c r="BA43" i="12"/>
  <c r="BA42" i="12"/>
  <c r="BA41" i="12"/>
  <c r="BA40" i="12"/>
  <c r="BA39" i="12"/>
  <c r="BA38" i="12"/>
  <c r="BA37" i="12"/>
  <c r="BA36" i="12"/>
  <c r="BA35" i="12"/>
  <c r="BA34" i="12"/>
  <c r="BA33" i="12"/>
  <c r="BA32" i="12"/>
  <c r="BA30" i="12"/>
  <c r="BA29" i="12"/>
  <c r="BA28" i="12"/>
  <c r="BA27" i="12"/>
  <c r="BA26" i="12"/>
  <c r="BA25" i="12"/>
  <c r="BA24" i="12"/>
  <c r="BA23" i="12"/>
  <c r="BA22" i="12"/>
  <c r="BA21" i="12"/>
  <c r="BA20" i="12"/>
  <c r="BA19" i="12"/>
  <c r="BA18" i="12"/>
  <c r="BA17" i="12"/>
  <c r="BA16" i="12"/>
  <c r="BA15" i="12"/>
  <c r="BA14" i="12"/>
  <c r="BA13" i="12"/>
  <c r="BA12" i="12"/>
  <c r="BA11" i="12"/>
  <c r="BA10" i="12"/>
  <c r="BA9" i="12"/>
  <c r="BA8" i="12"/>
  <c r="BA7" i="12"/>
  <c r="BA6" i="12"/>
  <c r="BA5" i="12"/>
  <c r="BA4" i="12"/>
  <c r="AP15" i="12"/>
  <c r="AP14" i="12"/>
  <c r="AP12" i="12"/>
  <c r="AP10" i="12"/>
  <c r="AP9" i="12"/>
  <c r="AP8" i="12"/>
  <c r="AP7" i="12"/>
  <c r="AP5" i="12"/>
  <c r="AP4" i="12"/>
  <c r="AP25" i="12"/>
  <c r="AP24" i="12"/>
  <c r="AP23" i="12"/>
  <c r="AP22" i="12"/>
  <c r="AP21" i="12"/>
  <c r="AP20" i="12"/>
  <c r="AP19" i="12"/>
  <c r="AP18" i="12"/>
  <c r="AP17" i="12"/>
  <c r="AP28" i="12"/>
  <c r="AP48" i="12"/>
  <c r="AP47" i="12"/>
  <c r="AP45" i="12"/>
  <c r="AP44" i="12"/>
  <c r="AP42" i="12"/>
  <c r="AP41" i="12"/>
  <c r="AP40" i="12"/>
  <c r="AP39" i="12"/>
  <c r="AP38" i="12"/>
  <c r="AP37" i="12"/>
  <c r="AP36" i="12"/>
  <c r="AP35" i="12"/>
  <c r="AP34" i="12"/>
  <c r="AP33" i="12"/>
  <c r="AP32" i="12"/>
  <c r="AL48" i="12"/>
  <c r="AL47" i="12"/>
  <c r="AL45" i="12"/>
  <c r="AL44" i="12"/>
  <c r="AL42" i="12"/>
  <c r="AL41" i="12"/>
  <c r="AL40" i="12"/>
  <c r="AL39" i="12"/>
  <c r="AL38" i="12"/>
  <c r="AL37" i="12"/>
  <c r="AL36" i="12"/>
  <c r="AL35" i="12"/>
  <c r="AL34" i="12"/>
  <c r="AL33" i="12"/>
  <c r="AL32" i="12"/>
  <c r="AH48" i="12"/>
  <c r="AH47" i="12"/>
  <c r="AH46" i="12"/>
  <c r="AH45" i="12"/>
  <c r="AH44" i="12"/>
  <c r="AH43" i="12"/>
  <c r="AH42" i="12"/>
  <c r="AH41" i="12"/>
  <c r="AH40" i="12"/>
  <c r="AH39" i="12"/>
  <c r="AH38" i="12"/>
  <c r="AH37" i="12"/>
  <c r="AH36" i="12"/>
  <c r="AH35" i="12"/>
  <c r="AH34" i="12"/>
  <c r="AH33" i="12"/>
  <c r="AH32" i="12"/>
  <c r="AH30" i="12"/>
  <c r="AH29" i="12"/>
  <c r="AH28" i="12"/>
  <c r="AH27" i="12"/>
  <c r="AH26" i="12"/>
  <c r="AH25" i="12"/>
  <c r="AH24" i="12"/>
  <c r="AH23" i="12"/>
  <c r="AH22" i="12"/>
  <c r="AH21" i="12"/>
  <c r="AH20" i="12"/>
  <c r="AH19" i="12"/>
  <c r="AH18" i="12"/>
  <c r="AH17" i="12"/>
  <c r="AH16" i="12"/>
  <c r="AH15" i="12"/>
  <c r="AH14" i="12"/>
  <c r="AH13" i="12"/>
  <c r="AH12" i="12"/>
  <c r="AH11" i="12"/>
  <c r="AH10" i="12"/>
  <c r="AH9" i="12"/>
  <c r="AH8" i="12"/>
  <c r="AH7" i="12"/>
  <c r="AH6" i="12"/>
  <c r="AH5" i="12"/>
  <c r="AH4" i="12"/>
  <c r="AD33" i="12"/>
  <c r="AD34" i="12"/>
  <c r="AD35" i="12"/>
  <c r="AD36" i="12"/>
  <c r="AD37" i="12"/>
  <c r="AD38" i="12"/>
  <c r="AD39" i="12"/>
  <c r="AD40" i="12"/>
  <c r="AD41" i="12"/>
  <c r="AD42" i="12"/>
  <c r="AD43" i="12"/>
  <c r="AD44" i="12"/>
  <c r="AD45" i="12"/>
  <c r="AD46" i="12"/>
  <c r="AD47" i="12"/>
  <c r="AD48" i="12"/>
  <c r="AD32" i="12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D18" i="12"/>
  <c r="AD19" i="12"/>
  <c r="AD20" i="12"/>
  <c r="AD21" i="12"/>
  <c r="AD22" i="12"/>
  <c r="AD23" i="12"/>
  <c r="AD24" i="12"/>
  <c r="AD25" i="12"/>
  <c r="AD26" i="12"/>
  <c r="AD27" i="12"/>
  <c r="AD28" i="12"/>
  <c r="AD29" i="12"/>
  <c r="AD30" i="12"/>
  <c r="AD4" i="12"/>
  <c r="Z48" i="12"/>
  <c r="Z47" i="12"/>
  <c r="Z46" i="12"/>
  <c r="Z45" i="12"/>
  <c r="Z44" i="12"/>
  <c r="Z43" i="12"/>
  <c r="Z42" i="12"/>
  <c r="Z41" i="12"/>
  <c r="Z40" i="12"/>
  <c r="Z39" i="12"/>
  <c r="Z38" i="12"/>
  <c r="Z37" i="12"/>
  <c r="Z36" i="12"/>
  <c r="Z35" i="12"/>
  <c r="Z34" i="12"/>
  <c r="Z33" i="12"/>
  <c r="Z32" i="12"/>
  <c r="Z5" i="12"/>
  <c r="Z6" i="12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4" i="12"/>
  <c r="V14" i="12"/>
  <c r="V9" i="12"/>
  <c r="V4" i="12"/>
  <c r="V8" i="12"/>
  <c r="V7" i="12"/>
  <c r="V6" i="12"/>
  <c r="V5" i="12"/>
  <c r="V13" i="12"/>
  <c r="V12" i="12"/>
  <c r="V11" i="12"/>
  <c r="V10" i="12"/>
  <c r="V30" i="12"/>
  <c r="V29" i="12"/>
  <c r="V28" i="12"/>
  <c r="V27" i="12"/>
  <c r="V26" i="12"/>
  <c r="V25" i="12"/>
  <c r="V24" i="12"/>
  <c r="V23" i="12"/>
  <c r="V22" i="12"/>
  <c r="V21" i="12"/>
  <c r="V20" i="12"/>
  <c r="V19" i="12"/>
  <c r="V18" i="12"/>
  <c r="V17" i="12"/>
  <c r="V16" i="12"/>
  <c r="V15" i="12"/>
  <c r="V48" i="12"/>
  <c r="V47" i="12"/>
  <c r="V46" i="12"/>
  <c r="V45" i="12"/>
  <c r="V44" i="12"/>
  <c r="V43" i="12"/>
  <c r="V42" i="12"/>
  <c r="V41" i="12"/>
  <c r="V40" i="12"/>
  <c r="V39" i="12"/>
  <c r="V38" i="12"/>
  <c r="V37" i="12"/>
  <c r="V36" i="12"/>
  <c r="V35" i="12"/>
  <c r="V34" i="12"/>
  <c r="V33" i="12"/>
  <c r="V32" i="12"/>
  <c r="R48" i="12"/>
  <c r="R47" i="12"/>
  <c r="R46" i="12"/>
  <c r="R45" i="12"/>
  <c r="R44" i="12"/>
  <c r="R43" i="12"/>
  <c r="R42" i="12"/>
  <c r="R41" i="12"/>
  <c r="R40" i="12"/>
  <c r="R39" i="12"/>
  <c r="R38" i="12"/>
  <c r="R37" i="12"/>
  <c r="R36" i="12"/>
  <c r="R35" i="12"/>
  <c r="R34" i="12"/>
  <c r="R33" i="12"/>
  <c r="R32" i="12"/>
  <c r="R22" i="12"/>
  <c r="R23" i="12"/>
  <c r="R24" i="12"/>
  <c r="R25" i="12"/>
  <c r="R26" i="12"/>
  <c r="R27" i="12"/>
  <c r="R28" i="12"/>
  <c r="R29" i="12"/>
  <c r="R30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4" i="12"/>
  <c r="R8" i="13"/>
  <c r="R7" i="13"/>
  <c r="R6" i="13"/>
  <c r="R5" i="13"/>
  <c r="R4" i="13"/>
  <c r="R3" i="13"/>
  <c r="R12" i="13"/>
  <c r="R10" i="13"/>
  <c r="R19" i="13"/>
  <c r="R18" i="13"/>
  <c r="R17" i="13"/>
  <c r="R16" i="13"/>
  <c r="R15" i="13"/>
  <c r="R14" i="13"/>
  <c r="R13" i="13"/>
  <c r="R22" i="13"/>
  <c r="R21" i="13"/>
  <c r="R20" i="13"/>
  <c r="V22" i="13"/>
  <c r="V21" i="13"/>
  <c r="V20" i="13"/>
  <c r="V19" i="13"/>
  <c r="V18" i="13"/>
  <c r="V17" i="13"/>
  <c r="V16" i="13"/>
  <c r="V15" i="13"/>
  <c r="V14" i="13"/>
  <c r="V13" i="13"/>
  <c r="V12" i="13"/>
  <c r="V10" i="13"/>
  <c r="V8" i="13"/>
  <c r="V7" i="13"/>
  <c r="V6" i="13"/>
  <c r="V5" i="13"/>
  <c r="V4" i="13"/>
  <c r="Z22" i="13"/>
  <c r="Z21" i="13"/>
  <c r="Z20" i="13"/>
  <c r="Z19" i="13"/>
  <c r="Z18" i="13"/>
  <c r="Z17" i="13"/>
  <c r="Z16" i="13"/>
  <c r="Z15" i="13"/>
  <c r="Z14" i="13"/>
  <c r="Z13" i="13"/>
  <c r="AD22" i="13"/>
  <c r="AD21" i="13"/>
  <c r="AD20" i="13"/>
  <c r="AD19" i="13"/>
  <c r="AD18" i="13"/>
  <c r="AD17" i="13"/>
  <c r="AD16" i="13"/>
  <c r="AD15" i="13"/>
  <c r="AD14" i="13"/>
  <c r="AD12" i="13"/>
  <c r="AD10" i="13"/>
  <c r="AD8" i="13"/>
  <c r="AD7" i="13"/>
  <c r="AD6" i="13"/>
  <c r="AD5" i="13"/>
  <c r="AD4" i="13"/>
  <c r="AD3" i="13"/>
  <c r="AH22" i="13"/>
  <c r="AH21" i="13"/>
  <c r="AH20" i="13"/>
  <c r="AH19" i="13"/>
  <c r="AH18" i="13"/>
  <c r="AH17" i="13"/>
  <c r="AH16" i="13"/>
  <c r="AH15" i="13"/>
  <c r="AH14" i="13"/>
  <c r="AH13" i="13"/>
  <c r="AT22" i="13"/>
  <c r="AT21" i="13"/>
  <c r="AT20" i="13"/>
  <c r="AT19" i="13"/>
  <c r="AT18" i="13"/>
  <c r="AT16" i="13"/>
  <c r="AT15" i="13"/>
  <c r="AT13" i="13"/>
  <c r="AT4" i="13"/>
  <c r="AP4" i="13"/>
  <c r="AP13" i="13"/>
  <c r="AP16" i="13"/>
  <c r="AP15" i="13"/>
  <c r="AP19" i="13"/>
  <c r="AP18" i="13"/>
  <c r="AP22" i="13"/>
  <c r="AP21" i="13"/>
  <c r="AP20" i="13"/>
  <c r="AL22" i="13"/>
  <c r="AL21" i="13"/>
  <c r="AL20" i="13"/>
  <c r="AL19" i="13"/>
  <c r="AL18" i="13"/>
  <c r="AL17" i="13"/>
  <c r="AL16" i="13"/>
  <c r="AL15" i="13"/>
  <c r="AL14" i="13"/>
  <c r="AL13" i="13"/>
  <c r="AL12" i="13"/>
  <c r="AL10" i="13"/>
  <c r="AL4" i="13"/>
  <c r="AL5" i="13"/>
  <c r="AL6" i="13"/>
  <c r="AL7" i="13"/>
  <c r="AL8" i="13"/>
  <c r="AL3" i="13"/>
  <c r="BG4" i="13"/>
  <c r="BG5" i="13"/>
  <c r="BG6" i="13"/>
  <c r="BG7" i="13"/>
  <c r="BG8" i="13"/>
  <c r="BG10" i="13"/>
  <c r="BG12" i="13"/>
  <c r="BG13" i="13"/>
  <c r="BG14" i="13"/>
  <c r="BG15" i="13"/>
  <c r="BG16" i="13"/>
  <c r="BG17" i="13"/>
  <c r="BG18" i="13"/>
  <c r="BG19" i="13"/>
  <c r="BG20" i="13"/>
  <c r="BG21" i="13"/>
  <c r="BG22" i="13"/>
  <c r="BK4" i="13"/>
  <c r="BK5" i="13"/>
  <c r="BK6" i="13"/>
  <c r="BK7" i="13"/>
  <c r="BK8" i="13"/>
  <c r="BK10" i="13"/>
  <c r="BK12" i="13"/>
  <c r="BK13" i="13"/>
  <c r="BK14" i="13"/>
  <c r="BK15" i="13"/>
  <c r="BK16" i="13"/>
  <c r="BK17" i="13"/>
  <c r="BK18" i="13"/>
  <c r="BK19" i="13"/>
  <c r="BK20" i="13"/>
  <c r="BK21" i="13"/>
  <c r="BK22" i="13"/>
  <c r="BO4" i="13"/>
  <c r="BO5" i="13"/>
  <c r="BO6" i="13"/>
  <c r="BO7" i="13"/>
  <c r="BO8" i="13"/>
  <c r="BO10" i="13"/>
  <c r="BO12" i="13"/>
  <c r="BO13" i="13"/>
  <c r="BO14" i="13"/>
  <c r="BO15" i="13"/>
  <c r="BO16" i="13"/>
  <c r="BO17" i="13"/>
  <c r="BO18" i="13"/>
  <c r="BO19" i="13"/>
  <c r="BO20" i="13"/>
  <c r="BO21" i="13"/>
  <c r="BO22" i="13"/>
  <c r="BO3" i="13"/>
  <c r="BK3" i="13"/>
  <c r="BG3" i="13"/>
  <c r="Z3" i="13"/>
  <c r="V3" i="13"/>
  <c r="AH3" i="13"/>
  <c r="N22" i="13"/>
  <c r="N21" i="13"/>
  <c r="N20" i="13"/>
  <c r="N19" i="13"/>
  <c r="N18" i="13"/>
  <c r="N17" i="13"/>
  <c r="N16" i="13"/>
  <c r="N15" i="13"/>
  <c r="N14" i="13"/>
  <c r="N13" i="13"/>
  <c r="N12" i="13"/>
  <c r="N10" i="13"/>
  <c r="N6" i="13"/>
  <c r="N7" i="13"/>
  <c r="N8" i="13"/>
  <c r="I3" i="3"/>
  <c r="AH4" i="13"/>
  <c r="AH5" i="13"/>
  <c r="AH6" i="13"/>
  <c r="AH7" i="13"/>
  <c r="AH8" i="13"/>
  <c r="AH10" i="13"/>
  <c r="AH12" i="13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BI27" i="1"/>
  <c r="P16" i="11"/>
  <c r="P15" i="11"/>
  <c r="P14" i="11"/>
  <c r="P13" i="11"/>
  <c r="P12" i="11"/>
  <c r="P11" i="11"/>
  <c r="P10" i="11"/>
  <c r="P9" i="11"/>
  <c r="N30" i="12"/>
  <c r="N29" i="12"/>
  <c r="N28" i="12"/>
  <c r="N27" i="12"/>
  <c r="N26" i="12"/>
  <c r="N25" i="12"/>
  <c r="N24" i="12"/>
  <c r="P8" i="11"/>
  <c r="P7" i="11"/>
  <c r="I2" i="3"/>
  <c r="N23" i="12"/>
  <c r="N22" i="12"/>
  <c r="N21" i="12"/>
  <c r="N20" i="12"/>
  <c r="N19" i="12"/>
  <c r="N18" i="12"/>
  <c r="P6" i="11"/>
  <c r="N17" i="12"/>
  <c r="N16" i="12"/>
  <c r="N15" i="12"/>
  <c r="N14" i="12"/>
  <c r="N13" i="12"/>
  <c r="P5" i="11"/>
  <c r="N5" i="13"/>
  <c r="N12" i="12"/>
  <c r="N11" i="12"/>
  <c r="P3" i="14"/>
  <c r="N10" i="12"/>
  <c r="N9" i="12"/>
  <c r="N8" i="12"/>
  <c r="N7" i="12"/>
  <c r="N6" i="12"/>
  <c r="N5" i="12"/>
  <c r="N4" i="12"/>
  <c r="N4" i="13"/>
  <c r="N3" i="13"/>
  <c r="P4" i="11"/>
  <c r="P3" i="11"/>
  <c r="AQ73" i="1"/>
  <c r="AQ71" i="1"/>
  <c r="AQ69" i="1"/>
  <c r="AM73" i="1"/>
  <c r="AM71" i="1"/>
  <c r="AM69" i="1"/>
  <c r="BI73" i="1"/>
  <c r="BE73" i="1"/>
  <c r="BA73" i="1"/>
  <c r="AI73" i="1"/>
  <c r="AE73" i="1"/>
  <c r="AA73" i="1"/>
  <c r="W73" i="1"/>
  <c r="AA72" i="1"/>
  <c r="BI72" i="1"/>
  <c r="BE72" i="1"/>
  <c r="BA72" i="1"/>
  <c r="AI72" i="1"/>
  <c r="AE72" i="1"/>
  <c r="W72" i="1"/>
  <c r="S72" i="1"/>
  <c r="BI71" i="1"/>
  <c r="BE71" i="1"/>
  <c r="BA71" i="1"/>
  <c r="AI71" i="1"/>
  <c r="AE71" i="1"/>
  <c r="AA71" i="1"/>
  <c r="W71" i="1"/>
  <c r="S71" i="1"/>
  <c r="BI70" i="1"/>
  <c r="BE70" i="1"/>
  <c r="BA70" i="1"/>
  <c r="AI70" i="1"/>
  <c r="AE70" i="1"/>
  <c r="AA70" i="1"/>
  <c r="W70" i="1"/>
  <c r="S70" i="1"/>
  <c r="BI69" i="1"/>
  <c r="BE69" i="1"/>
  <c r="BA69" i="1"/>
  <c r="AE69" i="1"/>
  <c r="AI69" i="1"/>
  <c r="AA69" i="1"/>
  <c r="W69" i="1"/>
  <c r="S69" i="1"/>
  <c r="O69" i="1"/>
  <c r="BI68" i="1"/>
  <c r="BE68" i="1"/>
  <c r="BA68" i="1"/>
  <c r="AI68" i="1"/>
  <c r="AE68" i="1"/>
  <c r="AA68" i="1"/>
  <c r="W68" i="1"/>
  <c r="S68" i="1"/>
  <c r="O68" i="1"/>
  <c r="O67" i="1"/>
  <c r="BI67" i="1"/>
  <c r="BI66" i="1"/>
  <c r="BI65" i="1"/>
  <c r="BI64" i="1"/>
  <c r="BI63" i="1"/>
  <c r="BI62" i="1"/>
  <c r="BI61" i="1"/>
  <c r="BI60" i="1"/>
  <c r="BE67" i="1"/>
  <c r="BA67" i="1"/>
  <c r="AE67" i="1"/>
  <c r="AA67" i="1"/>
  <c r="W67" i="1"/>
  <c r="S67" i="1"/>
  <c r="BE66" i="1"/>
  <c r="BA66" i="1"/>
  <c r="AE66" i="1"/>
  <c r="AA66" i="1"/>
  <c r="W66" i="1"/>
  <c r="S66" i="1"/>
  <c r="O66" i="1"/>
  <c r="BE65" i="1"/>
  <c r="BA65" i="1"/>
  <c r="AI59" i="1"/>
  <c r="AI60" i="1"/>
  <c r="AI61" i="1"/>
  <c r="AI62" i="1"/>
  <c r="AI63" i="1"/>
  <c r="AI64" i="1"/>
  <c r="AI65" i="1"/>
  <c r="AI66" i="1"/>
  <c r="AI67" i="1"/>
  <c r="AE65" i="1"/>
  <c r="AA65" i="1"/>
  <c r="W65" i="1"/>
  <c r="S65" i="1"/>
  <c r="O65" i="1"/>
  <c r="B20" i="2"/>
  <c r="B21" i="2"/>
  <c r="B19" i="2"/>
  <c r="B18" i="2"/>
  <c r="B15" i="2"/>
  <c r="B9" i="2"/>
  <c r="B13" i="2"/>
  <c r="B14" i="2"/>
  <c r="B12" i="2"/>
  <c r="B8" i="2"/>
  <c r="B7" i="2"/>
  <c r="B6" i="2"/>
  <c r="BE64" i="1"/>
  <c r="BA64" i="1"/>
  <c r="AE64" i="1"/>
  <c r="AA64" i="1"/>
  <c r="W64" i="1"/>
  <c r="S64" i="1"/>
  <c r="O64" i="1"/>
  <c r="BE63" i="1"/>
  <c r="BA63" i="1"/>
  <c r="AE63" i="1"/>
  <c r="AA63" i="1"/>
  <c r="W63" i="1"/>
  <c r="S63" i="1"/>
  <c r="O63" i="1"/>
  <c r="BE62" i="1"/>
  <c r="BA62" i="1"/>
  <c r="AE62" i="1"/>
  <c r="AA62" i="1"/>
  <c r="W62" i="1"/>
  <c r="S62" i="1"/>
  <c r="O62" i="1"/>
  <c r="BE61" i="1"/>
  <c r="BA61" i="1"/>
  <c r="AE61" i="1"/>
  <c r="AA61" i="1"/>
  <c r="W61" i="1"/>
  <c r="S61" i="1"/>
  <c r="O61" i="1"/>
  <c r="BE60" i="1"/>
  <c r="BA60" i="1"/>
  <c r="AE60" i="1"/>
  <c r="AA60" i="1"/>
  <c r="W60" i="1"/>
  <c r="S60" i="1"/>
  <c r="O60" i="1"/>
  <c r="BI59" i="1"/>
  <c r="BE59" i="1"/>
  <c r="BA59" i="1"/>
  <c r="AE59" i="1"/>
  <c r="AA59" i="1"/>
  <c r="W59" i="1"/>
  <c r="S59" i="1"/>
  <c r="O59" i="1"/>
  <c r="BI58" i="1"/>
  <c r="BE58" i="1"/>
  <c r="BA58" i="1"/>
  <c r="AI58" i="1"/>
  <c r="AE58" i="1"/>
  <c r="AA58" i="1"/>
  <c r="W58" i="1"/>
  <c r="S58" i="1"/>
  <c r="O58" i="1"/>
  <c r="BI57" i="1"/>
  <c r="BE57" i="1"/>
  <c r="BA57" i="1"/>
  <c r="AI57" i="1"/>
  <c r="AE57" i="1"/>
  <c r="AA57" i="1"/>
  <c r="W57" i="1"/>
  <c r="S57" i="1"/>
  <c r="O57" i="1"/>
  <c r="BI56" i="1"/>
  <c r="BE56" i="1"/>
  <c r="BA56" i="1"/>
  <c r="AI56" i="1"/>
  <c r="AE56" i="1"/>
  <c r="AA56" i="1"/>
  <c r="W56" i="1"/>
  <c r="S56" i="1"/>
  <c r="O56" i="1"/>
  <c r="BI55" i="1"/>
  <c r="BE55" i="1"/>
  <c r="BA55" i="1"/>
  <c r="AI55" i="1"/>
  <c r="AE55" i="1"/>
  <c r="AA55" i="1"/>
  <c r="W55" i="1"/>
  <c r="S55" i="1"/>
  <c r="O55" i="1"/>
  <c r="BI54" i="1"/>
  <c r="BE54" i="1"/>
  <c r="BA54" i="1"/>
  <c r="AI54" i="1"/>
  <c r="AE54" i="1"/>
  <c r="AA54" i="1"/>
  <c r="W54" i="1"/>
  <c r="S54" i="1"/>
  <c r="O54" i="1"/>
  <c r="BI53" i="1"/>
  <c r="BE53" i="1"/>
  <c r="BA53" i="1"/>
  <c r="AI53" i="1"/>
  <c r="AE53" i="1"/>
  <c r="AA53" i="1"/>
  <c r="W53" i="1"/>
  <c r="S53" i="1"/>
  <c r="O53" i="1"/>
  <c r="BI52" i="1"/>
  <c r="BE52" i="1"/>
  <c r="BA52" i="1"/>
  <c r="AI52" i="1"/>
  <c r="AE52" i="1"/>
  <c r="AA52" i="1"/>
  <c r="W52" i="1"/>
  <c r="S52" i="1"/>
  <c r="O52" i="1"/>
  <c r="BI51" i="1"/>
  <c r="BE51" i="1"/>
  <c r="BA51" i="1"/>
  <c r="AI51" i="1"/>
  <c r="AE51" i="1"/>
  <c r="AA51" i="1"/>
  <c r="W51" i="1"/>
  <c r="S51" i="1"/>
  <c r="O51" i="1"/>
  <c r="BI50" i="1"/>
  <c r="BE50" i="1"/>
  <c r="BA50" i="1"/>
  <c r="AI50" i="1"/>
  <c r="AE50" i="1"/>
  <c r="AA50" i="1"/>
  <c r="W50" i="1"/>
  <c r="S50" i="1"/>
  <c r="O50" i="1"/>
  <c r="O49" i="1"/>
  <c r="AI49" i="1"/>
  <c r="BE49" i="1"/>
  <c r="BI49" i="1"/>
  <c r="BA49" i="1"/>
  <c r="AE49" i="1"/>
  <c r="AA49" i="1"/>
  <c r="W49" i="1"/>
  <c r="S49" i="1"/>
  <c r="BI48" i="1"/>
  <c r="BE48" i="1"/>
  <c r="BA48" i="1"/>
  <c r="AI48" i="1"/>
  <c r="AE48" i="1"/>
  <c r="AA48" i="1"/>
  <c r="W48" i="1"/>
  <c r="S48" i="1"/>
  <c r="O48" i="1"/>
  <c r="BI47" i="1"/>
  <c r="BE47" i="1"/>
  <c r="BA47" i="1"/>
  <c r="AI47" i="1"/>
  <c r="AE47" i="1"/>
  <c r="AA47" i="1"/>
  <c r="W47" i="1"/>
  <c r="S47" i="1"/>
  <c r="O47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W35" i="1"/>
  <c r="W36" i="1"/>
  <c r="W37" i="1"/>
  <c r="W38" i="1"/>
  <c r="W39" i="1"/>
  <c r="W40" i="1"/>
  <c r="W41" i="1"/>
  <c r="W42" i="1"/>
  <c r="W43" i="1"/>
  <c r="W44" i="1"/>
  <c r="W45" i="1"/>
  <c r="W46" i="1"/>
  <c r="S35" i="1"/>
  <c r="S36" i="1"/>
  <c r="S37" i="1"/>
  <c r="S38" i="1"/>
  <c r="S39" i="1"/>
  <c r="S40" i="1"/>
  <c r="S41" i="1"/>
  <c r="S42" i="1"/>
  <c r="S43" i="1"/>
  <c r="S44" i="1"/>
  <c r="S45" i="1"/>
  <c r="S46" i="1"/>
  <c r="O35" i="1"/>
  <c r="O36" i="1"/>
  <c r="O37" i="1"/>
  <c r="O38" i="1"/>
  <c r="O39" i="1"/>
  <c r="O40" i="1"/>
  <c r="O41" i="1"/>
  <c r="O42" i="1"/>
  <c r="O43" i="1"/>
  <c r="O44" i="1"/>
  <c r="O45" i="1"/>
  <c r="O46" i="1"/>
  <c r="BI33" i="1"/>
  <c r="BI34" i="1"/>
  <c r="BE33" i="1"/>
  <c r="BE34" i="1"/>
  <c r="BA33" i="1"/>
  <c r="BA34" i="1"/>
  <c r="AE33" i="1"/>
  <c r="AE34" i="1"/>
  <c r="AI33" i="1"/>
  <c r="AI34" i="1"/>
  <c r="AA33" i="1"/>
  <c r="AA34" i="1"/>
  <c r="W33" i="1"/>
  <c r="W34" i="1"/>
  <c r="S33" i="1"/>
  <c r="S34" i="1"/>
  <c r="O34" i="1"/>
  <c r="O33" i="1"/>
  <c r="BI32" i="1"/>
  <c r="BE32" i="1"/>
  <c r="BA32" i="1"/>
  <c r="AE32" i="1"/>
  <c r="AI32" i="1"/>
  <c r="AA32" i="1"/>
  <c r="W32" i="1"/>
  <c r="BI30" i="1"/>
  <c r="BE30" i="1"/>
  <c r="BA30" i="1"/>
  <c r="AE30" i="1"/>
  <c r="AI30" i="1"/>
  <c r="AA30" i="1"/>
  <c r="W30" i="1"/>
  <c r="S30" i="1"/>
  <c r="O30" i="1"/>
  <c r="BI29" i="1"/>
  <c r="BE29" i="1"/>
  <c r="BA29" i="1"/>
  <c r="AA29" i="1"/>
  <c r="AI29" i="1"/>
  <c r="AE29" i="1"/>
  <c r="AA27" i="1"/>
  <c r="W29" i="1"/>
  <c r="S29" i="1"/>
  <c r="O29" i="1"/>
  <c r="BI28" i="1"/>
  <c r="BE28" i="1"/>
  <c r="BA28" i="1"/>
  <c r="AI28" i="1"/>
  <c r="AE28" i="1"/>
  <c r="S28" i="1"/>
  <c r="O28" i="1"/>
  <c r="S27" i="1"/>
  <c r="BE27" i="1"/>
  <c r="BA27" i="1"/>
  <c r="AI27" i="1"/>
  <c r="AE27" i="1"/>
  <c r="W27" i="1"/>
  <c r="O27" i="1"/>
  <c r="AA26" i="1"/>
  <c r="W26" i="1"/>
  <c r="S26" i="1"/>
  <c r="O26" i="1"/>
  <c r="BI26" i="1"/>
  <c r="BE26" i="1"/>
  <c r="BA26" i="1"/>
  <c r="AE26" i="1"/>
  <c r="BI25" i="1"/>
  <c r="BE25" i="1"/>
  <c r="BA25" i="1"/>
  <c r="AI26" i="1"/>
  <c r="AI25" i="1"/>
  <c r="AI24" i="1"/>
  <c r="AI23" i="1"/>
  <c r="AI22" i="1"/>
  <c r="AI21" i="1"/>
  <c r="AI20" i="1"/>
  <c r="AI19" i="1"/>
  <c r="AI18" i="1"/>
  <c r="AI17" i="1"/>
  <c r="AI16" i="1"/>
  <c r="AE25" i="1"/>
  <c r="AA25" i="1"/>
  <c r="W25" i="1"/>
  <c r="S25" i="1"/>
  <c r="O25" i="1"/>
  <c r="BI24" i="1"/>
  <c r="BE24" i="1"/>
  <c r="BA24" i="1"/>
  <c r="AE24" i="1"/>
  <c r="AA24" i="1"/>
  <c r="W24" i="1"/>
  <c r="S24" i="1"/>
  <c r="O24" i="1"/>
  <c r="BI23" i="1"/>
  <c r="BE23" i="1"/>
  <c r="BA23" i="1"/>
  <c r="AE23" i="1"/>
  <c r="AA23" i="1"/>
  <c r="W23" i="1"/>
  <c r="S23" i="1"/>
  <c r="O23" i="1"/>
  <c r="BI22" i="1"/>
  <c r="BE22" i="1"/>
  <c r="BA22" i="1"/>
  <c r="AE22" i="1"/>
  <c r="AA22" i="1"/>
  <c r="W22" i="1"/>
  <c r="S22" i="1"/>
  <c r="O22" i="1"/>
  <c r="O21" i="1"/>
  <c r="AA21" i="1"/>
  <c r="W21" i="1"/>
  <c r="S21" i="1"/>
  <c r="BI21" i="1"/>
  <c r="BE21" i="1"/>
  <c r="BA21" i="1"/>
  <c r="AE21" i="1"/>
  <c r="BI20" i="1"/>
  <c r="BE20" i="1"/>
  <c r="BA20" i="1"/>
  <c r="AE20" i="1"/>
  <c r="AA20" i="1"/>
  <c r="W20" i="1"/>
  <c r="S20" i="1"/>
  <c r="O20" i="1"/>
  <c r="BI19" i="1"/>
  <c r="BE19" i="1"/>
  <c r="BA19" i="1"/>
  <c r="AE19" i="1"/>
  <c r="AA19" i="1"/>
  <c r="W19" i="1"/>
  <c r="S19" i="1"/>
  <c r="O19" i="1"/>
  <c r="BI18" i="1"/>
  <c r="BE18" i="1"/>
  <c r="BA18" i="1"/>
  <c r="AE18" i="1"/>
  <c r="AA18" i="1"/>
  <c r="W18" i="1"/>
  <c r="S18" i="1"/>
  <c r="O18" i="1"/>
  <c r="BI17" i="1"/>
  <c r="BE17" i="1"/>
  <c r="BA17" i="1"/>
  <c r="AE17" i="1"/>
  <c r="AA17" i="1"/>
  <c r="W17" i="1"/>
  <c r="S17" i="1"/>
  <c r="O17" i="1"/>
  <c r="BI16" i="1"/>
  <c r="BE16" i="1"/>
  <c r="BA16" i="1"/>
  <c r="AE16" i="1"/>
  <c r="AA16" i="1"/>
  <c r="W16" i="1"/>
  <c r="S16" i="1"/>
  <c r="O16" i="1"/>
  <c r="BI15" i="1"/>
  <c r="BE15" i="1"/>
  <c r="BA15" i="1"/>
  <c r="AE15" i="1"/>
  <c r="AA15" i="1"/>
  <c r="W15" i="1"/>
  <c r="S15" i="1"/>
  <c r="O15" i="1"/>
  <c r="BI14" i="1"/>
  <c r="BE14" i="1"/>
  <c r="BA14" i="1"/>
  <c r="AI14" i="1"/>
  <c r="AE14" i="1"/>
  <c r="AA14" i="1"/>
  <c r="W14" i="1"/>
  <c r="S14" i="1"/>
  <c r="O14" i="1"/>
  <c r="O13" i="1"/>
  <c r="BI13" i="1"/>
  <c r="BE13" i="1"/>
  <c r="BA13" i="1"/>
  <c r="AI13" i="1"/>
  <c r="AE13" i="1"/>
  <c r="AA13" i="1"/>
  <c r="W13" i="1"/>
  <c r="BI12" i="1"/>
  <c r="BA12" i="1"/>
  <c r="N12" i="1"/>
  <c r="O12" i="1"/>
  <c r="N11" i="1"/>
  <c r="O11" i="1" s="1"/>
  <c r="S13" i="1"/>
  <c r="BE12" i="1"/>
  <c r="AE12" i="1"/>
  <c r="AI12" i="1"/>
  <c r="AA12" i="1"/>
  <c r="W12" i="1"/>
  <c r="S12" i="1"/>
  <c r="BI11" i="1"/>
  <c r="BE11" i="1"/>
  <c r="BA11" i="1"/>
  <c r="AE11" i="1"/>
  <c r="AI11" i="1"/>
  <c r="AA11" i="1"/>
  <c r="W11" i="1"/>
  <c r="S11" i="1"/>
  <c r="BI10" i="1"/>
  <c r="BE10" i="1"/>
  <c r="BA10" i="1"/>
  <c r="AE10" i="1"/>
  <c r="AI10" i="1"/>
  <c r="AA10" i="1"/>
  <c r="W10" i="1"/>
  <c r="S10" i="1"/>
  <c r="O10" i="1"/>
  <c r="BI9" i="1"/>
  <c r="BE9" i="1"/>
  <c r="BA9" i="1"/>
  <c r="AE9" i="1"/>
  <c r="AI9" i="1"/>
  <c r="AA9" i="1"/>
  <c r="W9" i="1"/>
  <c r="S9" i="1"/>
  <c r="O9" i="1"/>
  <c r="BI8" i="1"/>
  <c r="BE8" i="1"/>
  <c r="BA8" i="1"/>
  <c r="AE8" i="1"/>
  <c r="AI8" i="1"/>
  <c r="AA8" i="1"/>
  <c r="W8" i="1"/>
  <c r="S8" i="1"/>
  <c r="O8" i="1"/>
  <c r="BI7" i="1"/>
  <c r="BE7" i="1"/>
  <c r="BA7" i="1"/>
  <c r="AE7" i="1"/>
  <c r="AI7" i="1"/>
  <c r="AA7" i="1"/>
  <c r="W7" i="1"/>
  <c r="S7" i="1"/>
  <c r="O7" i="1"/>
  <c r="BI6" i="1"/>
  <c r="BE6" i="1"/>
  <c r="BA6" i="1"/>
  <c r="AE6" i="1"/>
  <c r="AI6" i="1"/>
  <c r="AA6" i="1"/>
  <c r="W6" i="1"/>
  <c r="S6" i="1"/>
  <c r="O6" i="1"/>
  <c r="BI5" i="1"/>
  <c r="BE5" i="1"/>
  <c r="BA5" i="1"/>
  <c r="AE5" i="1"/>
  <c r="AI5" i="1"/>
  <c r="AA5" i="1"/>
  <c r="W5" i="1"/>
  <c r="S5" i="1"/>
  <c r="O5" i="1"/>
  <c r="BI4" i="1"/>
  <c r="BE4" i="1"/>
  <c r="BA4" i="1"/>
  <c r="AE4" i="1"/>
  <c r="AI4" i="1"/>
  <c r="AA4" i="1"/>
  <c r="W4" i="1"/>
  <c r="S4" i="1"/>
  <c r="O4" i="1"/>
</calcChain>
</file>

<file path=xl/comments1.xml><?xml version="1.0" encoding="utf-8"?>
<comments xmlns="http://schemas.openxmlformats.org/spreadsheetml/2006/main">
  <authors>
    <author>Administrator</author>
  </authors>
  <commentList>
    <comment ref="K110" authorId="0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<sst xmlns="http://schemas.openxmlformats.org/spreadsheetml/2006/main" count="15198" uniqueCount="1953">
  <si>
    <t>Sternal</t>
    <phoneticPr fontId="0" type="noConversion"/>
  </si>
  <si>
    <t>Pouch and young</t>
    <phoneticPr fontId="0" type="noConversion"/>
  </si>
  <si>
    <t>name</t>
    <phoneticPr fontId="0" type="noConversion"/>
  </si>
  <si>
    <t>recap/new</t>
    <phoneticPr fontId="0" type="noConversion"/>
  </si>
  <si>
    <t>period</t>
    <phoneticPr fontId="0" type="noConversion"/>
  </si>
  <si>
    <t>eartag</t>
    <phoneticPr fontId="0" type="noConversion"/>
  </si>
  <si>
    <t>date</t>
    <phoneticPr fontId="0" type="noConversion"/>
  </si>
  <si>
    <t>location</t>
    <phoneticPr fontId="0" type="noConversion"/>
  </si>
  <si>
    <t>habitat</t>
    <phoneticPr fontId="0" type="noConversion"/>
  </si>
  <si>
    <t>mass with bag</t>
    <phoneticPr fontId="0" type="noConversion"/>
  </si>
  <si>
    <t>bag</t>
    <phoneticPr fontId="0" type="noConversion"/>
  </si>
  <si>
    <t>mass</t>
    <phoneticPr fontId="0" type="noConversion"/>
  </si>
  <si>
    <t>bodylength1</t>
    <phoneticPr fontId="0" type="noConversion"/>
  </si>
  <si>
    <t>bodylength2</t>
    <phoneticPr fontId="0" type="noConversion"/>
  </si>
  <si>
    <t>bodylength3</t>
    <phoneticPr fontId="0" type="noConversion"/>
  </si>
  <si>
    <t>bodylengthave</t>
    <phoneticPr fontId="0" type="noConversion"/>
  </si>
  <si>
    <t>taillength1</t>
    <phoneticPr fontId="0" type="noConversion"/>
  </si>
  <si>
    <t>taillength2</t>
    <phoneticPr fontId="0" type="noConversion"/>
  </si>
  <si>
    <t>taillength3</t>
    <phoneticPr fontId="0" type="noConversion"/>
  </si>
  <si>
    <t>taillengtave</t>
    <phoneticPr fontId="0" type="noConversion"/>
  </si>
  <si>
    <t>taildiam1</t>
    <phoneticPr fontId="0" type="noConversion"/>
  </si>
  <si>
    <t>taildiam2</t>
    <phoneticPr fontId="0" type="noConversion"/>
  </si>
  <si>
    <t>taildiam3</t>
    <phoneticPr fontId="0" type="noConversion"/>
  </si>
  <si>
    <t>taildiamave</t>
    <phoneticPr fontId="0" type="noConversion"/>
  </si>
  <si>
    <t>Lhindlimbl1</t>
    <phoneticPr fontId="0" type="noConversion"/>
  </si>
  <si>
    <t>Lhindlimbl2</t>
    <phoneticPr fontId="0" type="noConversion"/>
  </si>
  <si>
    <t>Lhindlimbl3</t>
    <phoneticPr fontId="0" type="noConversion"/>
  </si>
  <si>
    <t>Lhindlimblave</t>
    <phoneticPr fontId="0" type="noConversion"/>
  </si>
  <si>
    <t>Lfootl1</t>
    <phoneticPr fontId="0" type="noConversion"/>
  </si>
  <si>
    <t>Lfootl2</t>
    <phoneticPr fontId="0" type="noConversion"/>
  </si>
  <si>
    <t>Lfootl3</t>
    <phoneticPr fontId="0" type="noConversion"/>
  </si>
  <si>
    <t>Lfootlave</t>
    <phoneticPr fontId="0" type="noConversion"/>
  </si>
  <si>
    <t>headwidth1</t>
    <phoneticPr fontId="0" type="noConversion"/>
  </si>
  <si>
    <t>headwidth2</t>
    <phoneticPr fontId="0" type="noConversion"/>
  </si>
  <si>
    <t>headwidth3</t>
    <phoneticPr fontId="0" type="noConversion"/>
  </si>
  <si>
    <t>headwidthave</t>
    <phoneticPr fontId="0" type="noConversion"/>
  </si>
  <si>
    <t>headlength1</t>
    <phoneticPr fontId="0" type="noConversion"/>
  </si>
  <si>
    <t>headlength2</t>
    <phoneticPr fontId="0" type="noConversion"/>
  </si>
  <si>
    <t>headlength3</t>
    <phoneticPr fontId="0" type="noConversion"/>
  </si>
  <si>
    <t>headlengthave</t>
    <phoneticPr fontId="0" type="noConversion"/>
  </si>
  <si>
    <t>ageclass</t>
    <phoneticPr fontId="0" type="noConversion"/>
  </si>
  <si>
    <t>sex</t>
    <phoneticPr fontId="0" type="noConversion"/>
  </si>
  <si>
    <t>pouch</t>
    <phoneticPr fontId="0" type="noConversion"/>
  </si>
  <si>
    <t>#teats</t>
    <phoneticPr fontId="0" type="noConversion"/>
  </si>
  <si>
    <t>#swollen teats</t>
    <phoneticPr fontId="0" type="noConversion"/>
  </si>
  <si>
    <t>#pouch young</t>
    <phoneticPr fontId="0" type="noConversion"/>
  </si>
  <si>
    <t>ticks</t>
    <phoneticPr fontId="0" type="noConversion"/>
  </si>
  <si>
    <t>blood</t>
    <phoneticPr fontId="0" type="noConversion"/>
  </si>
  <si>
    <t>comments</t>
    <phoneticPr fontId="0" type="noConversion"/>
  </si>
  <si>
    <t>new</t>
  </si>
  <si>
    <t>male</t>
  </si>
  <si>
    <t>y</t>
  </si>
  <si>
    <t>n</t>
  </si>
  <si>
    <t>12.5.16</t>
  </si>
  <si>
    <t>00073594e8</t>
  </si>
  <si>
    <t>g7d3</t>
  </si>
  <si>
    <t>species</t>
  </si>
  <si>
    <t>bandicoot</t>
  </si>
  <si>
    <t>skin dammage due to tagging and taking of hair samples</t>
  </si>
  <si>
    <t>g4d10</t>
  </si>
  <si>
    <t>22.5.16</t>
  </si>
  <si>
    <t>1 or 2</t>
  </si>
  <si>
    <t>g4c8</t>
  </si>
  <si>
    <t>23.05.16</t>
  </si>
  <si>
    <t>female</t>
  </si>
  <si>
    <t>dev</t>
  </si>
  <si>
    <t>2 or 3</t>
  </si>
  <si>
    <t>g4b3</t>
  </si>
  <si>
    <t xml:space="preserve">2 or 3 </t>
  </si>
  <si>
    <t>25.05.16</t>
  </si>
  <si>
    <t>undev</t>
  </si>
  <si>
    <t>g1a8</t>
  </si>
  <si>
    <t>31.05.16</t>
  </si>
  <si>
    <t>no tail</t>
  </si>
  <si>
    <t>g1a2</t>
  </si>
  <si>
    <t>g1b7</t>
  </si>
  <si>
    <t>01.06.16</t>
  </si>
  <si>
    <t>g1a3</t>
  </si>
  <si>
    <t>02.06.16</t>
  </si>
  <si>
    <t>g1b1</t>
  </si>
  <si>
    <t>g1b3</t>
  </si>
  <si>
    <t>04.06.16</t>
  </si>
  <si>
    <t>3 or 4</t>
  </si>
  <si>
    <t>g6a10</t>
  </si>
  <si>
    <t>g6d5</t>
  </si>
  <si>
    <t>g6b10</t>
  </si>
  <si>
    <t>g7c6</t>
  </si>
  <si>
    <t>06.06.16</t>
  </si>
  <si>
    <t>g7b1</t>
  </si>
  <si>
    <t xml:space="preserve">3 or 4 </t>
  </si>
  <si>
    <t>g7a5</t>
  </si>
  <si>
    <t>size (mm)</t>
  </si>
  <si>
    <t>g7a7</t>
  </si>
  <si>
    <t>g7b10</t>
  </si>
  <si>
    <t>g7a4</t>
  </si>
  <si>
    <t>g7b6</t>
  </si>
  <si>
    <t>07.06.16</t>
  </si>
  <si>
    <t>g7a2</t>
  </si>
  <si>
    <t>08.06.16</t>
  </si>
  <si>
    <t>g7b5</t>
  </si>
  <si>
    <t>extreme scarring from trap capture 1 month previous, no tail</t>
  </si>
  <si>
    <t>g7b3</t>
  </si>
  <si>
    <t>pre-breed</t>
  </si>
  <si>
    <t>tattoo</t>
  </si>
  <si>
    <t xml:space="preserve"> microchip</t>
  </si>
  <si>
    <t>DNA</t>
  </si>
  <si>
    <t>faeces</t>
  </si>
  <si>
    <t>Age</t>
  </si>
  <si>
    <t>General samples - DNA and MN analysis</t>
  </si>
  <si>
    <t>Samples - Stable Isotope analysis</t>
  </si>
  <si>
    <t>hair</t>
  </si>
  <si>
    <t>nail</t>
  </si>
  <si>
    <t>fecal</t>
  </si>
  <si>
    <t>blood</t>
  </si>
  <si>
    <t>tissue</t>
  </si>
  <si>
    <t>Lforearml1</t>
  </si>
  <si>
    <t>Lforearml2</t>
  </si>
  <si>
    <t>Lforearml3</t>
  </si>
  <si>
    <t>Lforearmlave</t>
  </si>
  <si>
    <t>Mass (g)</t>
  </si>
  <si>
    <t>Body length (mm)</t>
  </si>
  <si>
    <t>Tail length (mm)</t>
  </si>
  <si>
    <t>Tail diameter (mm)</t>
  </si>
  <si>
    <t>Left hindlimb (mm)</t>
  </si>
  <si>
    <t>Left foot (mm)</t>
  </si>
  <si>
    <t>Left forearm (mm)</t>
  </si>
  <si>
    <t>Head width (mm)</t>
  </si>
  <si>
    <t>Head length (mm)</t>
  </si>
  <si>
    <t>p or a</t>
  </si>
  <si>
    <t>name</t>
    <phoneticPr fontId="5" type="noConversion"/>
  </si>
  <si>
    <t>eartag</t>
    <phoneticPr fontId="5" type="noConversion"/>
  </si>
  <si>
    <t xml:space="preserve"> microchip</t>
    <phoneticPr fontId="5" type="noConversion"/>
  </si>
  <si>
    <t>date</t>
    <phoneticPr fontId="5" type="noConversion"/>
  </si>
  <si>
    <t>location</t>
    <phoneticPr fontId="5" type="noConversion"/>
  </si>
  <si>
    <t>mass with bag</t>
    <phoneticPr fontId="5" type="noConversion"/>
  </si>
  <si>
    <t>bag</t>
    <phoneticPr fontId="5" type="noConversion"/>
  </si>
  <si>
    <t>mass</t>
    <phoneticPr fontId="5" type="noConversion"/>
  </si>
  <si>
    <t>hair</t>
    <phoneticPr fontId="2" type="noConversion"/>
  </si>
  <si>
    <t>ear clip</t>
    <phoneticPr fontId="2" type="noConversion"/>
  </si>
  <si>
    <t>blood</t>
    <phoneticPr fontId="2" type="noConversion"/>
  </si>
  <si>
    <t>#young</t>
  </si>
  <si>
    <t>male young</t>
    <phoneticPr fontId="2" type="noConversion"/>
  </si>
  <si>
    <t>female young</t>
    <phoneticPr fontId="2" type="noConversion"/>
  </si>
  <si>
    <t>young size1</t>
  </si>
  <si>
    <t>young size 2</t>
  </si>
  <si>
    <t xml:space="preserve">young size3 </t>
  </si>
  <si>
    <t>young size ave</t>
  </si>
  <si>
    <t>younh hw 1</t>
    <phoneticPr fontId="2" type="noConversion"/>
  </si>
  <si>
    <t>young hw 2</t>
    <phoneticPr fontId="2" type="noConversion"/>
  </si>
  <si>
    <t>young hw 3</t>
    <phoneticPr fontId="2" type="noConversion"/>
  </si>
  <si>
    <t>young hw ave</t>
    <phoneticPr fontId="2" type="noConversion"/>
  </si>
  <si>
    <t>young DNA</t>
    <phoneticPr fontId="2" type="noConversion"/>
  </si>
  <si>
    <t>comments</t>
    <phoneticPr fontId="2" type="noConversion"/>
  </si>
  <si>
    <t>brkm1</t>
  </si>
  <si>
    <t>Date</t>
  </si>
  <si>
    <t>Location</t>
  </si>
  <si>
    <t>Quoll ID</t>
  </si>
  <si>
    <t>Sex</t>
  </si>
  <si>
    <t>Killed by</t>
  </si>
  <si>
    <t>Approx time since kill</t>
  </si>
  <si>
    <t>Mass</t>
  </si>
  <si>
    <t>Body length</t>
  </si>
  <si>
    <t>Hair sample</t>
  </si>
  <si>
    <t>b-neo</t>
  </si>
  <si>
    <t>b-ob</t>
  </si>
  <si>
    <t>b-cer</t>
  </si>
  <si>
    <t>ret</t>
  </si>
  <si>
    <t>skm</t>
  </si>
  <si>
    <t>ear-l</t>
  </si>
  <si>
    <t>ear-r</t>
  </si>
  <si>
    <t>tes</t>
  </si>
  <si>
    <t>bma</t>
  </si>
  <si>
    <t>lun</t>
  </si>
  <si>
    <t>hea</t>
  </si>
  <si>
    <t>bim</t>
  </si>
  <si>
    <t>qum</t>
  </si>
  <si>
    <t>liv</t>
  </si>
  <si>
    <t>kid</t>
  </si>
  <si>
    <t>int</t>
  </si>
  <si>
    <t>spl</t>
  </si>
  <si>
    <t>pan</t>
  </si>
  <si>
    <t>mln</t>
  </si>
  <si>
    <t>gab</t>
  </si>
  <si>
    <t>adp</t>
  </si>
  <si>
    <t>jaw</t>
  </si>
  <si>
    <t>14.05.2016</t>
  </si>
  <si>
    <t>Boganvilia Dr - Lodge end</t>
  </si>
  <si>
    <t>gujuguju</t>
  </si>
  <si>
    <t>car</t>
  </si>
  <si>
    <t>&lt;8 hrs</t>
  </si>
  <si>
    <t xml:space="preserve"> </t>
  </si>
  <si>
    <t>07.06.2016</t>
  </si>
  <si>
    <t>UMB HWY - Creek crossing</t>
  </si>
  <si>
    <t>RKM4</t>
  </si>
  <si>
    <t>16.07.2016</t>
  </si>
  <si>
    <t>AL1 - Alyangula (Cnr Taylor and Bougaianvillea)</t>
  </si>
  <si>
    <t>BRKM1</t>
  </si>
  <si>
    <t>&lt;1hr</t>
  </si>
  <si>
    <t>Specie</t>
  </si>
  <si>
    <t>Northern quoll</t>
  </si>
  <si>
    <t>Northern brown bandicoot</t>
  </si>
  <si>
    <t>road kill</t>
  </si>
  <si>
    <t>na</t>
  </si>
  <si>
    <t>16.07.16</t>
  </si>
  <si>
    <t>AL1</t>
  </si>
  <si>
    <t>very fresh road kill - Mn samples taken</t>
  </si>
  <si>
    <t>19.07.16</t>
  </si>
  <si>
    <t>recap</t>
  </si>
  <si>
    <t>breed</t>
  </si>
  <si>
    <t>g1c1</t>
  </si>
  <si>
    <t>g1b9</t>
  </si>
  <si>
    <t>21.07.16</t>
  </si>
  <si>
    <t>g1a10</t>
  </si>
  <si>
    <t>23.07.2016</t>
  </si>
  <si>
    <t>g7a1</t>
  </si>
  <si>
    <t>g7b2</t>
  </si>
  <si>
    <t>23.07.16</t>
  </si>
  <si>
    <t>g7d4</t>
  </si>
  <si>
    <t>g7d10</t>
  </si>
  <si>
    <t>g7a6</t>
  </si>
  <si>
    <t>g7d7</t>
  </si>
  <si>
    <t>24.07.16</t>
  </si>
  <si>
    <t xml:space="preserve"> bandicoot</t>
  </si>
  <si>
    <t>g7a10</t>
  </si>
  <si>
    <t>24.07.2016</t>
  </si>
  <si>
    <t>g7c2</t>
  </si>
  <si>
    <t>25.07.16</t>
  </si>
  <si>
    <t>g7a8</t>
  </si>
  <si>
    <t xml:space="preserve">left dig toe hind foot broken - 4 x 8 cm bare skin patch left flank </t>
  </si>
  <si>
    <t>g4c10</t>
  </si>
  <si>
    <t>27.07.16</t>
  </si>
  <si>
    <t>g4d4</t>
  </si>
  <si>
    <t>g4d5</t>
  </si>
  <si>
    <t>g4d6</t>
  </si>
  <si>
    <t>g4a2</t>
  </si>
  <si>
    <t>28.07.16</t>
  </si>
  <si>
    <t>g4b2</t>
  </si>
  <si>
    <t>29.07.16</t>
  </si>
  <si>
    <t>Y</t>
  </si>
  <si>
    <t>Stable isotope samples from Road kill</t>
  </si>
  <si>
    <t>GujuGuju</t>
  </si>
  <si>
    <t>Quoll</t>
  </si>
  <si>
    <t>Female</t>
  </si>
  <si>
    <t>Hair</t>
  </si>
  <si>
    <t>Finger nails</t>
  </si>
  <si>
    <t>Toe nails</t>
  </si>
  <si>
    <t>RKM5</t>
  </si>
  <si>
    <t>Male</t>
  </si>
  <si>
    <t>Ear</t>
  </si>
  <si>
    <t>Bandicoot</t>
  </si>
  <si>
    <t>Stable isotopes</t>
  </si>
  <si>
    <t>ear</t>
  </si>
  <si>
    <t>toe nails</t>
  </si>
  <si>
    <t>finger nails</t>
  </si>
  <si>
    <t>31.07.16</t>
  </si>
  <si>
    <t>g4c6</t>
  </si>
  <si>
    <t>Agile wallaby</t>
  </si>
  <si>
    <t>31.07.2016</t>
  </si>
  <si>
    <t>AL1 - Alyangula (Dugong entry)</t>
  </si>
  <si>
    <t>WRKF1</t>
  </si>
  <si>
    <t>&lt;4hrs</t>
  </si>
  <si>
    <t>tail length</t>
  </si>
  <si>
    <t>hindlimb</t>
  </si>
  <si>
    <t>foot length (left)</t>
  </si>
  <si>
    <t>ovr</t>
  </si>
  <si>
    <t>uts</t>
  </si>
  <si>
    <t>g4d3</t>
  </si>
  <si>
    <t>01.08.16</t>
  </si>
  <si>
    <t>02.08.16</t>
  </si>
  <si>
    <t>05.08.16</t>
  </si>
  <si>
    <t>06.08.16</t>
  </si>
  <si>
    <t>g3b1</t>
  </si>
  <si>
    <t>testis</t>
  </si>
  <si>
    <t>width1</t>
  </si>
  <si>
    <t>width2</t>
  </si>
  <si>
    <t>width3</t>
  </si>
  <si>
    <t>av</t>
  </si>
  <si>
    <t>perp1</t>
  </si>
  <si>
    <t>perp2</t>
  </si>
  <si>
    <t>perp3</t>
  </si>
  <si>
    <t>08.08.16</t>
  </si>
  <si>
    <t>g6d3</t>
  </si>
  <si>
    <t>brooke</t>
  </si>
  <si>
    <t>g6b8</t>
  </si>
  <si>
    <t>09.08.16</t>
  </si>
  <si>
    <t>billy</t>
  </si>
  <si>
    <t>g6a4</t>
  </si>
  <si>
    <t>bereft</t>
  </si>
  <si>
    <t>glider</t>
  </si>
  <si>
    <t>breeding</t>
  </si>
  <si>
    <t>7354a3c</t>
  </si>
  <si>
    <t>Left foot(with toes)</t>
  </si>
  <si>
    <t>15.08.16</t>
  </si>
  <si>
    <t>gumboot</t>
  </si>
  <si>
    <t>head_Sternal</t>
  </si>
  <si>
    <t>chest_Sternal</t>
  </si>
  <si>
    <t>p</t>
  </si>
  <si>
    <t>gaia</t>
  </si>
  <si>
    <t>left gliding membrane damaged</t>
  </si>
  <si>
    <t>2 to 3</t>
  </si>
  <si>
    <t>p13-b1</t>
  </si>
  <si>
    <t>p13-a1</t>
  </si>
  <si>
    <t>quoll</t>
  </si>
  <si>
    <t>7357ccb</t>
  </si>
  <si>
    <t>p12-c2</t>
  </si>
  <si>
    <t>healed breeding scars</t>
  </si>
  <si>
    <t>qamra</t>
  </si>
  <si>
    <t>stench</t>
  </si>
  <si>
    <t>LSS</t>
  </si>
  <si>
    <t>p13-a2</t>
  </si>
  <si>
    <t>7354f3c</t>
  </si>
  <si>
    <t>ps-c1</t>
  </si>
  <si>
    <t>16.08.16</t>
  </si>
  <si>
    <t>butthole</t>
  </si>
  <si>
    <t>ps-c3</t>
  </si>
  <si>
    <t>butter</t>
  </si>
  <si>
    <t>4</t>
  </si>
  <si>
    <t>p13-b5</t>
  </si>
  <si>
    <t>buster</t>
  </si>
  <si>
    <t>buddy</t>
  </si>
  <si>
    <t>2</t>
  </si>
  <si>
    <t>ps-b4</t>
  </si>
  <si>
    <t>3</t>
  </si>
  <si>
    <t>ps-b3</t>
  </si>
  <si>
    <t>barrel</t>
  </si>
  <si>
    <t>47..66</t>
  </si>
  <si>
    <t>boombaa</t>
  </si>
  <si>
    <t>p13-b4</t>
  </si>
  <si>
    <t>5</t>
  </si>
  <si>
    <t>Left footw_toes (mm)</t>
  </si>
  <si>
    <t>Body_head (mm)</t>
  </si>
  <si>
    <t>grassland melomys</t>
  </si>
  <si>
    <t>midget</t>
  </si>
  <si>
    <t>p13-a3</t>
  </si>
  <si>
    <t>ps-c5</t>
  </si>
  <si>
    <t>bliss</t>
  </si>
  <si>
    <t>p13-c5</t>
  </si>
  <si>
    <t>beethoven</t>
  </si>
  <si>
    <t>coconut</t>
  </si>
  <si>
    <t>72db5c6</t>
  </si>
  <si>
    <t>p13-c3</t>
  </si>
  <si>
    <t>lss</t>
  </si>
  <si>
    <t>3rd year from Mn Quoll project</t>
  </si>
  <si>
    <t>907/lost</t>
  </si>
  <si>
    <t>17.08.06</t>
  </si>
  <si>
    <t>guss</t>
  </si>
  <si>
    <t>7359e7c</t>
  </si>
  <si>
    <t>grid id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</si>
  <si>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</si>
  <si>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</si>
  <si>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</si>
  <si>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</si>
  <si>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</si>
  <si>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</si>
  <si>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</si>
  <si>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</si>
  <si>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</si>
  <si>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</si>
  <si>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</si>
  <si>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trap</t>
  </si>
  <si>
    <t>lrg elliot</t>
  </si>
  <si>
    <t>c5</t>
  </si>
  <si>
    <t>c2</t>
  </si>
  <si>
    <t>c3</t>
  </si>
  <si>
    <t>c4</t>
  </si>
  <si>
    <t>16.8.2016</t>
  </si>
  <si>
    <t>ob</t>
  </si>
  <si>
    <t>cb</t>
  </si>
  <si>
    <t>oe</t>
  </si>
  <si>
    <t>ce</t>
  </si>
  <si>
    <t>17.8.2016</t>
  </si>
  <si>
    <t>b-barrel</t>
  </si>
  <si>
    <t>b-buddy</t>
  </si>
  <si>
    <t>b-butthole</t>
  </si>
  <si>
    <t>b-butter</t>
  </si>
  <si>
    <t>b-bliss</t>
  </si>
  <si>
    <t>15.8.2016</t>
  </si>
  <si>
    <t>sml elliot</t>
  </si>
  <si>
    <t>b-escaped</t>
  </si>
  <si>
    <t>-</t>
  </si>
  <si>
    <t>g-gaia</t>
  </si>
  <si>
    <t>g-gumboot</t>
  </si>
  <si>
    <t>b-bereft</t>
  </si>
  <si>
    <t>q-stench</t>
  </si>
  <si>
    <t>r-midget</t>
  </si>
  <si>
    <t>b-boombaa</t>
  </si>
  <si>
    <t>q-qamra</t>
  </si>
  <si>
    <t>g-escaped</t>
  </si>
  <si>
    <t xml:space="preserve">cb </t>
  </si>
  <si>
    <t>q-coconut</t>
  </si>
  <si>
    <t>g-guss</t>
  </si>
  <si>
    <t>b-beethoven</t>
  </si>
  <si>
    <t>23.09.16</t>
  </si>
  <si>
    <t>post</t>
  </si>
  <si>
    <t>g1c5</t>
  </si>
  <si>
    <t>g1d9</t>
  </si>
  <si>
    <t>belle</t>
  </si>
  <si>
    <t>27.09.16</t>
  </si>
  <si>
    <t>multiple body scars</t>
  </si>
  <si>
    <t>N</t>
  </si>
  <si>
    <t>Bereft #2</t>
  </si>
  <si>
    <t>bertie</t>
  </si>
  <si>
    <t>1</t>
  </si>
  <si>
    <t>p13-b2</t>
  </si>
  <si>
    <t>3 or   4</t>
  </si>
  <si>
    <t>ps2-b6</t>
  </si>
  <si>
    <t>females</t>
  </si>
  <si>
    <t>quince</t>
  </si>
  <si>
    <t>735840E</t>
  </si>
  <si>
    <t>blood from unknown location</t>
  </si>
  <si>
    <t xml:space="preserve">post </t>
  </si>
  <si>
    <t>27.09.2016</t>
  </si>
  <si>
    <t>P13-a5</t>
  </si>
  <si>
    <t>b-bertie</t>
  </si>
  <si>
    <t>b-boomba</t>
  </si>
  <si>
    <t>b-belle</t>
  </si>
  <si>
    <t>0b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</si>
  <si>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</si>
  <si>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</si>
  <si>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</si>
  <si>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</si>
  <si>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</si>
  <si>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</si>
  <si>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</si>
  <si>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</si>
  <si>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</si>
  <si>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</si>
  <si>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</si>
  <si>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</si>
  <si>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</si>
  <si>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</si>
  <si>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</si>
  <si>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</si>
  <si>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</si>
  <si>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</si>
  <si>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</si>
  <si>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</si>
  <si>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</si>
  <si>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</si>
  <si>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</si>
  <si>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</si>
  <si>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</si>
  <si>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</si>
  <si>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</si>
  <si>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</si>
  <si>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</si>
  <si>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</si>
  <si>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</si>
  <si>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</si>
  <si>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</si>
  <si>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</si>
  <si>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</si>
  <si>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</si>
  <si>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</si>
  <si>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</si>
  <si>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</si>
  <si>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</si>
  <si>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</si>
  <si>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</si>
  <si>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</si>
  <si>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</si>
  <si>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</si>
  <si>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q-quince</t>
  </si>
  <si>
    <t>bolt</t>
  </si>
  <si>
    <t>ps2-d1</t>
  </si>
  <si>
    <t>ps2-b1</t>
  </si>
  <si>
    <t>borris</t>
  </si>
  <si>
    <t>ps2-c3</t>
  </si>
  <si>
    <t>bruno</t>
  </si>
  <si>
    <t>ps2-d9</t>
  </si>
  <si>
    <t>blight</t>
  </si>
  <si>
    <t>1   or 2</t>
  </si>
  <si>
    <t>28.09.2016</t>
  </si>
  <si>
    <t>b-bruno</t>
  </si>
  <si>
    <t>b-borris</t>
  </si>
  <si>
    <t>b-blight</t>
  </si>
  <si>
    <t>b-bolt</t>
  </si>
  <si>
    <t>ps2-a15</t>
  </si>
  <si>
    <t>bumblebee</t>
  </si>
  <si>
    <t>29.09.16</t>
  </si>
  <si>
    <t>29.09.2016</t>
  </si>
  <si>
    <t>ps2-b2</t>
  </si>
  <si>
    <t>grug</t>
  </si>
  <si>
    <t>sex</t>
  </si>
  <si>
    <t>pouch sex</t>
  </si>
  <si>
    <t>1 f - 1 m</t>
  </si>
  <si>
    <t>g-grug</t>
  </si>
  <si>
    <t>b-bumblebee</t>
  </si>
  <si>
    <t>left gliding membrane damaged, moist pouch close to giving birth or young in den</t>
  </si>
  <si>
    <t>ps2-b14</t>
  </si>
  <si>
    <t>boxhead</t>
  </si>
  <si>
    <t>ps2-b11</t>
  </si>
  <si>
    <t>baldric</t>
  </si>
  <si>
    <t>nat's measurements</t>
  </si>
  <si>
    <t>ps2-b10</t>
  </si>
  <si>
    <t>boobs</t>
  </si>
  <si>
    <t>M and F</t>
  </si>
  <si>
    <t>30.09.2016</t>
  </si>
  <si>
    <t>b-boxhead</t>
  </si>
  <si>
    <t>b-baldric</t>
  </si>
  <si>
    <t>b-boobs</t>
  </si>
  <si>
    <t>beetroot</t>
  </si>
  <si>
    <t>ps2-a5</t>
  </si>
  <si>
    <t>b-beetroot</t>
  </si>
  <si>
    <t>ps-a8</t>
  </si>
  <si>
    <t>boxer</t>
  </si>
  <si>
    <t>ps-d3</t>
  </si>
  <si>
    <t>M</t>
  </si>
  <si>
    <t>ripped ear - ear tag on right side</t>
  </si>
  <si>
    <t>3.10.2016</t>
  </si>
  <si>
    <t>b-escaped/recap</t>
  </si>
  <si>
    <t>b-boxer</t>
  </si>
  <si>
    <t>4.10.16</t>
  </si>
  <si>
    <t>sm elliot</t>
  </si>
  <si>
    <t>5.10.16</t>
  </si>
  <si>
    <t>ps-a10</t>
  </si>
  <si>
    <t>queenie</t>
  </si>
  <si>
    <t>7m 1f</t>
  </si>
  <si>
    <t>7351b96</t>
  </si>
  <si>
    <t>ps-d4</t>
  </si>
  <si>
    <t>buttercup</t>
  </si>
  <si>
    <t>quintet</t>
  </si>
  <si>
    <t>q-queenie</t>
  </si>
  <si>
    <t>b-buttercup</t>
  </si>
  <si>
    <t>q-quintet*</t>
  </si>
  <si>
    <t>large young - 1 detached, but reattached. Stressed?</t>
  </si>
  <si>
    <t>6.10.16 night</t>
  </si>
  <si>
    <t>7.10.16</t>
  </si>
  <si>
    <t>g3d10</t>
  </si>
  <si>
    <t>g4c1</t>
  </si>
  <si>
    <t>scars on back</t>
  </si>
  <si>
    <t>g4c2</t>
  </si>
  <si>
    <t>common rock-rat</t>
  </si>
  <si>
    <t>rinkydink</t>
  </si>
  <si>
    <t>dna snipped from right ear</t>
  </si>
  <si>
    <t>slightly worn</t>
  </si>
  <si>
    <t>g4-d7</t>
  </si>
  <si>
    <t>8.10.16</t>
  </si>
  <si>
    <t>g4d8</t>
  </si>
  <si>
    <t>2 babies off teat, may reattach</t>
  </si>
  <si>
    <t>10.10.16</t>
  </si>
  <si>
    <t>whiskers</t>
  </si>
  <si>
    <t>1 baby off teat, may reattach</t>
  </si>
  <si>
    <t>quiero</t>
  </si>
  <si>
    <t>6m 2f</t>
  </si>
  <si>
    <t>g4b7</t>
  </si>
  <si>
    <t>6.10.16</t>
  </si>
  <si>
    <t>g4b8</t>
  </si>
  <si>
    <t>10.10.2016 night</t>
  </si>
  <si>
    <t>q-quiero</t>
  </si>
  <si>
    <t>ps3-b8</t>
  </si>
  <si>
    <t>735aa75</t>
  </si>
  <si>
    <t>gwen</t>
  </si>
  <si>
    <t>7353f7A</t>
  </si>
  <si>
    <t>11.10.16</t>
  </si>
  <si>
    <t>dug-4</t>
  </si>
  <si>
    <t>dug-2</t>
  </si>
  <si>
    <t>gihan</t>
  </si>
  <si>
    <t>735A42F</t>
  </si>
  <si>
    <t>young possibly deposited in nest</t>
  </si>
  <si>
    <t>well developed frontal gland</t>
  </si>
  <si>
    <t>11.10.2016</t>
  </si>
  <si>
    <t>12.10.16</t>
  </si>
  <si>
    <t>george</t>
  </si>
  <si>
    <t>7350c0d</t>
  </si>
  <si>
    <t>dug-3</t>
  </si>
  <si>
    <t>gossip</t>
  </si>
  <si>
    <t>734e33b</t>
  </si>
  <si>
    <t>13.10.16</t>
  </si>
  <si>
    <t>g1b6</t>
  </si>
  <si>
    <t>size HW (mm)</t>
  </si>
  <si>
    <t>gemma</t>
  </si>
  <si>
    <t>dug-1</t>
  </si>
  <si>
    <t>sizeHW (mm)</t>
  </si>
  <si>
    <t>sizeBL</t>
  </si>
  <si>
    <t>73509ac</t>
  </si>
  <si>
    <t>gladys</t>
  </si>
  <si>
    <t>no tail - top teetch wear bad (balckeneing teeth - back molars are age class 1</t>
  </si>
  <si>
    <t>12.10.2016</t>
  </si>
  <si>
    <t>gossi[</t>
  </si>
  <si>
    <t>gemma &amp; gihan</t>
  </si>
  <si>
    <t>gremlin</t>
  </si>
  <si>
    <t>14.10.16</t>
  </si>
  <si>
    <t>735BD2E</t>
  </si>
  <si>
    <t>poat</t>
  </si>
  <si>
    <t>735c43d</t>
  </si>
  <si>
    <t>gollum</t>
  </si>
  <si>
    <t>bozo</t>
  </si>
  <si>
    <t>scar on right rear flank, left ear damaged, ripped bum hole</t>
  </si>
  <si>
    <t>g7b9</t>
  </si>
  <si>
    <t>re ear tagged. We think going from size and pouch that it is bever</t>
  </si>
  <si>
    <t>14.10.2016</t>
  </si>
  <si>
    <t>13.10.2016</t>
  </si>
  <si>
    <t>15.10.16</t>
  </si>
  <si>
    <t>pole13</t>
  </si>
  <si>
    <t>killed by cat - pole 13 - mn samples taken - head missing</t>
  </si>
  <si>
    <t>mel</t>
  </si>
  <si>
    <t>Pole-13</t>
  </si>
  <si>
    <t>MEL</t>
  </si>
  <si>
    <t>Grassland melomy</t>
  </si>
  <si>
    <t>cat</t>
  </si>
  <si>
    <t>10min</t>
  </si>
  <si>
    <t>adr (adreanal)</t>
  </si>
  <si>
    <t>sem (seminal vesicals)</t>
  </si>
  <si>
    <t>boot</t>
  </si>
  <si>
    <t>g7d9</t>
  </si>
  <si>
    <t>g7d8</t>
  </si>
  <si>
    <t>15.10.2016</t>
  </si>
  <si>
    <t>17.10.16</t>
  </si>
  <si>
    <t>g7b4</t>
  </si>
  <si>
    <t>g3a5</t>
  </si>
  <si>
    <t>g7d2</t>
  </si>
  <si>
    <t>In Freezer?</t>
  </si>
  <si>
    <t>Name</t>
  </si>
  <si>
    <t>NO</t>
  </si>
  <si>
    <t>wet</t>
  </si>
  <si>
    <t>15.02.17</t>
  </si>
  <si>
    <t>g6b7</t>
  </si>
  <si>
    <t>g4a3</t>
  </si>
  <si>
    <t>16.02.17</t>
  </si>
  <si>
    <t>22.62,22.87</t>
  </si>
  <si>
    <t>died</t>
  </si>
  <si>
    <t>WET SEASON 2017</t>
  </si>
  <si>
    <t>g7c10</t>
  </si>
  <si>
    <t>1 baby(90mm bodylength), other baby escaped from trap  weight152, bag 93</t>
  </si>
  <si>
    <t>broken tail</t>
  </si>
  <si>
    <t>Lost eartag</t>
  </si>
  <si>
    <t>g7a3</t>
  </si>
  <si>
    <t>Ate entire bait &amp; pellet of Jaimes pink</t>
  </si>
  <si>
    <t>Ripped eartag through, replaced :(</t>
  </si>
  <si>
    <t>g1a1</t>
  </si>
  <si>
    <t>g1c8</t>
  </si>
  <si>
    <t>Dead bandicoot baby</t>
  </si>
  <si>
    <t>headlength=37.76</t>
  </si>
  <si>
    <t>weigth=21 grams</t>
  </si>
  <si>
    <t>headwidth=17.67</t>
  </si>
  <si>
    <t>bonita</t>
  </si>
  <si>
    <t>g1d10</t>
  </si>
  <si>
    <t>g4c5</t>
  </si>
  <si>
    <t>g1a4</t>
  </si>
  <si>
    <t xml:space="preserve">male </t>
  </si>
  <si>
    <t>19.02.17</t>
  </si>
  <si>
    <t>16.10.16</t>
  </si>
  <si>
    <t>22.02.17</t>
  </si>
  <si>
    <t>23.02.17</t>
  </si>
  <si>
    <t>24.02.17</t>
  </si>
  <si>
    <t>27.02.17</t>
  </si>
  <si>
    <t>28.02.17</t>
  </si>
  <si>
    <t>09.03.17</t>
  </si>
  <si>
    <t>27.03.17</t>
  </si>
  <si>
    <t>10.04.17</t>
  </si>
  <si>
    <t>quail</t>
  </si>
  <si>
    <t>753C8D7</t>
  </si>
  <si>
    <t>Flats</t>
  </si>
  <si>
    <t>UNDEV</t>
  </si>
  <si>
    <t>Relocated from Flats (someone trapped her in their house). Released behind bakery</t>
  </si>
  <si>
    <t>prebreed</t>
  </si>
  <si>
    <t>dropped pouch young, in freezer</t>
  </si>
  <si>
    <t>g7c3</t>
  </si>
  <si>
    <t>too stressed out to measure pouch headwidth, approx 10mm</t>
  </si>
  <si>
    <t>pouch infected from previous wound, one dead pouch young inside. In freezer</t>
  </si>
  <si>
    <t>g7c4</t>
  </si>
  <si>
    <t>infested with tick look alikes</t>
  </si>
  <si>
    <t>also infested with the look alike ticks</t>
  </si>
  <si>
    <t>replaced ear tag</t>
  </si>
  <si>
    <t>g4d9</t>
  </si>
  <si>
    <t>g4c7</t>
  </si>
  <si>
    <t>Used to be 1038Ear-tag, ripped out &amp; replaced</t>
  </si>
  <si>
    <t>g4d1</t>
  </si>
  <si>
    <t>g4c3</t>
  </si>
  <si>
    <t>cream puff</t>
  </si>
  <si>
    <t>pre</t>
  </si>
  <si>
    <t>735CA6D</t>
  </si>
  <si>
    <t>Lfullfootl1</t>
  </si>
  <si>
    <t>Lfullfootl2</t>
  </si>
  <si>
    <t>Lhindlimbl1</t>
  </si>
  <si>
    <t>Lfullfootl3</t>
  </si>
  <si>
    <t>Lfullfootlave</t>
  </si>
  <si>
    <t>jamming</t>
  </si>
  <si>
    <t>73508DD</t>
  </si>
  <si>
    <t>peter</t>
  </si>
  <si>
    <t>735368A</t>
  </si>
  <si>
    <t>milk</t>
  </si>
  <si>
    <t>734FB59</t>
  </si>
  <si>
    <t>maisie</t>
  </si>
  <si>
    <t>DEV</t>
  </si>
  <si>
    <t>p13-b3</t>
  </si>
  <si>
    <t>blaze</t>
  </si>
  <si>
    <t>bentley</t>
  </si>
  <si>
    <t>bamboozled</t>
  </si>
  <si>
    <t>balin</t>
  </si>
  <si>
    <t>bazooka</t>
  </si>
  <si>
    <t>morris</t>
  </si>
  <si>
    <t>735298F</t>
  </si>
  <si>
    <t>missing left eye and left fore foot broken</t>
  </si>
  <si>
    <t>binocular</t>
  </si>
  <si>
    <t>bumpkin</t>
  </si>
  <si>
    <t>blitzcrank</t>
  </si>
  <si>
    <t>ps-a13</t>
  </si>
  <si>
    <t>lost eartag - should be buddy</t>
  </si>
  <si>
    <t>1032/1240</t>
  </si>
  <si>
    <t>thresh</t>
  </si>
  <si>
    <t>73521C9</t>
  </si>
  <si>
    <t>ps-b5</t>
  </si>
  <si>
    <t>aatrox</t>
  </si>
  <si>
    <t>ps-c9</t>
  </si>
  <si>
    <t>735897B</t>
  </si>
  <si>
    <t>ps-c10</t>
  </si>
  <si>
    <t>ps-d11</t>
  </si>
  <si>
    <t>ps-c6</t>
  </si>
  <si>
    <t>bambi</t>
  </si>
  <si>
    <t>ps3-15</t>
  </si>
  <si>
    <t>ps-d14</t>
  </si>
  <si>
    <t>farked</t>
  </si>
  <si>
    <t>ps3-b2</t>
  </si>
  <si>
    <t>735C3CA</t>
  </si>
  <si>
    <t>buggered</t>
  </si>
  <si>
    <t>ps3-b1</t>
  </si>
  <si>
    <t>brilli</t>
  </si>
  <si>
    <t>ps-b6</t>
  </si>
  <si>
    <t>M and M</t>
  </si>
  <si>
    <t>borogovia</t>
  </si>
  <si>
    <t>pikachu</t>
  </si>
  <si>
    <t>735BC0F</t>
  </si>
  <si>
    <t>bulbasaur</t>
  </si>
  <si>
    <t>blastoise</t>
  </si>
  <si>
    <t>al1-c1</t>
  </si>
  <si>
    <t>al1-d3</t>
  </si>
  <si>
    <t>ps2-d4</t>
  </si>
  <si>
    <t>ps2-d2</t>
  </si>
  <si>
    <t>ps2-a1</t>
  </si>
  <si>
    <t>ps2-e1</t>
  </si>
  <si>
    <t>ps2-c4</t>
  </si>
  <si>
    <t>ps2-e6</t>
  </si>
  <si>
    <t>ps2-e9</t>
  </si>
  <si>
    <t>ps2-e2</t>
  </si>
  <si>
    <t>ps4-a7</t>
  </si>
  <si>
    <t>charmander</t>
  </si>
  <si>
    <t>balderdash</t>
  </si>
  <si>
    <t>al1-d5</t>
  </si>
  <si>
    <t>clover</t>
  </si>
  <si>
    <t>an1-c8</t>
  </si>
  <si>
    <t>73575A1</t>
  </si>
  <si>
    <t>teeth wear of 2nd year, but may be first year</t>
  </si>
  <si>
    <t>mordecai</t>
  </si>
  <si>
    <t>an1-d5</t>
  </si>
  <si>
    <t>735A760</t>
  </si>
  <si>
    <t>an2-c4</t>
  </si>
  <si>
    <t>brindle</t>
  </si>
  <si>
    <t>734D49F</t>
  </si>
  <si>
    <t>ahri</t>
  </si>
  <si>
    <t>an2-d3</t>
  </si>
  <si>
    <t>an2-b5</t>
  </si>
  <si>
    <t>draven</t>
  </si>
  <si>
    <t>an2-f2</t>
  </si>
  <si>
    <t>an2-d1</t>
  </si>
  <si>
    <t>734dcf3</t>
  </si>
  <si>
    <t>overload</t>
  </si>
  <si>
    <t>extreme</t>
  </si>
  <si>
    <t>doublebag</t>
  </si>
  <si>
    <t>7353de4</t>
  </si>
  <si>
    <t>stubborn</t>
  </si>
  <si>
    <t>735a542</t>
  </si>
  <si>
    <t>an2-a4</t>
  </si>
  <si>
    <t>gramps</t>
  </si>
  <si>
    <t>735248e</t>
  </si>
  <si>
    <t>an2-c5</t>
  </si>
  <si>
    <t>7353b75</t>
  </si>
  <si>
    <t>mercy</t>
  </si>
  <si>
    <t>nautilus</t>
  </si>
  <si>
    <t>734dcb7</t>
  </si>
  <si>
    <t>an1-d10</t>
  </si>
  <si>
    <t>dns</t>
  </si>
  <si>
    <t>b-bulbasaur</t>
  </si>
  <si>
    <t>b-blastoise</t>
  </si>
  <si>
    <t>b-bulderdash</t>
  </si>
  <si>
    <t>e1</t>
  </si>
  <si>
    <t>e2</t>
  </si>
  <si>
    <t>e3</t>
  </si>
  <si>
    <t>e4</t>
  </si>
  <si>
    <t>e5</t>
  </si>
  <si>
    <t>f1</t>
  </si>
  <si>
    <t>f2</t>
  </si>
  <si>
    <t>f3</t>
  </si>
  <si>
    <t>f4</t>
  </si>
  <si>
    <t>f5</t>
  </si>
  <si>
    <t>h1</t>
  </si>
  <si>
    <t>h2</t>
  </si>
  <si>
    <t>h3</t>
  </si>
  <si>
    <t>h4</t>
  </si>
  <si>
    <t>h5</t>
  </si>
  <si>
    <t>g1</t>
  </si>
  <si>
    <t>g2</t>
  </si>
  <si>
    <t>g3</t>
  </si>
  <si>
    <t>g4</t>
  </si>
  <si>
    <t>g5</t>
  </si>
  <si>
    <t>overlaod</t>
  </si>
  <si>
    <t>b-blaze</t>
  </si>
  <si>
    <t>b-bentley</t>
  </si>
  <si>
    <t>b-bambi</t>
  </si>
  <si>
    <t>b-blitzcrank</t>
  </si>
  <si>
    <t>gridid</t>
  </si>
  <si>
    <t>b-ESCAPED</t>
  </si>
  <si>
    <t>b-??</t>
  </si>
  <si>
    <t>b-bamboozled</t>
  </si>
  <si>
    <t>b-bazooka</t>
  </si>
  <si>
    <t>b-balin</t>
  </si>
  <si>
    <t>e6</t>
  </si>
  <si>
    <t>e7</t>
  </si>
  <si>
    <t>e8</t>
  </si>
  <si>
    <t>e9</t>
  </si>
  <si>
    <t>e10</t>
  </si>
  <si>
    <t>e11</t>
  </si>
  <si>
    <t>b-binocular</t>
  </si>
  <si>
    <t>b-bumpkin</t>
  </si>
  <si>
    <t>b-borogovia</t>
  </si>
  <si>
    <t>b-buggered</t>
  </si>
  <si>
    <t>b-brilli</t>
  </si>
  <si>
    <t>an1-c6</t>
  </si>
  <si>
    <t>queezal</t>
  </si>
  <si>
    <t>an2-h4</t>
  </si>
  <si>
    <t>an2-e5</t>
  </si>
  <si>
    <t xml:space="preserve">victor </t>
  </si>
  <si>
    <t>an2-b1</t>
  </si>
  <si>
    <t>diva</t>
  </si>
  <si>
    <t>quetzo</t>
  </si>
  <si>
    <t>donphan</t>
  </si>
  <si>
    <t>winston</t>
  </si>
  <si>
    <t>victor</t>
  </si>
  <si>
    <t xml:space="preserve"> brindle</t>
  </si>
  <si>
    <t>b-released</t>
  </si>
  <si>
    <t>735d220</t>
  </si>
  <si>
    <t>73529aa</t>
  </si>
  <si>
    <t>7357d04</t>
  </si>
  <si>
    <t>7351ae5</t>
  </si>
  <si>
    <t>73539c3</t>
  </si>
  <si>
    <t>735a40f</t>
  </si>
  <si>
    <t>maude</t>
  </si>
  <si>
    <t>7356cfc</t>
  </si>
  <si>
    <t>hw1-b1</t>
  </si>
  <si>
    <t>eradani</t>
  </si>
  <si>
    <t>73544ca</t>
  </si>
  <si>
    <t>hw1-a1</t>
  </si>
  <si>
    <t>735aab4</t>
  </si>
  <si>
    <t>hw1-b5</t>
  </si>
  <si>
    <t>7354e5b</t>
  </si>
  <si>
    <t>hw1-a5</t>
  </si>
  <si>
    <t>7353f4d</t>
  </si>
  <si>
    <t>fiora</t>
  </si>
  <si>
    <t>734ba82</t>
  </si>
  <si>
    <t>hw1-b9</t>
  </si>
  <si>
    <t>thedudette</t>
  </si>
  <si>
    <t>harrie</t>
  </si>
  <si>
    <t>haroldina</t>
  </si>
  <si>
    <t>right eye missing retina - white transparent spot through cornina</t>
  </si>
  <si>
    <t>hw1-b6</t>
  </si>
  <si>
    <t>hallux</t>
  </si>
  <si>
    <t>735879b</t>
  </si>
  <si>
    <t>hw1-a8</t>
  </si>
  <si>
    <t>lux</t>
  </si>
  <si>
    <t>73505ea</t>
  </si>
  <si>
    <t>varus</t>
  </si>
  <si>
    <t>hw1-c1</t>
  </si>
  <si>
    <t>q-escaped</t>
  </si>
  <si>
    <t>anthea</t>
  </si>
  <si>
    <t>hw9-b2</t>
  </si>
  <si>
    <t>DKQF1</t>
  </si>
  <si>
    <t>dog</t>
  </si>
  <si>
    <t>&lt;8hrs</t>
  </si>
  <si>
    <t>dc</t>
  </si>
  <si>
    <t>hw10-14</t>
  </si>
  <si>
    <t>shaco</t>
  </si>
  <si>
    <t>hw10-2</t>
  </si>
  <si>
    <t>734c937</t>
  </si>
  <si>
    <t>735ab71</t>
  </si>
  <si>
    <t>freya</t>
  </si>
  <si>
    <t>hw10-7</t>
  </si>
  <si>
    <t>73509fb</t>
  </si>
  <si>
    <t>7352e9f</t>
  </si>
  <si>
    <t>chihiro</t>
  </si>
  <si>
    <t>hw10-12</t>
  </si>
  <si>
    <t>735b45a</t>
  </si>
  <si>
    <t>hw10-10</t>
  </si>
  <si>
    <t>totoro</t>
  </si>
  <si>
    <t>eli</t>
  </si>
  <si>
    <t>735b8d2</t>
  </si>
  <si>
    <t>hw10-13</t>
  </si>
  <si>
    <t>both eyes are internally damaged - missing black colouring</t>
  </si>
  <si>
    <t>right eye internally damagage - white spot - missing black colouring</t>
  </si>
  <si>
    <t>hw10-8</t>
  </si>
  <si>
    <t>jarvan</t>
  </si>
  <si>
    <t>hw9-a5</t>
  </si>
  <si>
    <t>rengar</t>
  </si>
  <si>
    <t>735abd0</t>
  </si>
  <si>
    <t>b-beemo</t>
  </si>
  <si>
    <t>beemo</t>
  </si>
  <si>
    <t>735741d</t>
  </si>
  <si>
    <t>hw10-5</t>
  </si>
  <si>
    <t>ezreal</t>
  </si>
  <si>
    <t>7922d08</t>
  </si>
  <si>
    <t>7922dcf</t>
  </si>
  <si>
    <t>orianna</t>
  </si>
  <si>
    <t>7922d06</t>
  </si>
  <si>
    <t>soraka</t>
  </si>
  <si>
    <t>hw8-b4</t>
  </si>
  <si>
    <t>7922efc</t>
  </si>
  <si>
    <t>jessie</t>
  </si>
  <si>
    <t>hw8-c4</t>
  </si>
  <si>
    <t>yasuo</t>
  </si>
  <si>
    <t>7922b90</t>
  </si>
  <si>
    <t>hw8-c5</t>
  </si>
  <si>
    <t>kalista</t>
  </si>
  <si>
    <t>7922c1d</t>
  </si>
  <si>
    <t>hw8-d4</t>
  </si>
  <si>
    <t>7922bdb</t>
  </si>
  <si>
    <t>hw8-a1</t>
  </si>
  <si>
    <t>lotti</t>
  </si>
  <si>
    <t>shiroi</t>
  </si>
  <si>
    <t>7922b96</t>
  </si>
  <si>
    <t>hw8-a5</t>
  </si>
  <si>
    <t>vulgar</t>
  </si>
  <si>
    <t>hw8-d5</t>
  </si>
  <si>
    <t>walt</t>
  </si>
  <si>
    <t>7922c65</t>
  </si>
  <si>
    <t>7922e00</t>
  </si>
  <si>
    <t>hw8-a2</t>
  </si>
  <si>
    <t>kassadin</t>
  </si>
  <si>
    <t>7922c97</t>
  </si>
  <si>
    <t>hw6-b4</t>
  </si>
  <si>
    <t>pantheon</t>
  </si>
  <si>
    <t>7922bb1</t>
  </si>
  <si>
    <t>hw6-b2</t>
  </si>
  <si>
    <t>riven</t>
  </si>
  <si>
    <t>7922b49</t>
  </si>
  <si>
    <t>zyra</t>
  </si>
  <si>
    <t>hw6-a1</t>
  </si>
  <si>
    <t>7922b53</t>
  </si>
  <si>
    <t>hw6-e2</t>
  </si>
  <si>
    <t>galio</t>
  </si>
  <si>
    <t>aurelion</t>
  </si>
  <si>
    <t>7922b93</t>
  </si>
  <si>
    <t>hw6-e1</t>
  </si>
  <si>
    <t>7922e54</t>
  </si>
  <si>
    <t>ps2-e8</t>
  </si>
  <si>
    <t>7922e10</t>
  </si>
  <si>
    <t>renekton</t>
  </si>
  <si>
    <t>talon</t>
  </si>
  <si>
    <t>hw6-b1</t>
  </si>
  <si>
    <t>7922eed</t>
  </si>
  <si>
    <t>p13-c1</t>
  </si>
  <si>
    <t>7923c6c</t>
  </si>
  <si>
    <t>kennen</t>
  </si>
  <si>
    <t>kindred</t>
  </si>
  <si>
    <t>hw6-a10</t>
  </si>
  <si>
    <t>hw6-a8</t>
  </si>
  <si>
    <t>sam</t>
  </si>
  <si>
    <t>7922e9e</t>
  </si>
  <si>
    <t>7922def</t>
  </si>
  <si>
    <t>on</t>
  </si>
  <si>
    <t>baguette</t>
  </si>
  <si>
    <t>bane</t>
  </si>
  <si>
    <t>g3c6</t>
  </si>
  <si>
    <t>g7c8</t>
  </si>
  <si>
    <t>PRE-BREED 2017</t>
  </si>
  <si>
    <t>BREEDING 2017</t>
  </si>
  <si>
    <t xml:space="preserve">left eye milky </t>
  </si>
  <si>
    <t>new eartage - used to be 1355</t>
  </si>
  <si>
    <t xml:space="preserve">breed </t>
  </si>
  <si>
    <t xml:space="preserve">recap </t>
  </si>
  <si>
    <t xml:space="preserve">g7b2 </t>
  </si>
  <si>
    <t xml:space="preserve">y </t>
  </si>
  <si>
    <t>old eartag ripped out (1073) now 1373</t>
  </si>
  <si>
    <t>g6a3</t>
  </si>
  <si>
    <t>g6a8</t>
  </si>
  <si>
    <t>g1b2</t>
  </si>
  <si>
    <t>Ran over outside Dugong 03/08/17</t>
  </si>
  <si>
    <t>Dead Yes</t>
  </si>
  <si>
    <t>Ripped out eartag. Now 1390</t>
  </si>
  <si>
    <t>Used to be 1166 eartag, ripped out. Now 1390</t>
  </si>
  <si>
    <t>toobig</t>
  </si>
  <si>
    <t>hair covered in black stuff</t>
  </si>
  <si>
    <t>g7d5</t>
  </si>
  <si>
    <t>postbreed</t>
  </si>
  <si>
    <t>Ear tag ripped out (#1099), new tag # 1396</t>
  </si>
  <si>
    <t>g7b8</t>
  </si>
  <si>
    <t>g1a5</t>
  </si>
  <si>
    <t>WET SEASON 2018</t>
  </si>
  <si>
    <t>b7b3</t>
  </si>
  <si>
    <t>b7a4</t>
  </si>
  <si>
    <t>Ear tag ripped out (1403), new tag 1457. Left eye missing??</t>
  </si>
  <si>
    <t>dropped 3rd baby.  See dead baby measurements in Dead SM folder</t>
  </si>
  <si>
    <t>both babies male. Dropped one 9/3/18 after soft release. In freezer, measurements in Dead SM</t>
  </si>
  <si>
    <t>Bandicoot-Boon's baby</t>
  </si>
  <si>
    <t>Bandicoot-Button's baby</t>
  </si>
  <si>
    <t>dropped</t>
  </si>
  <si>
    <t>Tail width</t>
  </si>
  <si>
    <t>forearm length</t>
  </si>
  <si>
    <t>head width</t>
  </si>
  <si>
    <t>head length</t>
  </si>
  <si>
    <t>PRE_BREED SEASON 2018</t>
  </si>
  <si>
    <t>1457/1628</t>
  </si>
  <si>
    <t>rippd ear tag - so replace with new one. - Skye measured</t>
  </si>
  <si>
    <t>pouch young not measure as it was outside of trap - reduce stress - Skye measure</t>
  </si>
  <si>
    <t>skye measured</t>
  </si>
  <si>
    <t>Ripped out eartag. Did not replace. Has nick also in right ear</t>
  </si>
  <si>
    <t>Missing tail &amp; large wound on left hind. Dead baby in pouch</t>
  </si>
  <si>
    <t>miranda measured</t>
  </si>
  <si>
    <t>miranda measured - all teats swollen likely to give birth soon</t>
  </si>
  <si>
    <t>g7c1</t>
  </si>
  <si>
    <t>g7c5</t>
  </si>
  <si>
    <t>g4a7</t>
  </si>
  <si>
    <t>Miranda measured</t>
  </si>
  <si>
    <t>g4d2</t>
  </si>
  <si>
    <t>g4a5</t>
  </si>
  <si>
    <t>POST_BREED 2017</t>
  </si>
  <si>
    <t>PRE_BREEDING 2016</t>
  </si>
  <si>
    <t>BREEDING 2016</t>
  </si>
  <si>
    <t>bob</t>
  </si>
  <si>
    <t>bernie</t>
  </si>
  <si>
    <t>barbara</t>
  </si>
  <si>
    <t>barry</t>
  </si>
  <si>
    <t>boutique</t>
  </si>
  <si>
    <t>bJ</t>
  </si>
  <si>
    <t>bustedass</t>
  </si>
  <si>
    <t>bevan</t>
  </si>
  <si>
    <t>bones</t>
  </si>
  <si>
    <t>bianca</t>
  </si>
  <si>
    <t>bree</t>
  </si>
  <si>
    <t>brittany</t>
  </si>
  <si>
    <t>bindi</t>
  </si>
  <si>
    <t>brad</t>
  </si>
  <si>
    <t>beth</t>
  </si>
  <si>
    <t>bitty</t>
  </si>
  <si>
    <t>brian</t>
  </si>
  <si>
    <t>bever</t>
  </si>
  <si>
    <t>butthead</t>
  </si>
  <si>
    <t>blossom</t>
  </si>
  <si>
    <t>branjolina</t>
  </si>
  <si>
    <t>boo</t>
  </si>
  <si>
    <t>battle</t>
  </si>
  <si>
    <t>beyonce</t>
  </si>
  <si>
    <t>bounce</t>
  </si>
  <si>
    <t>bitches be Like (bbL)</t>
  </si>
  <si>
    <t>brendon</t>
  </si>
  <si>
    <t>bryde</t>
  </si>
  <si>
    <t>bamboo</t>
  </si>
  <si>
    <t>bertha</t>
  </si>
  <si>
    <t>brutus</t>
  </si>
  <si>
    <t>beanz</t>
  </si>
  <si>
    <t>bonny</t>
  </si>
  <si>
    <t>bigot</t>
  </si>
  <si>
    <t>boquet</t>
  </si>
  <si>
    <t>blitzen</t>
  </si>
  <si>
    <t>beautiful</t>
  </si>
  <si>
    <t>beaven</t>
  </si>
  <si>
    <t>breezey</t>
  </si>
  <si>
    <t>buttons</t>
  </si>
  <si>
    <t>bart</t>
  </si>
  <si>
    <t>beads</t>
  </si>
  <si>
    <t>bessy</t>
  </si>
  <si>
    <t>bandit</t>
  </si>
  <si>
    <t>bro</t>
  </si>
  <si>
    <t>balls</t>
  </si>
  <si>
    <t>beatrice</t>
  </si>
  <si>
    <t>blondie</t>
  </si>
  <si>
    <t>baxter</t>
  </si>
  <si>
    <t>bever?</t>
  </si>
  <si>
    <t>baby</t>
  </si>
  <si>
    <t>bomit</t>
  </si>
  <si>
    <t>bach</t>
  </si>
  <si>
    <t>brahms</t>
  </si>
  <si>
    <t>braindamage</t>
  </si>
  <si>
    <t>behemoth</t>
  </si>
  <si>
    <t>bones?</t>
  </si>
  <si>
    <t>broccolini</t>
  </si>
  <si>
    <t>blueberry</t>
  </si>
  <si>
    <t>booksmart</t>
  </si>
  <si>
    <t>bingeeater</t>
  </si>
  <si>
    <t>bothersome</t>
  </si>
  <si>
    <t>brittle</t>
  </si>
  <si>
    <t>bruce</t>
  </si>
  <si>
    <t>babinda</t>
  </si>
  <si>
    <t>beige</t>
  </si>
  <si>
    <t>barista</t>
  </si>
  <si>
    <t>bedtime</t>
  </si>
  <si>
    <t>butterscotch</t>
  </si>
  <si>
    <t xml:space="preserve">boutique </t>
  </si>
  <si>
    <t>bear</t>
  </si>
  <si>
    <t>beast</t>
  </si>
  <si>
    <t>bastard</t>
  </si>
  <si>
    <t>blinky</t>
  </si>
  <si>
    <t>bernard</t>
  </si>
  <si>
    <t>banana</t>
  </si>
  <si>
    <t>bryar</t>
  </si>
  <si>
    <t>bazaar</t>
  </si>
  <si>
    <t>bloodfluke</t>
  </si>
  <si>
    <t>bridget</t>
  </si>
  <si>
    <t>barbeque</t>
  </si>
  <si>
    <t>brett</t>
  </si>
  <si>
    <t>boon</t>
  </si>
  <si>
    <t>batistuta</t>
  </si>
  <si>
    <t>bilby</t>
  </si>
  <si>
    <t>bolivia</t>
  </si>
  <si>
    <t>babylon</t>
  </si>
  <si>
    <t>bellyache</t>
  </si>
  <si>
    <t>POST_BREED 2016</t>
  </si>
  <si>
    <t>POST_BREED 2018</t>
  </si>
  <si>
    <t>hw3-a6</t>
  </si>
  <si>
    <t>rocky</t>
  </si>
  <si>
    <t>banksia</t>
  </si>
  <si>
    <t>ow1-c1</t>
  </si>
  <si>
    <t>open</t>
  </si>
  <si>
    <t>ow1-d1</t>
  </si>
  <si>
    <t>brydie</t>
  </si>
  <si>
    <t>ow1-d9</t>
  </si>
  <si>
    <t>biffa</t>
  </si>
  <si>
    <t>ow1-e1</t>
  </si>
  <si>
    <t>boffa</t>
  </si>
  <si>
    <t>ow1-d5</t>
  </si>
  <si>
    <t>baggins</t>
  </si>
  <si>
    <t>ow1-b1</t>
  </si>
  <si>
    <t>barlin</t>
  </si>
  <si>
    <t>bilbo</t>
  </si>
  <si>
    <t>ow1-a10</t>
  </si>
  <si>
    <t>boromir</t>
  </si>
  <si>
    <t>ow1-e4</t>
  </si>
  <si>
    <t>brisket</t>
  </si>
  <si>
    <t>ap-f5</t>
  </si>
  <si>
    <t>bratwurst</t>
  </si>
  <si>
    <t>ap-e2</t>
  </si>
  <si>
    <t>bowling</t>
  </si>
  <si>
    <t>ap-e6</t>
  </si>
  <si>
    <t>back left foot mangled/chewed from either dog bite or self harm - no measured</t>
  </si>
  <si>
    <t>bunge</t>
  </si>
  <si>
    <t>ap-f4</t>
  </si>
  <si>
    <t>boa</t>
  </si>
  <si>
    <t>ow2c8</t>
  </si>
  <si>
    <t>bluetongue</t>
  </si>
  <si>
    <t>ow2a4</t>
  </si>
  <si>
    <t>opem</t>
  </si>
  <si>
    <t>likely to give birth soon</t>
  </si>
  <si>
    <t>brazil</t>
  </si>
  <si>
    <t>hw9a9</t>
  </si>
  <si>
    <t>basilisk</t>
  </si>
  <si>
    <t>ow2b3</t>
  </si>
  <si>
    <t>boyd</t>
  </si>
  <si>
    <t>ow2-b6</t>
  </si>
  <si>
    <t>bearded</t>
  </si>
  <si>
    <t>ow2b1</t>
  </si>
  <si>
    <t>burmese</t>
  </si>
  <si>
    <t>ow2a1</t>
  </si>
  <si>
    <t>butcher</t>
  </si>
  <si>
    <t>ow3a2</t>
  </si>
  <si>
    <t>52,64</t>
  </si>
  <si>
    <t>bower</t>
  </si>
  <si>
    <t>ow3c6</t>
  </si>
  <si>
    <t>bacardi</t>
  </si>
  <si>
    <t>hw10c10</t>
  </si>
  <si>
    <t>belgium</t>
  </si>
  <si>
    <t>ow4c3</t>
  </si>
  <si>
    <t>bulgaria</t>
  </si>
  <si>
    <t>ow4d4</t>
  </si>
  <si>
    <t>did not measure - ripped head and tail - bleeding</t>
  </si>
  <si>
    <t>bird</t>
  </si>
  <si>
    <t>ow3d9</t>
  </si>
  <si>
    <t>boobie</t>
  </si>
  <si>
    <t>ow3c5</t>
  </si>
  <si>
    <t>botswana</t>
  </si>
  <si>
    <t>ow4f2</t>
  </si>
  <si>
    <t>dissection notes</t>
  </si>
  <si>
    <t>rna later</t>
  </si>
  <si>
    <t>mn</t>
  </si>
  <si>
    <t>lymph</t>
  </si>
  <si>
    <t>time start</t>
  </si>
  <si>
    <t>time done rna</t>
  </si>
  <si>
    <t>time done</t>
  </si>
  <si>
    <t>jp#</t>
  </si>
  <si>
    <t>marshall</t>
  </si>
  <si>
    <t>psm1</t>
  </si>
  <si>
    <t>ps-b9</t>
  </si>
  <si>
    <t>right forearm muscles (pectoral) destroyed, right hind limb intact</t>
  </si>
  <si>
    <t>ok</t>
  </si>
  <si>
    <t>b-ob large segment (original) small in duplicate</t>
  </si>
  <si>
    <t>pfa</t>
  </si>
  <si>
    <t>psmb</t>
  </si>
  <si>
    <t>ps-a17</t>
  </si>
  <si>
    <t>1 x OB</t>
  </si>
  <si>
    <t>rnalater</t>
  </si>
  <si>
    <t>owb2</t>
  </si>
  <si>
    <t xml:space="preserve">breeding </t>
  </si>
  <si>
    <t>ow2-e1</t>
  </si>
  <si>
    <t>heart worm, gut parasites and ticks, right forearm cut from wrists</t>
  </si>
  <si>
    <t>no GAB</t>
  </si>
  <si>
    <t>ow2m</t>
  </si>
  <si>
    <t>ow2-a3</t>
  </si>
  <si>
    <t>heart worm, gut parasites and ticks</t>
  </si>
  <si>
    <t>ow2-a1</t>
  </si>
  <si>
    <t>burm for labels, BIM for all samples from right side (no forelimb for future dissection on right side)</t>
  </si>
  <si>
    <t>no IN-R (went missing)</t>
  </si>
  <si>
    <t>apf1</t>
  </si>
  <si>
    <t>hap-5</t>
  </si>
  <si>
    <t>nmf1</t>
  </si>
  <si>
    <t>hnm-1</t>
  </si>
  <si>
    <t>apf2</t>
  </si>
  <si>
    <t>hap-1</t>
  </si>
  <si>
    <t>owf1</t>
  </si>
  <si>
    <t>ow3-a10</t>
  </si>
  <si>
    <t>ow3m</t>
  </si>
  <si>
    <t>ow3-a5</t>
  </si>
  <si>
    <t>rna</t>
  </si>
  <si>
    <t>apf3</t>
  </si>
  <si>
    <t>hap-2</t>
  </si>
  <si>
    <t>owf2</t>
  </si>
  <si>
    <t>ow3-c5</t>
  </si>
  <si>
    <t>nmm1</t>
  </si>
  <si>
    <t>hnm-10</t>
  </si>
  <si>
    <t>nmf2</t>
  </si>
  <si>
    <t>hnm-b</t>
  </si>
  <si>
    <t>2018 BREED DISSECTIONS</t>
  </si>
  <si>
    <t>apm</t>
  </si>
  <si>
    <t>21.08/2018</t>
  </si>
  <si>
    <t>banksia2</t>
  </si>
  <si>
    <t>hw77</t>
  </si>
  <si>
    <t>name</t>
  </si>
  <si>
    <t>sampleID</t>
  </si>
  <si>
    <t>eartag</t>
  </si>
  <si>
    <t>ageclass</t>
  </si>
  <si>
    <t>Rfootl1</t>
  </si>
  <si>
    <t>Rfootl2</t>
  </si>
  <si>
    <t>Rfootl3</t>
  </si>
  <si>
    <t>Rfootlave</t>
  </si>
  <si>
    <t>Rfullfootl1</t>
  </si>
  <si>
    <t>Rfullfootl2</t>
  </si>
  <si>
    <t>Rfullfootl3</t>
  </si>
  <si>
    <t>Rfullfootlave</t>
  </si>
  <si>
    <t>Rhindlimbl1</t>
  </si>
  <si>
    <t>Rhindlimbl2</t>
  </si>
  <si>
    <t>Rhindlimbl3</t>
  </si>
  <si>
    <t>Rhindlimblave</t>
  </si>
  <si>
    <t>Rforearml1</t>
  </si>
  <si>
    <t>Rforearml2</t>
  </si>
  <si>
    <t>Rforearml3</t>
  </si>
  <si>
    <t>Rforearmlave</t>
  </si>
  <si>
    <t>2faeces</t>
  </si>
  <si>
    <t>bag faeces</t>
  </si>
  <si>
    <t>whole blood</t>
  </si>
  <si>
    <t>plasma</t>
  </si>
  <si>
    <t>red blood cells</t>
  </si>
  <si>
    <t>comments</t>
  </si>
  <si>
    <t>pipsqueak</t>
  </si>
  <si>
    <t>hw3a1</t>
  </si>
  <si>
    <t>developed</t>
  </si>
  <si>
    <t>yes</t>
  </si>
  <si>
    <t>nil</t>
  </si>
  <si>
    <t>denver</t>
  </si>
  <si>
    <t>hw3b8</t>
  </si>
  <si>
    <t>charlie</t>
  </si>
  <si>
    <t>hw3b5</t>
  </si>
  <si>
    <t>undeveloped</t>
  </si>
  <si>
    <t>gnarley</t>
  </si>
  <si>
    <t>hw3b1</t>
  </si>
  <si>
    <t>lychee</t>
  </si>
  <si>
    <t>mango</t>
  </si>
  <si>
    <t>hw3b2</t>
  </si>
  <si>
    <t>no</t>
  </si>
  <si>
    <t>pawpaw</t>
  </si>
  <si>
    <t>hw3a3</t>
  </si>
  <si>
    <t>mandarin</t>
  </si>
  <si>
    <t>hw3c2</t>
  </si>
  <si>
    <t>No tail</t>
  </si>
  <si>
    <t>melon</t>
  </si>
  <si>
    <t>Questionable age class - molar wear 2nd year, canine wear 1st year - broken back right leg - seems he has been attacked - missing hair on belly</t>
  </si>
  <si>
    <t>salami</t>
  </si>
  <si>
    <t>7922eee</t>
  </si>
  <si>
    <t>NQ Project - Grid animals - for Ellie</t>
  </si>
  <si>
    <t>ghostnet</t>
  </si>
  <si>
    <t>73575b8</t>
  </si>
  <si>
    <t>huancaina</t>
  </si>
  <si>
    <t>7922cbe</t>
  </si>
  <si>
    <t>g4b9</t>
  </si>
  <si>
    <t>raven</t>
  </si>
  <si>
    <t>7350b7F</t>
  </si>
  <si>
    <t>whitney</t>
  </si>
  <si>
    <t>734F8E1</t>
  </si>
  <si>
    <t>storm</t>
  </si>
  <si>
    <t>lactose</t>
  </si>
  <si>
    <t>73592EF</t>
  </si>
  <si>
    <t>pinto</t>
  </si>
  <si>
    <t>7923bb0</t>
  </si>
  <si>
    <t>clove</t>
  </si>
  <si>
    <t>7923e7d</t>
  </si>
  <si>
    <t>mutton</t>
  </si>
  <si>
    <t>7922be4</t>
  </si>
  <si>
    <t>g4a9</t>
  </si>
  <si>
    <t>star</t>
  </si>
  <si>
    <t>apb10</t>
  </si>
  <si>
    <t>16/5/2018, 17/5/18</t>
  </si>
  <si>
    <t>neptune</t>
  </si>
  <si>
    <t>apa6</t>
  </si>
  <si>
    <t>sun</t>
  </si>
  <si>
    <t>apc8</t>
  </si>
  <si>
    <t>orion</t>
  </si>
  <si>
    <t>apd8</t>
  </si>
  <si>
    <t>lamb</t>
  </si>
  <si>
    <t>7922e23</t>
  </si>
  <si>
    <t>undeveloed</t>
  </si>
  <si>
    <t>scarlet</t>
  </si>
  <si>
    <t>73587bc</t>
  </si>
  <si>
    <t>g4-a4</t>
  </si>
  <si>
    <t>guerrero</t>
  </si>
  <si>
    <t>7d31bc6</t>
  </si>
  <si>
    <t>g4a6</t>
  </si>
  <si>
    <t>32.69</t>
  </si>
  <si>
    <t>goat</t>
  </si>
  <si>
    <t>7922dfd</t>
  </si>
  <si>
    <t>oxtail</t>
  </si>
  <si>
    <t>7922c0f</t>
  </si>
  <si>
    <t>g4b10</t>
  </si>
  <si>
    <t>deliham</t>
  </si>
  <si>
    <t>7922bd5</t>
  </si>
  <si>
    <t>veal</t>
  </si>
  <si>
    <t>7922da7</t>
  </si>
  <si>
    <t>turnip</t>
  </si>
  <si>
    <t>p24a2</t>
  </si>
  <si>
    <t>capsicum</t>
  </si>
  <si>
    <t>p24b7</t>
  </si>
  <si>
    <t>carrot</t>
  </si>
  <si>
    <t>p24a4</t>
  </si>
  <si>
    <t>Not all performance measured as injured foot in trap</t>
  </si>
  <si>
    <t>salt</t>
  </si>
  <si>
    <t>7922c6a</t>
  </si>
  <si>
    <t>lockout</t>
  </si>
  <si>
    <t>735abda</t>
  </si>
  <si>
    <t>mayo</t>
  </si>
  <si>
    <t>p24a1</t>
  </si>
  <si>
    <t>chutney</t>
  </si>
  <si>
    <t>p24e5</t>
  </si>
  <si>
    <t>kraut</t>
  </si>
  <si>
    <t>p24f6</t>
  </si>
  <si>
    <t>pickle</t>
  </si>
  <si>
    <t>p24f7</t>
  </si>
  <si>
    <t>pouch developing</t>
  </si>
  <si>
    <t>radish</t>
  </si>
  <si>
    <t>7922b59</t>
  </si>
  <si>
    <t>sweetpea</t>
  </si>
  <si>
    <t>7922ccf</t>
  </si>
  <si>
    <t>wasabi</t>
  </si>
  <si>
    <t>7922cd4</t>
  </si>
  <si>
    <t>cabbage</t>
  </si>
  <si>
    <t>7922dbd</t>
  </si>
  <si>
    <t>g4a10</t>
  </si>
  <si>
    <t>cheetah</t>
  </si>
  <si>
    <t>hw6b3</t>
  </si>
  <si>
    <t>tiger</t>
  </si>
  <si>
    <t>hw6a3</t>
  </si>
  <si>
    <t>lion</t>
  </si>
  <si>
    <t>hw6a2</t>
  </si>
  <si>
    <t>puma</t>
  </si>
  <si>
    <t>hw6b5</t>
  </si>
  <si>
    <t>caracal</t>
  </si>
  <si>
    <t>hw6b6</t>
  </si>
  <si>
    <t>2 x bag faeces</t>
  </si>
  <si>
    <t>jaguar</t>
  </si>
  <si>
    <t>hw6a7</t>
  </si>
  <si>
    <t>lynx</t>
  </si>
  <si>
    <t>hw6c7</t>
  </si>
  <si>
    <t>cougar</t>
  </si>
  <si>
    <t>hw6b10</t>
  </si>
  <si>
    <t>panther</t>
  </si>
  <si>
    <t>hw6c5</t>
  </si>
  <si>
    <t>civet</t>
  </si>
  <si>
    <t>hw6c10</t>
  </si>
  <si>
    <t>karen</t>
  </si>
  <si>
    <t>ow1b5</t>
  </si>
  <si>
    <t>nicki</t>
  </si>
  <si>
    <t>ow1c7</t>
  </si>
  <si>
    <t>wendy</t>
  </si>
  <si>
    <t>ow1c1</t>
  </si>
  <si>
    <t>dave</t>
  </si>
  <si>
    <t>sophie</t>
  </si>
  <si>
    <t>ow1a4</t>
  </si>
  <si>
    <t>emily</t>
  </si>
  <si>
    <t>ow1d6</t>
  </si>
  <si>
    <t>james</t>
  </si>
  <si>
    <t>ow1d7</t>
  </si>
  <si>
    <t>jenny</t>
  </si>
  <si>
    <t>ow1c8</t>
  </si>
  <si>
    <t>lyle</t>
  </si>
  <si>
    <t>ow1d2</t>
  </si>
  <si>
    <t xml:space="preserve">undeveloped </t>
  </si>
  <si>
    <t>developing pouch</t>
  </si>
  <si>
    <t>venus</t>
  </si>
  <si>
    <t>ape9</t>
  </si>
  <si>
    <t>strange poo (hairy)</t>
  </si>
  <si>
    <t>galaxy</t>
  </si>
  <si>
    <t>apf4</t>
  </si>
  <si>
    <t>recap from 2017 - no eartag but dna sample taken</t>
  </si>
  <si>
    <t>moon</t>
  </si>
  <si>
    <t>ape1</t>
  </si>
  <si>
    <t xml:space="preserve">comet </t>
  </si>
  <si>
    <t>meteor</t>
  </si>
  <si>
    <t>ape6</t>
  </si>
  <si>
    <t>no poo</t>
  </si>
  <si>
    <t>deepening pouch</t>
  </si>
  <si>
    <t>mulgara</t>
  </si>
  <si>
    <t>hw4a2</t>
  </si>
  <si>
    <t>quokka</t>
  </si>
  <si>
    <t>hw4c3</t>
  </si>
  <si>
    <t>wombat</t>
  </si>
  <si>
    <t>hw4a1</t>
  </si>
  <si>
    <t>echidna</t>
  </si>
  <si>
    <t>hw4c9</t>
  </si>
  <si>
    <t>numbat</t>
  </si>
  <si>
    <t>hw4a9</t>
  </si>
  <si>
    <t>dunnart</t>
  </si>
  <si>
    <t>hw4b5</t>
  </si>
  <si>
    <t>platypus</t>
  </si>
  <si>
    <t>hw4c4</t>
  </si>
  <si>
    <t>koala</t>
  </si>
  <si>
    <t>hw4a6</t>
  </si>
  <si>
    <t>devil</t>
  </si>
  <si>
    <t>hw4c7</t>
  </si>
  <si>
    <t>dingo</t>
  </si>
  <si>
    <t>kangaroo</t>
  </si>
  <si>
    <t>hw4c5</t>
  </si>
  <si>
    <t>emu</t>
  </si>
  <si>
    <t>possum</t>
  </si>
  <si>
    <t>hw4c10</t>
  </si>
  <si>
    <t>flyingfox</t>
  </si>
  <si>
    <t>hw4b1</t>
  </si>
  <si>
    <t>wattle</t>
  </si>
  <si>
    <t>hw7a7</t>
  </si>
  <si>
    <t>gumnut</t>
  </si>
  <si>
    <t>hwy7b9</t>
  </si>
  <si>
    <t>acacia</t>
  </si>
  <si>
    <t>hwy7c10</t>
  </si>
  <si>
    <t>daisy</t>
  </si>
  <si>
    <t>hwy7c2</t>
  </si>
  <si>
    <t>rose</t>
  </si>
  <si>
    <t>hwy7c5</t>
  </si>
  <si>
    <t>tulip</t>
  </si>
  <si>
    <t>hwy7a1</t>
  </si>
  <si>
    <t>violet</t>
  </si>
  <si>
    <t>hwy7a3</t>
  </si>
  <si>
    <t>gerbera</t>
  </si>
  <si>
    <t>hwy7a4</t>
  </si>
  <si>
    <t>waratah</t>
  </si>
  <si>
    <t>hwy7a9</t>
  </si>
  <si>
    <t>eucalypt</t>
  </si>
  <si>
    <t>hwy7c1</t>
  </si>
  <si>
    <t>hair maybe labelled as hw7c10</t>
  </si>
  <si>
    <t>python</t>
  </si>
  <si>
    <t>ow2d7</t>
  </si>
  <si>
    <t>skink</t>
  </si>
  <si>
    <t>ow2a7</t>
  </si>
  <si>
    <t>woma</t>
  </si>
  <si>
    <t>ow2a5</t>
  </si>
  <si>
    <t>gecko</t>
  </si>
  <si>
    <t>ow2c3</t>
  </si>
  <si>
    <t>croc</t>
  </si>
  <si>
    <t>ow2d3</t>
  </si>
  <si>
    <t>taipan</t>
  </si>
  <si>
    <t>ow2c2</t>
  </si>
  <si>
    <t>canetoad</t>
  </si>
  <si>
    <t>ow2d9</t>
  </si>
  <si>
    <t>goanna</t>
  </si>
  <si>
    <t>ow2c10</t>
  </si>
  <si>
    <t>pine</t>
  </si>
  <si>
    <t>hw9c3</t>
  </si>
  <si>
    <t>pistachio</t>
  </si>
  <si>
    <t>hw9a10</t>
  </si>
  <si>
    <t>hazelnut</t>
  </si>
  <si>
    <t>hw9b9</t>
  </si>
  <si>
    <t>walnut</t>
  </si>
  <si>
    <t>hw9c1</t>
  </si>
  <si>
    <t>almond</t>
  </si>
  <si>
    <t>hw9a3</t>
  </si>
  <si>
    <t>cashew</t>
  </si>
  <si>
    <t>hw9c4</t>
  </si>
  <si>
    <t>peanut</t>
  </si>
  <si>
    <t>hw9a4</t>
  </si>
  <si>
    <t>pecan</t>
  </si>
  <si>
    <t>hw9a2</t>
  </si>
  <si>
    <t>remeasure</t>
  </si>
  <si>
    <t>hw9c5</t>
  </si>
  <si>
    <t>acorn</t>
  </si>
  <si>
    <t>missing fur on back and stomach - maybe attacked by something - right eye cloudy</t>
  </si>
  <si>
    <t>hw9c10</t>
  </si>
  <si>
    <t>deepening pouch, large first year female, strange poo</t>
  </si>
  <si>
    <t>chestnut</t>
  </si>
  <si>
    <t>frog</t>
  </si>
  <si>
    <t>dragon</t>
  </si>
  <si>
    <t>ow2d2</t>
  </si>
  <si>
    <t>cockatoo</t>
  </si>
  <si>
    <t>ow3d7</t>
  </si>
  <si>
    <t>curlew</t>
  </si>
  <si>
    <t>ow3d6</t>
  </si>
  <si>
    <t>kookaburra</t>
  </si>
  <si>
    <t>ow3a4</t>
  </si>
  <si>
    <t>24/5/2018,26/5/18</t>
  </si>
  <si>
    <t>lorikeet</t>
  </si>
  <si>
    <t>ow3c10</t>
  </si>
  <si>
    <t>tequila</t>
  </si>
  <si>
    <t>hw10c9</t>
  </si>
  <si>
    <t>pouch fully deepened</t>
  </si>
  <si>
    <t>whisky</t>
  </si>
  <si>
    <t>hw10c5</t>
  </si>
  <si>
    <t>pouch fully deepended</t>
  </si>
  <si>
    <t>hw10e10</t>
  </si>
  <si>
    <t>kaslo</t>
  </si>
  <si>
    <t>734f6d2</t>
  </si>
  <si>
    <t>g6c3</t>
  </si>
  <si>
    <t>7922cd2</t>
  </si>
  <si>
    <t>g6d6</t>
  </si>
  <si>
    <t>lipsync</t>
  </si>
  <si>
    <t>7356a63</t>
  </si>
  <si>
    <t>g6c9</t>
  </si>
  <si>
    <t>rum</t>
  </si>
  <si>
    <t>hw10c6</t>
  </si>
  <si>
    <t>vodka</t>
  </si>
  <si>
    <t>hw10e8</t>
  </si>
  <si>
    <t>hawk</t>
  </si>
  <si>
    <t>ow3d101</t>
  </si>
  <si>
    <t>finch</t>
  </si>
  <si>
    <t>ow3a61</t>
  </si>
  <si>
    <t>gin</t>
  </si>
  <si>
    <t>hw10e9</t>
  </si>
  <si>
    <t>tawny</t>
  </si>
  <si>
    <t>ow3b101</t>
  </si>
  <si>
    <t>india</t>
  </si>
  <si>
    <t>ow4e1</t>
  </si>
  <si>
    <t>japan</t>
  </si>
  <si>
    <t>ow4d2</t>
  </si>
  <si>
    <t>spain</t>
  </si>
  <si>
    <t>ow4a5</t>
  </si>
  <si>
    <t>malta</t>
  </si>
  <si>
    <t>ow4c5</t>
  </si>
  <si>
    <t>fiji</t>
  </si>
  <si>
    <t>ow4e4</t>
  </si>
  <si>
    <t>peru</t>
  </si>
  <si>
    <t>7d30747</t>
  </si>
  <si>
    <t>ow4a4</t>
  </si>
  <si>
    <t>oz</t>
  </si>
  <si>
    <t>ow4a8</t>
  </si>
  <si>
    <t>scott</t>
  </si>
  <si>
    <t>ow4b9</t>
  </si>
  <si>
    <t>elise</t>
  </si>
  <si>
    <t>ps-a6</t>
  </si>
  <si>
    <t>10.17,3.62</t>
  </si>
  <si>
    <t xml:space="preserve">sabrina </t>
  </si>
  <si>
    <t>p13-d5</t>
  </si>
  <si>
    <t>10.70,4.0</t>
  </si>
  <si>
    <t>joseph</t>
  </si>
  <si>
    <t>ow2-c8</t>
  </si>
  <si>
    <t>viper</t>
  </si>
  <si>
    <t>ow2-e2</t>
  </si>
  <si>
    <t>komodo</t>
  </si>
  <si>
    <t>ow2-a10</t>
  </si>
  <si>
    <t>cobra</t>
  </si>
  <si>
    <t>ow2-a9</t>
  </si>
  <si>
    <t>ow3-c10</t>
  </si>
  <si>
    <t>ow3-a2</t>
  </si>
  <si>
    <t>7.85,2.95</t>
  </si>
  <si>
    <t>macaw</t>
  </si>
  <si>
    <t>ow3-a9</t>
  </si>
  <si>
    <t>8.60,3.47</t>
  </si>
  <si>
    <t>tryhard</t>
  </si>
  <si>
    <t>nobandi</t>
  </si>
  <si>
    <t>hap-4</t>
  </si>
  <si>
    <t>nwq</t>
  </si>
  <si>
    <t>hnmb</t>
  </si>
  <si>
    <t>10.57,3.89</t>
  </si>
  <si>
    <t>carbon</t>
  </si>
  <si>
    <t xml:space="preserve">new </t>
  </si>
  <si>
    <t>mercury</t>
  </si>
  <si>
    <t>6.63,3.17</t>
  </si>
  <si>
    <t>lead</t>
  </si>
  <si>
    <t>hickory</t>
  </si>
  <si>
    <t>hw99</t>
  </si>
  <si>
    <t>hydrogen</t>
  </si>
  <si>
    <t>8.62,3.30</t>
  </si>
  <si>
    <t>neon</t>
  </si>
  <si>
    <t>9.19,3.83</t>
  </si>
  <si>
    <t>gold</t>
  </si>
  <si>
    <t>7.7,2.77</t>
  </si>
  <si>
    <t>pansy</t>
  </si>
  <si>
    <t>nutella</t>
  </si>
  <si>
    <t>peony</t>
  </si>
  <si>
    <t>Kaylah measured</t>
  </si>
  <si>
    <t>Kaylah measured - tail was measured at where it broke</t>
  </si>
  <si>
    <t>Kaylah measured - appeared to have a growth on her back hindlimb</t>
  </si>
  <si>
    <t>All pre_breed data - see Quoll_Habitat_Pre2018</t>
  </si>
  <si>
    <t>baloney</t>
  </si>
  <si>
    <t>balsamic</t>
  </si>
  <si>
    <t>brigalow</t>
  </si>
  <si>
    <t>BREEDING 2018</t>
  </si>
  <si>
    <t>WET 2019</t>
  </si>
  <si>
    <t>g4b4</t>
  </si>
  <si>
    <t>Crushed 1 baby 12/2/19, dropped other during soft release 13/2/19, both in freezer.</t>
  </si>
  <si>
    <t>burger</t>
  </si>
  <si>
    <t>g1d8</t>
  </si>
  <si>
    <t>Miranda measured. Ripped out eartag, unsure of original identity. MAYBE Broccolini???</t>
  </si>
  <si>
    <t>PRE 2019</t>
  </si>
  <si>
    <t>bickerton</t>
  </si>
  <si>
    <t xml:space="preserve">benedict </t>
  </si>
  <si>
    <t>3 (males)</t>
  </si>
  <si>
    <t>dropped 1 baby - taken back to re-attach (successful) no measurements taken</t>
  </si>
  <si>
    <t>bicycle</t>
  </si>
  <si>
    <t>kaylah measured</t>
  </si>
  <si>
    <t>b2b</t>
  </si>
  <si>
    <t>1 (male)</t>
  </si>
  <si>
    <t>hw7a2</t>
  </si>
  <si>
    <t>hw7c1</t>
  </si>
  <si>
    <t>hw7c10</t>
  </si>
  <si>
    <t>hw7a10</t>
  </si>
  <si>
    <t>hw7a3</t>
  </si>
  <si>
    <t>hw7b2</t>
  </si>
  <si>
    <t>hw7a1</t>
  </si>
  <si>
    <t>hw7b4</t>
  </si>
  <si>
    <t>hw7b7</t>
  </si>
  <si>
    <t>hw7b10</t>
  </si>
  <si>
    <t>No breeding scars</t>
  </si>
  <si>
    <t>natrium</t>
  </si>
  <si>
    <t>No breeding scars, cloaca swollen.</t>
  </si>
  <si>
    <t>kalium</t>
  </si>
  <si>
    <t>ferrum</t>
  </si>
  <si>
    <t>broken tail tip</t>
  </si>
  <si>
    <t>pouch deepening</t>
  </si>
  <si>
    <t>7d30f52</t>
  </si>
  <si>
    <t>wolfram</t>
  </si>
  <si>
    <t>7d2b245</t>
  </si>
  <si>
    <t>aurum</t>
  </si>
  <si>
    <t>ear tag on edge</t>
  </si>
  <si>
    <t>caprum</t>
  </si>
  <si>
    <t>plumbum</t>
  </si>
  <si>
    <t>stibium</t>
  </si>
  <si>
    <t>hw7d3</t>
  </si>
  <si>
    <t>argentum</t>
  </si>
  <si>
    <t>hw7d7</t>
  </si>
  <si>
    <t>manganese</t>
  </si>
  <si>
    <t>hw7d5</t>
  </si>
  <si>
    <t>aluminum</t>
  </si>
  <si>
    <t>lice</t>
  </si>
  <si>
    <t>hw7b1</t>
  </si>
  <si>
    <t>stannum</t>
  </si>
  <si>
    <t>gyrum</t>
  </si>
  <si>
    <t>hw7-e9</t>
  </si>
  <si>
    <t>bismuth</t>
  </si>
  <si>
    <t>apb1</t>
  </si>
  <si>
    <t>apb9</t>
  </si>
  <si>
    <t>apb3</t>
  </si>
  <si>
    <t>kelly</t>
  </si>
  <si>
    <t>breeding scars present</t>
  </si>
  <si>
    <t>fittler</t>
  </si>
  <si>
    <t>ap-d5</t>
  </si>
  <si>
    <t>bloom</t>
  </si>
  <si>
    <t>quoll id</t>
  </si>
  <si>
    <t>location</t>
  </si>
  <si>
    <t>aurum / natrium</t>
  </si>
  <si>
    <t>q-ecaped</t>
  </si>
  <si>
    <t>plumbum (dead in trap)</t>
  </si>
  <si>
    <t>aluminium</t>
  </si>
  <si>
    <t>b-bismuth</t>
  </si>
  <si>
    <t>b-bloom</t>
  </si>
  <si>
    <t>TrapID</t>
  </si>
  <si>
    <t>A1</t>
  </si>
  <si>
    <t>A2</t>
  </si>
  <si>
    <t>A3</t>
  </si>
  <si>
    <t>A4</t>
  </si>
  <si>
    <t>A5</t>
  </si>
  <si>
    <t>A6</t>
  </si>
  <si>
    <t>b-banana</t>
  </si>
  <si>
    <t>A7</t>
  </si>
  <si>
    <t>A8</t>
  </si>
  <si>
    <t>B1</t>
  </si>
  <si>
    <t>B2</t>
  </si>
  <si>
    <t>B3</t>
  </si>
  <si>
    <t>B4</t>
  </si>
  <si>
    <t>B5</t>
  </si>
  <si>
    <t>recap - ?</t>
  </si>
  <si>
    <t>B6</t>
  </si>
  <si>
    <t>B7</t>
  </si>
  <si>
    <t>B8</t>
  </si>
  <si>
    <t>B9</t>
  </si>
  <si>
    <t>B10</t>
  </si>
  <si>
    <t>recap. - ?</t>
  </si>
  <si>
    <t>B11</t>
  </si>
  <si>
    <t>B12</t>
  </si>
  <si>
    <t>op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</si>
  <si>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</si>
  <si>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</si>
  <si>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</si>
  <si>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</si>
  <si>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</si>
  <si>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</si>
  <si>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</si>
  <si>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</si>
  <si>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</si>
  <si>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</si>
  <si>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quoll - escaped - female 164..</t>
  </si>
  <si>
    <t>obob</t>
  </si>
  <si>
    <t>A9</t>
  </si>
  <si>
    <t>A10</t>
  </si>
  <si>
    <t>quoll - escaped</t>
  </si>
  <si>
    <t>b-brazil</t>
  </si>
  <si>
    <t>whsky</t>
  </si>
  <si>
    <t>C11</t>
  </si>
  <si>
    <t>C12</t>
  </si>
  <si>
    <t>C13</t>
  </si>
  <si>
    <t>b-bacardi</t>
  </si>
  <si>
    <t>C14</t>
  </si>
  <si>
    <t>C15</t>
  </si>
  <si>
    <t>C16</t>
  </si>
  <si>
    <t>C17</t>
  </si>
  <si>
    <t>C18</t>
  </si>
  <si>
    <t>C19</t>
  </si>
  <si>
    <t>D1</t>
  </si>
  <si>
    <t>D2</t>
  </si>
  <si>
    <t>D3</t>
  </si>
  <si>
    <t>D4</t>
  </si>
  <si>
    <t>D5</t>
  </si>
  <si>
    <t>D6</t>
  </si>
  <si>
    <t>D7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</si>
  <si>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</si>
  <si>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</si>
  <si>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</si>
  <si>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</si>
  <si>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</si>
  <si>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</si>
  <si>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</si>
  <si>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</si>
  <si>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</si>
  <si>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</si>
  <si>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</si>
  <si>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</si>
  <si>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</si>
  <si>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b-bratwurst</t>
  </si>
  <si>
    <t>b-bunge</t>
  </si>
  <si>
    <t>b-brisket</t>
  </si>
  <si>
    <t>star  - recap</t>
  </si>
  <si>
    <t>b-bowling</t>
  </si>
  <si>
    <t>f6</t>
  </si>
  <si>
    <t>f7</t>
  </si>
  <si>
    <t>f8</t>
  </si>
  <si>
    <t>f9</t>
  </si>
  <si>
    <t>f10</t>
  </si>
  <si>
    <t>quoll-recap??</t>
  </si>
  <si>
    <t>D8</t>
  </si>
  <si>
    <t>D9</t>
  </si>
  <si>
    <t>D10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</si>
  <si>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</si>
  <si>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</si>
  <si>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</si>
  <si>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</si>
  <si>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</si>
  <si>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</si>
  <si>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</si>
  <si>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</si>
  <si>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</si>
  <si>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</si>
  <si>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b</t>
  </si>
  <si>
    <t>quoll - recap escaped</t>
  </si>
  <si>
    <t>b-burmese</t>
  </si>
  <si>
    <t>b-bluetongue</t>
  </si>
  <si>
    <t>b-bearded</t>
  </si>
  <si>
    <t>b-basilisk</t>
  </si>
  <si>
    <t>b-boyd</t>
  </si>
  <si>
    <t>b-boa</t>
  </si>
  <si>
    <t>b-butcher</t>
  </si>
  <si>
    <t>b-boobie</t>
  </si>
  <si>
    <t>b-bower</t>
  </si>
  <si>
    <t>b-bird</t>
  </si>
  <si>
    <t>b-belgium</t>
  </si>
  <si>
    <t>b-bulgaria</t>
  </si>
  <si>
    <t>b-botswana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</si>
  <si>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</si>
  <si>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</si>
  <si>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</si>
  <si>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</si>
  <si>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</si>
  <si>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</si>
  <si>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</si>
  <si>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</si>
  <si>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</si>
  <si>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</si>
  <si>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</si>
  <si>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</si>
  <si>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</si>
  <si>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</si>
  <si>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</si>
  <si>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</si>
  <si>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</si>
  <si>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</si>
  <si>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</si>
  <si>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</si>
  <si>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hw7c7</t>
  </si>
  <si>
    <t>dead in trap</t>
  </si>
  <si>
    <t>q</t>
  </si>
  <si>
    <t>kalium (dead in trap)</t>
  </si>
  <si>
    <t>q-new</t>
  </si>
  <si>
    <t>tedesco</t>
  </si>
  <si>
    <t>hw7f7</t>
  </si>
  <si>
    <t>maloney</t>
  </si>
  <si>
    <t>dibb</t>
  </si>
  <si>
    <t>short finger</t>
  </si>
  <si>
    <t>boomer</t>
  </si>
  <si>
    <t>butch</t>
  </si>
  <si>
    <t>apd6</t>
  </si>
  <si>
    <t>brick</t>
  </si>
  <si>
    <t>apd5</t>
  </si>
  <si>
    <t>apd4</t>
  </si>
  <si>
    <t>bubbles</t>
  </si>
  <si>
    <t xml:space="preserve">weight </t>
  </si>
  <si>
    <t>weight recap</t>
  </si>
  <si>
    <t>recap 2</t>
  </si>
  <si>
    <t>recap 1</t>
  </si>
  <si>
    <t>recap time 2</t>
  </si>
  <si>
    <t>recap 3</t>
  </si>
  <si>
    <t xml:space="preserve">recap time 3 </t>
  </si>
  <si>
    <t>reltime 1</t>
  </si>
  <si>
    <t>reltime 2</t>
  </si>
  <si>
    <t>reltime 3</t>
  </si>
  <si>
    <t>released 1</t>
  </si>
  <si>
    <t>released 2</t>
  </si>
  <si>
    <t>released 3</t>
  </si>
  <si>
    <t xml:space="preserve">comments </t>
  </si>
  <si>
    <t xml:space="preserve">breeding scars absent </t>
  </si>
  <si>
    <t>recap time 1</t>
  </si>
  <si>
    <t>g6</t>
  </si>
  <si>
    <t>g7</t>
  </si>
  <si>
    <t>g8</t>
  </si>
  <si>
    <t>g9</t>
  </si>
  <si>
    <t>g10</t>
  </si>
  <si>
    <t>q-escape</t>
  </si>
  <si>
    <t>o</t>
  </si>
  <si>
    <t>filter</t>
  </si>
  <si>
    <t>didn’t get weight after recapo</t>
  </si>
  <si>
    <t xml:space="preserve">o </t>
  </si>
  <si>
    <t>f11</t>
  </si>
  <si>
    <t>f12</t>
  </si>
  <si>
    <t>g11</t>
  </si>
  <si>
    <t>g12</t>
  </si>
  <si>
    <t>apd9</t>
  </si>
  <si>
    <t>klemmer</t>
  </si>
  <si>
    <t>apb5</t>
  </si>
  <si>
    <t>barnaby</t>
  </si>
  <si>
    <t>bight</t>
  </si>
  <si>
    <t>apd1</t>
  </si>
  <si>
    <t>apf9</t>
  </si>
  <si>
    <t>sergis</t>
  </si>
  <si>
    <t>apf10</t>
  </si>
  <si>
    <t>apa10</t>
  </si>
  <si>
    <t>bopeep</t>
  </si>
  <si>
    <t>apa4</t>
  </si>
  <si>
    <t>bagheera</t>
  </si>
  <si>
    <t>apf6</t>
  </si>
  <si>
    <t>vaughan</t>
  </si>
  <si>
    <t>apf7</t>
  </si>
  <si>
    <t>lss-0 captured without backpack *2</t>
  </si>
  <si>
    <t>weight recap2</t>
  </si>
  <si>
    <t>apb6</t>
  </si>
  <si>
    <t>baron</t>
  </si>
  <si>
    <t>missing left year</t>
  </si>
  <si>
    <t>apa9</t>
  </si>
  <si>
    <t>bangogh</t>
  </si>
  <si>
    <t>breeding scars present - captured no backoack</t>
  </si>
  <si>
    <t>breeding scars absent - captured no backpack</t>
  </si>
  <si>
    <t>ow</t>
  </si>
  <si>
    <t>b-bubbles</t>
  </si>
  <si>
    <t>b-brick</t>
  </si>
  <si>
    <t>b-boomer</t>
  </si>
  <si>
    <t>b-barnaby</t>
  </si>
  <si>
    <t>b- bight</t>
  </si>
  <si>
    <t>b-  released</t>
  </si>
  <si>
    <t>b- butch</t>
  </si>
  <si>
    <t>b-bagheera</t>
  </si>
  <si>
    <t>b - released</t>
  </si>
  <si>
    <t>b - bangogh</t>
  </si>
  <si>
    <t>b -  baron</t>
  </si>
  <si>
    <t>b- escape</t>
  </si>
  <si>
    <t>b - buttercup</t>
  </si>
  <si>
    <t xml:space="preserve">ob </t>
  </si>
  <si>
    <t>slemmer</t>
  </si>
  <si>
    <t>b - new</t>
  </si>
  <si>
    <t>b - bagheera</t>
  </si>
  <si>
    <t>b - Barnaby</t>
  </si>
  <si>
    <t>b - bight</t>
  </si>
  <si>
    <t>b - boomer</t>
  </si>
  <si>
    <t>q - new</t>
  </si>
  <si>
    <t>b - baron</t>
  </si>
  <si>
    <t>ow2b9</t>
  </si>
  <si>
    <t>turbo</t>
  </si>
  <si>
    <t>ow2b10</t>
  </si>
  <si>
    <t>cordner</t>
  </si>
  <si>
    <t>ow2d5</t>
  </si>
  <si>
    <t>hilder</t>
  </si>
  <si>
    <t>studdon</t>
  </si>
  <si>
    <t>wighton</t>
  </si>
  <si>
    <t>beauregard</t>
  </si>
  <si>
    <t>balo</t>
  </si>
  <si>
    <t>7d315d9</t>
  </si>
  <si>
    <t>frizzel</t>
  </si>
  <si>
    <t>palamino</t>
  </si>
  <si>
    <t>shoeshow</t>
  </si>
  <si>
    <t>finucane</t>
  </si>
  <si>
    <t>ow2b6</t>
  </si>
  <si>
    <t>bonson</t>
  </si>
  <si>
    <t>BREED 2019</t>
  </si>
  <si>
    <t>1(male)</t>
  </si>
  <si>
    <t xml:space="preserve">dropped 1 baby - taken back to reattach (successful) no measurements taken </t>
  </si>
  <si>
    <t xml:space="preserve">kaylaj measured </t>
  </si>
  <si>
    <t>disgrace</t>
  </si>
  <si>
    <t>b - bonson</t>
  </si>
  <si>
    <t>NA</t>
  </si>
  <si>
    <t>ow2d10</t>
  </si>
  <si>
    <t>g7a9</t>
  </si>
  <si>
    <t>no tail, measured right instead of left foot&amp;hindlimb due to broken toe</t>
  </si>
  <si>
    <t>moimoi</t>
  </si>
  <si>
    <t>cayless</t>
  </si>
  <si>
    <t>cap</t>
  </si>
  <si>
    <t>Accel Present</t>
  </si>
  <si>
    <t>Accel Present 2</t>
  </si>
  <si>
    <t>Train D</t>
  </si>
  <si>
    <t xml:space="preserve">b - </t>
  </si>
  <si>
    <t>bulma</t>
  </si>
  <si>
    <t>AB9</t>
  </si>
  <si>
    <t>AB10</t>
  </si>
  <si>
    <t>BC10</t>
  </si>
  <si>
    <t xml:space="preserve">q </t>
  </si>
  <si>
    <t xml:space="preserve">wighton </t>
  </si>
  <si>
    <t>ce4</t>
  </si>
  <si>
    <t>b - release</t>
  </si>
  <si>
    <t>b - realease</t>
  </si>
  <si>
    <t>b - bulma</t>
  </si>
  <si>
    <t>beerus</t>
  </si>
  <si>
    <t>gallen</t>
  </si>
  <si>
    <t>sphynx</t>
  </si>
  <si>
    <t>grapes</t>
  </si>
  <si>
    <t xml:space="preserve">shillington </t>
  </si>
  <si>
    <t>g7c7</t>
  </si>
  <si>
    <t>weight recap 3</t>
  </si>
  <si>
    <t>bippity</t>
  </si>
  <si>
    <t>babidi</t>
  </si>
  <si>
    <t>BC9</t>
  </si>
  <si>
    <t>q - escape</t>
  </si>
  <si>
    <t>b  - release</t>
  </si>
  <si>
    <t>b - escape</t>
  </si>
  <si>
    <t xml:space="preserve">draft </t>
  </si>
  <si>
    <t>bastion</t>
  </si>
  <si>
    <t>brolly</t>
  </si>
  <si>
    <t>bourgeoisie</t>
  </si>
  <si>
    <t>g1a7</t>
  </si>
  <si>
    <t>g1a9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</si>
</sst>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800]dddd\,\ mmmm\ dd\,\ yyyy"/>
    <numFmt numFmtId="165" formatCode="d/mm/yyyy;@"/>
  </numFmts>
  <fonts count="23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2"/>
      <color theme="1"/>
      <name val="Calibri"/>
      <family val="2"/>
      <scheme val="minor"/>
    </font>
    <font>
      <b/>
      <sz val="10"/>
      <name val="Verdana"/>
      <family val="2"/>
    </font>
    <font>
      <b/>
      <sz val="12"/>
      <name val="Calibri"/>
      <family val="2"/>
    </font>
    <font>
      <i/>
      <sz val="12"/>
      <color theme="1"/>
      <name val="Calibri"/>
      <family val="2"/>
      <scheme val="minor"/>
    </font>
    <font>
      <sz val="10"/>
      <name val="Verdana"/>
      <family val="2"/>
    </font>
    <font>
      <sz val="12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indexed="8"/>
      <name val="Calibri"/>
      <family val="2"/>
    </font>
    <font>
      <u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12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06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NumberFormat="1"/>
    <xf numFmtId="49" fontId="0" fillId="0" borderId="0" xfId="0" applyNumberFormat="1"/>
    <xf numFmtId="0" fontId="1" fillId="0" borderId="3" xfId="0" applyFont="1" applyBorder="1" applyAlignment="1">
      <alignment horizontal="center"/>
    </xf>
    <xf numFmtId="0" fontId="7" fillId="0" borderId="0" xfId="0" applyFont="1"/>
    <xf numFmtId="0" fontId="1" fillId="0" borderId="8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2" fontId="1" fillId="0" borderId="4" xfId="0" applyNumberFormat="1" applyFont="1" applyBorder="1" applyAlignment="1">
      <alignment horizontal="center"/>
    </xf>
    <xf numFmtId="0" fontId="0" fillId="0" borderId="0" xfId="0" applyBorder="1"/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2" fontId="8" fillId="0" borderId="5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2" fontId="8" fillId="0" borderId="7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2" fontId="8" fillId="0" borderId="6" xfId="0" applyNumberFormat="1" applyFont="1" applyBorder="1" applyAlignment="1">
      <alignment horizontal="center"/>
    </xf>
    <xf numFmtId="2" fontId="0" fillId="0" borderId="8" xfId="0" applyNumberFormat="1" applyBorder="1"/>
    <xf numFmtId="0" fontId="6" fillId="0" borderId="13" xfId="0" applyFont="1" applyBorder="1"/>
    <xf numFmtId="0" fontId="8" fillId="0" borderId="11" xfId="0" applyFont="1" applyBorder="1"/>
    <xf numFmtId="0" fontId="8" fillId="0" borderId="12" xfId="0" applyFont="1" applyBorder="1"/>
    <xf numFmtId="1" fontId="8" fillId="0" borderId="12" xfId="0" applyNumberFormat="1" applyFont="1" applyBorder="1"/>
    <xf numFmtId="0" fontId="8" fillId="0" borderId="12" xfId="0" applyFont="1" applyFill="1" applyBorder="1"/>
    <xf numFmtId="0" fontId="6" fillId="0" borderId="0" xfId="0" applyFont="1"/>
    <xf numFmtId="0" fontId="1" fillId="0" borderId="4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0" fillId="0" borderId="9" xfId="0" applyBorder="1" applyAlignment="1">
      <alignment horizontal="right"/>
    </xf>
    <xf numFmtId="16" fontId="0" fillId="0" borderId="9" xfId="0" applyNumberFormat="1" applyBorder="1" applyAlignment="1">
      <alignment horizontal="right"/>
    </xf>
    <xf numFmtId="0" fontId="0" fillId="0" borderId="0" xfId="0" applyFill="1" applyBorder="1"/>
    <xf numFmtId="2" fontId="0" fillId="0" borderId="0" xfId="0" applyNumberFormat="1"/>
    <xf numFmtId="2" fontId="0" fillId="0" borderId="0" xfId="0" applyNumberFormat="1" applyFill="1" applyBorder="1"/>
    <xf numFmtId="17" fontId="0" fillId="0" borderId="0" xfId="0" applyNumberFormat="1"/>
    <xf numFmtId="0" fontId="9" fillId="0" borderId="0" xfId="0" applyFont="1"/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0" fillId="0" borderId="0" xfId="0" applyNumberFormat="1" applyBorder="1"/>
    <xf numFmtId="0" fontId="1" fillId="0" borderId="0" xfId="0" applyNumberFormat="1" applyFont="1" applyAlignment="1">
      <alignment horizontal="center"/>
    </xf>
    <xf numFmtId="0" fontId="1" fillId="0" borderId="8" xfId="0" applyNumberFormat="1" applyFont="1" applyBorder="1" applyAlignment="1">
      <alignment horizontal="center"/>
    </xf>
    <xf numFmtId="0" fontId="1" fillId="0" borderId="4" xfId="0" applyNumberFormat="1" applyFont="1" applyBorder="1" applyAlignment="1">
      <alignment horizontal="right"/>
    </xf>
    <xf numFmtId="0" fontId="1" fillId="0" borderId="4" xfId="0" applyNumberFormat="1" applyFont="1" applyBorder="1" applyAlignment="1">
      <alignment horizontal="center"/>
    </xf>
    <xf numFmtId="0" fontId="1" fillId="0" borderId="2" xfId="0" applyNumberFormat="1" applyFont="1" applyBorder="1" applyAlignment="1">
      <alignment horizontal="left"/>
    </xf>
    <xf numFmtId="0" fontId="1" fillId="0" borderId="2" xfId="0" applyNumberFormat="1" applyFont="1" applyBorder="1" applyAlignment="1">
      <alignment horizontal="center"/>
    </xf>
    <xf numFmtId="0" fontId="1" fillId="0" borderId="4" xfId="0" applyNumberFormat="1" applyFont="1" applyBorder="1" applyAlignment="1">
      <alignment horizontal="left"/>
    </xf>
    <xf numFmtId="0" fontId="1" fillId="0" borderId="3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6" xfId="0" applyNumberFormat="1" applyFont="1" applyBorder="1" applyAlignment="1">
      <alignment horizontal="center"/>
    </xf>
    <xf numFmtId="0" fontId="8" fillId="0" borderId="7" xfId="0" applyNumberFormat="1" applyFont="1" applyBorder="1" applyAlignment="1">
      <alignment horizontal="right"/>
    </xf>
    <xf numFmtId="0" fontId="8" fillId="0" borderId="7" xfId="0" applyNumberFormat="1" applyFont="1" applyBorder="1" applyAlignment="1">
      <alignment horizontal="center"/>
    </xf>
    <xf numFmtId="0" fontId="1" fillId="0" borderId="5" xfId="0" applyNumberFormat="1" applyFont="1" applyBorder="1" applyAlignment="1">
      <alignment horizontal="center"/>
    </xf>
    <xf numFmtId="0" fontId="0" fillId="0" borderId="8" xfId="0" applyNumberFormat="1" applyBorder="1"/>
    <xf numFmtId="0" fontId="0" fillId="0" borderId="9" xfId="0" applyNumberFormat="1" applyBorder="1" applyAlignment="1">
      <alignment horizontal="right"/>
    </xf>
    <xf numFmtId="0" fontId="0" fillId="0" borderId="9" xfId="0" applyNumberFormat="1" applyBorder="1"/>
    <xf numFmtId="0" fontId="0" fillId="0" borderId="0" xfId="0" applyNumberFormat="1" applyFill="1" applyBorder="1"/>
    <xf numFmtId="0" fontId="0" fillId="0" borderId="0" xfId="0" applyNumberFormat="1" applyBorder="1"/>
    <xf numFmtId="0" fontId="0" fillId="0" borderId="0" xfId="0" applyNumberFormat="1" applyFill="1" applyBorder="1" applyAlignment="1">
      <alignment horizontal="left"/>
    </xf>
    <xf numFmtId="0" fontId="0" fillId="0" borderId="8" xfId="0" applyNumberFormat="1" applyBorder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NumberFormat="1" applyBorder="1" applyAlignment="1">
      <alignment horizontal="left"/>
    </xf>
    <xf numFmtId="0" fontId="0" fillId="0" borderId="0" xfId="0" applyNumberFormat="1" applyAlignment="1">
      <alignment horizontal="right"/>
    </xf>
    <xf numFmtId="2" fontId="0" fillId="0" borderId="0" xfId="0" applyNumberFormat="1" applyFill="1" applyBorder="1" applyAlignment="1">
      <alignment horizontal="right"/>
    </xf>
    <xf numFmtId="2" fontId="0" fillId="0" borderId="8" xfId="0" applyNumberFormat="1" applyBorder="1" applyAlignment="1">
      <alignment horizontal="right"/>
    </xf>
    <xf numFmtId="2" fontId="2" fillId="0" borderId="0" xfId="0" applyNumberFormat="1" applyFont="1" applyBorder="1" applyAlignment="1">
      <alignment horizontal="right"/>
    </xf>
    <xf numFmtId="2" fontId="2" fillId="0" borderId="0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 applyBorder="1" applyAlignment="1">
      <alignment horizontal="right"/>
    </xf>
    <xf numFmtId="2" fontId="0" fillId="0" borderId="10" xfId="0" applyNumberFormat="1" applyBorder="1" applyAlignment="1">
      <alignment horizontal="right"/>
    </xf>
    <xf numFmtId="0" fontId="1" fillId="0" borderId="6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right"/>
    </xf>
    <xf numFmtId="49" fontId="8" fillId="0" borderId="7" xfId="0" applyNumberFormat="1" applyFont="1" applyBorder="1" applyAlignment="1">
      <alignment horizontal="right"/>
    </xf>
    <xf numFmtId="49" fontId="0" fillId="0" borderId="9" xfId="0" applyNumberFormat="1" applyBorder="1" applyAlignment="1">
      <alignment horizontal="right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1" fillId="0" borderId="8" xfId="0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2" fontId="1" fillId="0" borderId="4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1" fontId="8" fillId="0" borderId="5" xfId="0" applyNumberFormat="1" applyFont="1" applyBorder="1" applyAlignment="1">
      <alignment horizontal="left"/>
    </xf>
    <xf numFmtId="0" fontId="8" fillId="0" borderId="6" xfId="0" applyFont="1" applyBorder="1" applyAlignment="1">
      <alignment horizontal="left"/>
    </xf>
    <xf numFmtId="49" fontId="8" fillId="0" borderId="7" xfId="0" applyNumberFormat="1" applyFont="1" applyBorder="1" applyAlignment="1">
      <alignment horizontal="left"/>
    </xf>
    <xf numFmtId="0" fontId="8" fillId="0" borderId="7" xfId="0" applyFont="1" applyBorder="1" applyAlignment="1">
      <alignment horizontal="left"/>
    </xf>
    <xf numFmtId="2" fontId="8" fillId="0" borderId="6" xfId="0" applyNumberFormat="1" applyFont="1" applyBorder="1" applyAlignment="1">
      <alignment horizontal="left"/>
    </xf>
    <xf numFmtId="2" fontId="8" fillId="0" borderId="5" xfId="0" applyNumberFormat="1" applyFont="1" applyBorder="1" applyAlignment="1">
      <alignment horizontal="left"/>
    </xf>
    <xf numFmtId="2" fontId="8" fillId="0" borderId="7" xfId="0" applyNumberFormat="1" applyFont="1" applyBorder="1" applyAlignment="1">
      <alignment horizontal="left"/>
    </xf>
    <xf numFmtId="0" fontId="1" fillId="0" borderId="5" xfId="0" applyFont="1" applyBorder="1" applyAlignment="1">
      <alignment horizontal="left"/>
    </xf>
    <xf numFmtId="2" fontId="2" fillId="0" borderId="8" xfId="0" applyNumberFormat="1" applyFont="1" applyBorder="1" applyAlignment="1">
      <alignment horizontal="right"/>
    </xf>
    <xf numFmtId="0" fontId="0" fillId="0" borderId="0" xfId="0" quotePrefix="1"/>
    <xf numFmtId="0" fontId="1" fillId="0" borderId="2" xfId="0" applyFont="1" applyBorder="1" applyAlignment="1">
      <alignment horizontal="center"/>
    </xf>
    <xf numFmtId="0" fontId="1" fillId="0" borderId="2" xfId="0" applyNumberFormat="1" applyFont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right"/>
    </xf>
    <xf numFmtId="0" fontId="0" fillId="0" borderId="0" xfId="0" applyFill="1"/>
    <xf numFmtId="14" fontId="0" fillId="0" borderId="0" xfId="0" applyNumberFormat="1"/>
    <xf numFmtId="0" fontId="1" fillId="0" borderId="2" xfId="0" applyNumberFormat="1" applyFont="1" applyBorder="1" applyAlignment="1">
      <alignment horizontal="center"/>
    </xf>
    <xf numFmtId="0" fontId="0" fillId="2" borderId="0" xfId="0" applyFill="1"/>
    <xf numFmtId="0" fontId="0" fillId="2" borderId="0" xfId="0" applyNumberFormat="1" applyFill="1"/>
    <xf numFmtId="0" fontId="0" fillId="2" borderId="8" xfId="0" applyFill="1" applyBorder="1"/>
    <xf numFmtId="0" fontId="0" fillId="2" borderId="9" xfId="0" applyFill="1" applyBorder="1"/>
    <xf numFmtId="2" fontId="0" fillId="2" borderId="8" xfId="0" applyNumberFormat="1" applyFill="1" applyBorder="1"/>
    <xf numFmtId="2" fontId="0" fillId="2" borderId="0" xfId="0" applyNumberFormat="1" applyFill="1"/>
    <xf numFmtId="2" fontId="0" fillId="2" borderId="0" xfId="0" applyNumberFormat="1" applyFill="1" applyBorder="1"/>
    <xf numFmtId="0" fontId="0" fillId="2" borderId="0" xfId="0" applyFill="1" applyBorder="1"/>
    <xf numFmtId="0" fontId="0" fillId="0" borderId="0" xfId="0" applyNumberFormat="1" applyAlignment="1">
      <alignment horizontal="left" indent="2"/>
    </xf>
    <xf numFmtId="0" fontId="0" fillId="0" borderId="0" xfId="0" applyFont="1"/>
    <xf numFmtId="0" fontId="0" fillId="0" borderId="9" xfId="0" applyFill="1" applyBorder="1" applyAlignment="1">
      <alignment horizontal="right"/>
    </xf>
    <xf numFmtId="0" fontId="0" fillId="3" borderId="0" xfId="0" applyFill="1"/>
    <xf numFmtId="0" fontId="13" fillId="4" borderId="0" xfId="171" applyFont="1" applyFill="1"/>
    <xf numFmtId="0" fontId="1" fillId="0" borderId="2" xfId="0" applyNumberFormat="1" applyFont="1" applyBorder="1" applyAlignment="1">
      <alignment horizontal="center"/>
    </xf>
    <xf numFmtId="0" fontId="1" fillId="0" borderId="8" xfId="0" applyNumberFormat="1" applyFont="1" applyBorder="1" applyAlignment="1">
      <alignment horizontal="center"/>
    </xf>
    <xf numFmtId="14" fontId="0" fillId="0" borderId="0" xfId="0" applyNumberFormat="1" applyFont="1"/>
    <xf numFmtId="0" fontId="0" fillId="0" borderId="8" xfId="0" applyFont="1" applyBorder="1"/>
    <xf numFmtId="49" fontId="0" fillId="0" borderId="9" xfId="0" applyNumberFormat="1" applyFont="1" applyBorder="1" applyAlignment="1">
      <alignment horizontal="right"/>
    </xf>
    <xf numFmtId="0" fontId="0" fillId="0" borderId="9" xfId="0" applyFont="1" applyBorder="1"/>
    <xf numFmtId="2" fontId="0" fillId="0" borderId="0" xfId="0" applyNumberFormat="1" applyFont="1"/>
    <xf numFmtId="2" fontId="0" fillId="0" borderId="0" xfId="0" applyNumberFormat="1" applyFont="1" applyFill="1" applyBorder="1"/>
    <xf numFmtId="0" fontId="0" fillId="0" borderId="0" xfId="0" applyFont="1" applyBorder="1"/>
    <xf numFmtId="0" fontId="0" fillId="0" borderId="0" xfId="0" applyFont="1" applyFill="1" applyBorder="1"/>
    <xf numFmtId="14" fontId="6" fillId="0" borderId="0" xfId="0" applyNumberFormat="1" applyFont="1"/>
    <xf numFmtId="0" fontId="0" fillId="6" borderId="0" xfId="0" applyFill="1"/>
    <xf numFmtId="0" fontId="6" fillId="6" borderId="0" xfId="0" applyFont="1" applyFill="1"/>
    <xf numFmtId="0" fontId="14" fillId="2" borderId="0" xfId="0" applyFont="1" applyFill="1"/>
    <xf numFmtId="2" fontId="14" fillId="2" borderId="8" xfId="0" applyNumberFormat="1" applyFont="1" applyFill="1" applyBorder="1"/>
    <xf numFmtId="0" fontId="0" fillId="6" borderId="8" xfId="0" applyFill="1" applyBorder="1"/>
    <xf numFmtId="0" fontId="0" fillId="6" borderId="9" xfId="0" applyFill="1" applyBorder="1"/>
    <xf numFmtId="2" fontId="0" fillId="6" borderId="8" xfId="0" applyNumberFormat="1" applyFill="1" applyBorder="1"/>
    <xf numFmtId="2" fontId="0" fillId="6" borderId="0" xfId="0" applyNumberFormat="1" applyFill="1"/>
    <xf numFmtId="2" fontId="0" fillId="6" borderId="0" xfId="0" applyNumberFormat="1" applyFill="1" applyBorder="1"/>
    <xf numFmtId="0" fontId="0" fillId="6" borderId="0" xfId="0" applyFill="1" applyBorder="1"/>
    <xf numFmtId="0" fontId="0" fillId="0" borderId="8" xfId="0" applyFill="1" applyBorder="1"/>
    <xf numFmtId="49" fontId="0" fillId="0" borderId="9" xfId="0" applyNumberFormat="1" applyFill="1" applyBorder="1" applyAlignment="1">
      <alignment horizontal="right"/>
    </xf>
    <xf numFmtId="0" fontId="0" fillId="0" borderId="9" xfId="0" applyFill="1" applyBorder="1"/>
    <xf numFmtId="2" fontId="0" fillId="0" borderId="8" xfId="0" applyNumberFormat="1" applyFill="1" applyBorder="1"/>
    <xf numFmtId="2" fontId="0" fillId="0" borderId="0" xfId="0" applyNumberFormat="1" applyFill="1"/>
    <xf numFmtId="14" fontId="0" fillId="2" borderId="0" xfId="0" applyNumberFormat="1" applyFill="1"/>
    <xf numFmtId="0" fontId="16" fillId="0" borderId="0" xfId="0" applyFont="1"/>
    <xf numFmtId="14" fontId="16" fillId="0" borderId="0" xfId="0" applyNumberFormat="1" applyFont="1"/>
    <xf numFmtId="0" fontId="11" fillId="0" borderId="0" xfId="0" applyFont="1"/>
    <xf numFmtId="1" fontId="1" fillId="0" borderId="4" xfId="0" applyNumberFormat="1" applyFont="1" applyBorder="1" applyAlignment="1">
      <alignment horizontal="right"/>
    </xf>
    <xf numFmtId="1" fontId="8" fillId="0" borderId="7" xfId="0" applyNumberFormat="1" applyFont="1" applyBorder="1" applyAlignment="1">
      <alignment horizontal="right"/>
    </xf>
    <xf numFmtId="1" fontId="0" fillId="0" borderId="9" xfId="0" applyNumberFormat="1" applyBorder="1" applyAlignment="1">
      <alignment horizontal="right"/>
    </xf>
    <xf numFmtId="1" fontId="0" fillId="2" borderId="9" xfId="0" applyNumberFormat="1" applyFill="1" applyBorder="1" applyAlignment="1">
      <alignment horizontal="right"/>
    </xf>
    <xf numFmtId="1" fontId="0" fillId="6" borderId="9" xfId="0" applyNumberFormat="1" applyFill="1" applyBorder="1" applyAlignment="1">
      <alignment horizontal="right"/>
    </xf>
    <xf numFmtId="1" fontId="0" fillId="0" borderId="9" xfId="0" applyNumberFormat="1" applyFill="1" applyBorder="1" applyAlignment="1">
      <alignment horizontal="right"/>
    </xf>
    <xf numFmtId="1" fontId="0" fillId="0" borderId="9" xfId="0" applyNumberFormat="1" applyBorder="1"/>
    <xf numFmtId="0" fontId="1" fillId="0" borderId="3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center"/>
    </xf>
    <xf numFmtId="49" fontId="8" fillId="0" borderId="5" xfId="0" applyNumberFormat="1" applyFont="1" applyBorder="1" applyAlignment="1">
      <alignment horizontal="center"/>
    </xf>
    <xf numFmtId="49" fontId="0" fillId="0" borderId="0" xfId="0" applyNumberFormat="1" applyAlignment="1">
      <alignment horizontal="right"/>
    </xf>
    <xf numFmtId="49" fontId="0" fillId="2" borderId="0" xfId="0" applyNumberFormat="1" applyFill="1"/>
    <xf numFmtId="49" fontId="0" fillId="6" borderId="0" xfId="0" applyNumberFormat="1" applyFill="1"/>
    <xf numFmtId="0" fontId="14" fillId="0" borderId="0" xfId="0" applyFont="1"/>
    <xf numFmtId="14" fontId="14" fillId="0" borderId="0" xfId="0" applyNumberFormat="1" applyFont="1"/>
    <xf numFmtId="0" fontId="14" fillId="0" borderId="8" xfId="0" applyFont="1" applyBorder="1"/>
    <xf numFmtId="0" fontId="14" fillId="0" borderId="9" xfId="0" applyFont="1" applyBorder="1" applyAlignment="1">
      <alignment horizontal="right"/>
    </xf>
    <xf numFmtId="0" fontId="14" fillId="0" borderId="9" xfId="0" applyFont="1" applyBorder="1"/>
    <xf numFmtId="0" fontId="14" fillId="0" borderId="0" xfId="0" applyFont="1" applyFill="1" applyBorder="1"/>
    <xf numFmtId="2" fontId="14" fillId="0" borderId="0" xfId="0" applyNumberFormat="1" applyFont="1"/>
    <xf numFmtId="2" fontId="14" fillId="0" borderId="0" xfId="0" applyNumberFormat="1" applyFont="1" applyFill="1" applyBorder="1"/>
    <xf numFmtId="0" fontId="14" fillId="0" borderId="0" xfId="0" applyFont="1" applyBorder="1"/>
    <xf numFmtId="0" fontId="17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0" fillId="7" borderId="0" xfId="0" applyFill="1"/>
    <xf numFmtId="0" fontId="0" fillId="7" borderId="0" xfId="0" applyFont="1" applyFill="1"/>
    <xf numFmtId="0" fontId="0" fillId="7" borderId="8" xfId="0" applyFill="1" applyBorder="1"/>
    <xf numFmtId="0" fontId="0" fillId="7" borderId="9" xfId="0" applyFill="1" applyBorder="1"/>
    <xf numFmtId="2" fontId="0" fillId="7" borderId="8" xfId="0" applyNumberFormat="1" applyFill="1" applyBorder="1"/>
    <xf numFmtId="2" fontId="0" fillId="7" borderId="0" xfId="0" applyNumberFormat="1" applyFill="1"/>
    <xf numFmtId="0" fontId="0" fillId="7" borderId="0" xfId="0" applyFill="1" applyBorder="1"/>
    <xf numFmtId="0" fontId="0" fillId="8" borderId="0" xfId="0" applyFill="1"/>
    <xf numFmtId="0" fontId="0" fillId="8" borderId="8" xfId="0" applyFill="1" applyBorder="1"/>
    <xf numFmtId="0" fontId="0" fillId="8" borderId="9" xfId="0" applyFill="1" applyBorder="1" applyAlignment="1">
      <alignment horizontal="right"/>
    </xf>
    <xf numFmtId="0" fontId="0" fillId="8" borderId="9" xfId="0" applyFill="1" applyBorder="1"/>
    <xf numFmtId="2" fontId="0" fillId="8" borderId="8" xfId="0" applyNumberFormat="1" applyFill="1" applyBorder="1"/>
    <xf numFmtId="2" fontId="0" fillId="8" borderId="0" xfId="0" applyNumberFormat="1" applyFill="1"/>
    <xf numFmtId="0" fontId="0" fillId="8" borderId="0" xfId="0" applyFill="1" applyBorder="1"/>
    <xf numFmtId="0" fontId="6" fillId="8" borderId="0" xfId="0" applyFont="1" applyFill="1"/>
    <xf numFmtId="0" fontId="0" fillId="8" borderId="0" xfId="0" applyFont="1" applyFill="1"/>
    <xf numFmtId="0" fontId="6" fillId="9" borderId="0" xfId="0" applyFont="1" applyFill="1"/>
    <xf numFmtId="0" fontId="0" fillId="9" borderId="0" xfId="0" applyFont="1" applyFill="1"/>
    <xf numFmtId="0" fontId="6" fillId="9" borderId="8" xfId="0" applyFont="1" applyFill="1" applyBorder="1"/>
    <xf numFmtId="0" fontId="6" fillId="9" borderId="9" xfId="0" applyFont="1" applyFill="1" applyBorder="1" applyAlignment="1">
      <alignment horizontal="right"/>
    </xf>
    <xf numFmtId="0" fontId="6" fillId="9" borderId="9" xfId="0" applyFont="1" applyFill="1" applyBorder="1"/>
    <xf numFmtId="0" fontId="0" fillId="9" borderId="8" xfId="0" applyFill="1" applyBorder="1"/>
    <xf numFmtId="2" fontId="6" fillId="9" borderId="8" xfId="0" applyNumberFormat="1" applyFont="1" applyFill="1" applyBorder="1"/>
    <xf numFmtId="2" fontId="6" fillId="9" borderId="0" xfId="0" applyNumberFormat="1" applyFont="1" applyFill="1"/>
    <xf numFmtId="0" fontId="6" fillId="9" borderId="0" xfId="0" applyFont="1" applyFill="1" applyBorder="1"/>
    <xf numFmtId="0" fontId="8" fillId="9" borderId="0" xfId="0" applyFont="1" applyFill="1" applyBorder="1" applyAlignment="1">
      <alignment horizontal="left"/>
    </xf>
    <xf numFmtId="0" fontId="2" fillId="9" borderId="0" xfId="0" applyFont="1" applyFill="1" applyBorder="1" applyAlignment="1">
      <alignment horizontal="center"/>
    </xf>
    <xf numFmtId="0" fontId="8" fillId="9" borderId="0" xfId="0" applyFont="1" applyFill="1" applyBorder="1" applyAlignment="1">
      <alignment horizontal="center"/>
    </xf>
    <xf numFmtId="1" fontId="8" fillId="9" borderId="0" xfId="0" applyNumberFormat="1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right"/>
    </xf>
    <xf numFmtId="0" fontId="8" fillId="9" borderId="9" xfId="0" applyFont="1" applyFill="1" applyBorder="1" applyAlignment="1">
      <alignment horizontal="center"/>
    </xf>
    <xf numFmtId="2" fontId="8" fillId="9" borderId="8" xfId="0" applyNumberFormat="1" applyFont="1" applyFill="1" applyBorder="1" applyAlignment="1">
      <alignment horizontal="center"/>
    </xf>
    <xf numFmtId="2" fontId="8" fillId="9" borderId="0" xfId="0" applyNumberFormat="1" applyFont="1" applyFill="1" applyBorder="1" applyAlignment="1">
      <alignment horizontal="center"/>
    </xf>
    <xf numFmtId="2" fontId="8" fillId="9" borderId="9" xfId="0" applyNumberFormat="1" applyFont="1" applyFill="1" applyBorder="1" applyAlignment="1">
      <alignment horizontal="center"/>
    </xf>
    <xf numFmtId="0" fontId="1" fillId="9" borderId="0" xfId="0" applyFont="1" applyFill="1" applyBorder="1" applyAlignment="1">
      <alignment horizontal="center"/>
    </xf>
    <xf numFmtId="14" fontId="0" fillId="7" borderId="0" xfId="0" applyNumberFormat="1" applyFill="1"/>
    <xf numFmtId="0" fontId="0" fillId="9" borderId="0" xfId="0" applyFill="1"/>
    <xf numFmtId="0" fontId="0" fillId="9" borderId="9" xfId="0" applyFill="1" applyBorder="1" applyAlignment="1">
      <alignment horizontal="right"/>
    </xf>
    <xf numFmtId="0" fontId="0" fillId="9" borderId="9" xfId="0" applyFill="1" applyBorder="1"/>
    <xf numFmtId="2" fontId="0" fillId="9" borderId="8" xfId="0" applyNumberFormat="1" applyFill="1" applyBorder="1"/>
    <xf numFmtId="2" fontId="0" fillId="9" borderId="0" xfId="0" applyNumberFormat="1" applyFill="1"/>
    <xf numFmtId="0" fontId="0" fillId="9" borderId="0" xfId="0" applyFill="1" applyBorder="1"/>
    <xf numFmtId="0" fontId="14" fillId="0" borderId="0" xfId="0" applyFont="1" applyFill="1"/>
    <xf numFmtId="0" fontId="7" fillId="8" borderId="0" xfId="0" applyFont="1" applyFill="1"/>
    <xf numFmtId="0" fontId="10" fillId="8" borderId="0" xfId="0" applyFont="1" applyFill="1"/>
    <xf numFmtId="14" fontId="0" fillId="8" borderId="0" xfId="0" applyNumberFormat="1" applyFill="1"/>
    <xf numFmtId="2" fontId="0" fillId="8" borderId="0" xfId="0" applyNumberFormat="1" applyFill="1" applyBorder="1"/>
    <xf numFmtId="2" fontId="11" fillId="0" borderId="8" xfId="0" applyNumberFormat="1" applyFont="1" applyBorder="1"/>
    <xf numFmtId="0" fontId="6" fillId="8" borderId="8" xfId="0" applyFont="1" applyFill="1" applyBorder="1"/>
    <xf numFmtId="49" fontId="6" fillId="8" borderId="9" xfId="0" applyNumberFormat="1" applyFont="1" applyFill="1" applyBorder="1" applyAlignment="1">
      <alignment horizontal="right"/>
    </xf>
    <xf numFmtId="0" fontId="6" fillId="8" borderId="9" xfId="0" applyFont="1" applyFill="1" applyBorder="1"/>
    <xf numFmtId="2" fontId="6" fillId="8" borderId="8" xfId="0" applyNumberFormat="1" applyFont="1" applyFill="1" applyBorder="1"/>
    <xf numFmtId="2" fontId="6" fillId="8" borderId="0" xfId="0" applyNumberFormat="1" applyFont="1" applyFill="1"/>
    <xf numFmtId="2" fontId="6" fillId="8" borderId="0" xfId="0" applyNumberFormat="1" applyFont="1" applyFill="1" applyBorder="1"/>
    <xf numFmtId="0" fontId="6" fillId="8" borderId="0" xfId="0" applyFont="1" applyFill="1" applyBorder="1"/>
    <xf numFmtId="0" fontId="11" fillId="0" borderId="0" xfId="0" applyFont="1" applyFill="1" applyBorder="1"/>
    <xf numFmtId="49" fontId="0" fillId="8" borderId="9" xfId="0" applyNumberFormat="1" applyFill="1" applyBorder="1" applyAlignment="1">
      <alignment horizontal="right"/>
    </xf>
    <xf numFmtId="0" fontId="14" fillId="8" borderId="0" xfId="0" applyFont="1" applyFill="1"/>
    <xf numFmtId="0" fontId="14" fillId="8" borderId="8" xfId="0" applyFont="1" applyFill="1" applyBorder="1"/>
    <xf numFmtId="49" fontId="14" fillId="8" borderId="9" xfId="0" applyNumberFormat="1" applyFont="1" applyFill="1" applyBorder="1" applyAlignment="1">
      <alignment horizontal="right"/>
    </xf>
    <xf numFmtId="0" fontId="14" fillId="8" borderId="9" xfId="0" applyFont="1" applyFill="1" applyBorder="1"/>
    <xf numFmtId="2" fontId="14" fillId="8" borderId="8" xfId="0" applyNumberFormat="1" applyFont="1" applyFill="1" applyBorder="1"/>
    <xf numFmtId="2" fontId="14" fillId="8" borderId="0" xfId="0" applyNumberFormat="1" applyFont="1" applyFill="1"/>
    <xf numFmtId="0" fontId="14" fillId="8" borderId="0" xfId="0" applyFont="1" applyFill="1" applyBorder="1"/>
    <xf numFmtId="0" fontId="7" fillId="8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6" fillId="8" borderId="0" xfId="0" applyFont="1" applyFill="1" applyAlignment="1">
      <alignment horizontal="left"/>
    </xf>
    <xf numFmtId="9" fontId="6" fillId="8" borderId="0" xfId="0" applyNumberFormat="1" applyFont="1" applyFill="1"/>
    <xf numFmtId="0" fontId="10" fillId="7" borderId="0" xfId="0" applyFont="1" applyFill="1"/>
    <xf numFmtId="2" fontId="0" fillId="7" borderId="0" xfId="0" applyNumberFormat="1" applyFill="1" applyBorder="1"/>
    <xf numFmtId="0" fontId="8" fillId="0" borderId="5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10" xfId="0" applyNumberFormat="1" applyFont="1" applyBorder="1" applyAlignment="1"/>
    <xf numFmtId="0" fontId="2" fillId="0" borderId="0" xfId="0" applyNumberFormat="1" applyFont="1" applyBorder="1" applyAlignment="1"/>
    <xf numFmtId="0" fontId="2" fillId="0" borderId="0" xfId="0" applyNumberFormat="1" applyFont="1" applyFill="1" applyBorder="1" applyAlignment="1"/>
    <xf numFmtId="0" fontId="0" fillId="0" borderId="10" xfId="0" applyBorder="1"/>
    <xf numFmtId="0" fontId="18" fillId="0" borderId="0" xfId="0" applyFont="1" applyBorder="1"/>
    <xf numFmtId="49" fontId="0" fillId="0" borderId="0" xfId="0" applyNumberFormat="1" applyAlignment="1">
      <alignment horizontal="center"/>
    </xf>
    <xf numFmtId="49" fontId="10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4" fontId="11" fillId="0" borderId="0" xfId="0" applyNumberFormat="1" applyFont="1"/>
    <xf numFmtId="2" fontId="0" fillId="0" borderId="8" xfId="0" applyNumberFormat="1" applyFont="1" applyBorder="1"/>
    <xf numFmtId="0" fontId="19" fillId="0" borderId="0" xfId="0" applyFont="1"/>
    <xf numFmtId="0" fontId="10" fillId="0" borderId="0" xfId="0" applyFont="1" applyBorder="1"/>
    <xf numFmtId="49" fontId="0" fillId="0" borderId="0" xfId="0" applyNumberFormat="1" applyFont="1" applyBorder="1" applyAlignment="1">
      <alignment horizontal="center"/>
    </xf>
    <xf numFmtId="14" fontId="0" fillId="0" borderId="0" xfId="0" applyNumberFormat="1" applyBorder="1"/>
    <xf numFmtId="0" fontId="10" fillId="0" borderId="9" xfId="0" applyFont="1" applyBorder="1"/>
    <xf numFmtId="49" fontId="0" fillId="0" borderId="0" xfId="0" applyNumberFormat="1" applyBorder="1" applyAlignment="1">
      <alignment horizontal="center"/>
    </xf>
    <xf numFmtId="0" fontId="10" fillId="0" borderId="0" xfId="0" applyFont="1" applyFill="1" applyBorder="1"/>
    <xf numFmtId="0" fontId="0" fillId="0" borderId="0" xfId="0" applyFill="1" applyAlignment="1">
      <alignment horizontal="center"/>
    </xf>
    <xf numFmtId="14" fontId="0" fillId="0" borderId="0" xfId="0" applyNumberFormat="1" applyFill="1"/>
    <xf numFmtId="0" fontId="0" fillId="0" borderId="0" xfId="0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NumberFormat="1" applyBorder="1" applyAlignment="1">
      <alignment horizontal="center"/>
    </xf>
    <xf numFmtId="0" fontId="11" fillId="0" borderId="8" xfId="0" applyFont="1" applyBorder="1"/>
    <xf numFmtId="49" fontId="0" fillId="7" borderId="0" xfId="0" applyNumberFormat="1" applyFill="1"/>
    <xf numFmtId="1" fontId="0" fillId="7" borderId="9" xfId="0" applyNumberFormat="1" applyFill="1" applyBorder="1" applyAlignment="1">
      <alignment horizontal="right"/>
    </xf>
    <xf numFmtId="0" fontId="6" fillId="0" borderId="0" xfId="0" applyFont="1" applyFill="1"/>
    <xf numFmtId="49" fontId="0" fillId="0" borderId="0" xfId="0" applyNumberFormat="1" applyFill="1"/>
    <xf numFmtId="49" fontId="0" fillId="8" borderId="0" xfId="0" applyNumberFormat="1" applyFill="1"/>
    <xf numFmtId="1" fontId="0" fillId="8" borderId="9" xfId="0" applyNumberFormat="1" applyFill="1" applyBorder="1" applyAlignment="1">
      <alignment horizontal="right"/>
    </xf>
    <xf numFmtId="164" fontId="0" fillId="7" borderId="0" xfId="0" applyNumberFormat="1" applyFill="1"/>
    <xf numFmtId="165" fontId="0" fillId="7" borderId="0" xfId="0" applyNumberFormat="1" applyFill="1"/>
    <xf numFmtId="0" fontId="6" fillId="8" borderId="9" xfId="0" applyFont="1" applyFill="1" applyBorder="1" applyAlignment="1">
      <alignment horizontal="right"/>
    </xf>
    <xf numFmtId="2" fontId="20" fillId="0" borderId="5" xfId="0" applyNumberFormat="1" applyFont="1" applyBorder="1" applyAlignment="1">
      <alignment horizontal="center"/>
    </xf>
    <xf numFmtId="2" fontId="20" fillId="0" borderId="6" xfId="0" applyNumberFormat="1" applyFont="1" applyBorder="1" applyAlignment="1">
      <alignment horizontal="center"/>
    </xf>
    <xf numFmtId="20" fontId="0" fillId="0" borderId="0" xfId="0" applyNumberFormat="1"/>
    <xf numFmtId="49" fontId="10" fillId="0" borderId="0" xfId="0" applyNumberFormat="1" applyFont="1"/>
    <xf numFmtId="0" fontId="10" fillId="0" borderId="0" xfId="0" applyNumberFormat="1" applyFont="1" applyFill="1" applyBorder="1"/>
    <xf numFmtId="0" fontId="0" fillId="0" borderId="0" xfId="0" applyNumberFormat="1" applyFont="1" applyFill="1" applyBorder="1"/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1" fillId="0" borderId="10" xfId="0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center"/>
    </xf>
    <xf numFmtId="0" fontId="1" fillId="0" borderId="8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2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2" fontId="1" fillId="0" borderId="2" xfId="0" applyNumberFormat="1" applyFont="1" applyBorder="1" applyAlignment="1">
      <alignment horizontal="left"/>
    </xf>
    <xf numFmtId="2" fontId="1" fillId="0" borderId="3" xfId="0" applyNumberFormat="1" applyFont="1" applyBorder="1" applyAlignment="1">
      <alignment horizontal="left"/>
    </xf>
  </cellXfs>
  <cellStyles count="312">
    <cellStyle name="Bad" xfId="171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69"/>
  <sheetViews>
    <sheetView zoomScale="90" zoomScaleNormal="90" zoomScalePageLayoutView="80" workbookViewId="0">
      <pane xSplit="2" ySplit="2" topLeftCell="BA235" activePane="bottomRight" state="frozen"/>
      <selection pane="topRight" activeCell="C1" sqref="C1"/>
      <selection pane="bottomLeft" activeCell="A3" sqref="A3"/>
      <selection pane="bottomRight" activeCell="BP269" sqref="BP269"/>
    </sheetView>
  </sheetViews>
  <sheetFormatPr defaultColWidth="10.125" defaultRowHeight="15.75" x14ac:dyDescent="0.25"/>
  <cols>
    <col min="1" max="1" width="23.125" bestFit="1" customWidth="1"/>
    <col min="2" max="2" width="18.625" style="111" bestFit="1" customWidth="1"/>
    <col min="3" max="3" width="10.5" bestFit="1" customWidth="1"/>
    <col min="4" max="4" width="9.5" bestFit="1" customWidth="1"/>
    <col min="5" max="5" width="10" bestFit="1" customWidth="1"/>
    <col min="6" max="6" width="11.875" hidden="1" customWidth="1"/>
    <col min="7" max="7" width="6.5" hidden="1" customWidth="1"/>
    <col min="8" max="8" width="16.625" customWidth="1"/>
    <col min="9" max="9" width="8" bestFit="1" customWidth="1"/>
    <col min="10" max="10" width="7.125" style="9" hidden="1" customWidth="1"/>
    <col min="11" max="11" width="8.125" style="33" bestFit="1" customWidth="1"/>
    <col min="12" max="12" width="6.875" style="10" bestFit="1" customWidth="1"/>
    <col min="13" max="13" width="13.125" bestFit="1" customWidth="1"/>
    <col min="14" max="14" width="4.375" bestFit="1" customWidth="1"/>
    <col min="15" max="15" width="8" style="9" customWidth="1"/>
    <col min="16" max="17" width="11.625" bestFit="1" customWidth="1"/>
    <col min="18" max="18" width="11.625" customWidth="1"/>
    <col min="19" max="19" width="13.625" style="24" bestFit="1" customWidth="1"/>
    <col min="23" max="23" width="12.125" style="24" bestFit="1" customWidth="1"/>
    <col min="24" max="24" width="9.125" style="36" bestFit="1" customWidth="1"/>
    <col min="25" max="26" width="9.125" bestFit="1" customWidth="1"/>
    <col min="27" max="27" width="12.125" style="24" bestFit="1" customWidth="1"/>
    <col min="28" max="28" width="7.625" bestFit="1" customWidth="1"/>
    <col min="29" max="30" width="7" bestFit="1" customWidth="1"/>
    <col min="31" max="31" width="12.125" style="24" bestFit="1" customWidth="1"/>
    <col min="32" max="34" width="11" bestFit="1" customWidth="1"/>
    <col min="35" max="35" width="13" style="24" bestFit="1" customWidth="1"/>
    <col min="36" max="38" width="8" style="12" customWidth="1"/>
    <col min="39" max="39" width="8" style="9" customWidth="1"/>
    <col min="40" max="42" width="8" style="12" customWidth="1"/>
    <col min="43" max="43" width="8" style="9" customWidth="1"/>
    <col min="44" max="44" width="8" style="10" bestFit="1" customWidth="1"/>
    <col min="45" max="46" width="6.375" bestFit="1" customWidth="1"/>
    <col min="47" max="47" width="13.375" bestFit="1" customWidth="1"/>
    <col min="48" max="48" width="13" bestFit="1" customWidth="1"/>
    <col min="49" max="49" width="9.375" style="9" bestFit="1" customWidth="1"/>
    <col min="50" max="52" width="10.375" bestFit="1" customWidth="1"/>
    <col min="53" max="53" width="12.375" style="24" bestFit="1" customWidth="1"/>
    <col min="54" max="56" width="11.125" bestFit="1" customWidth="1"/>
    <col min="57" max="57" width="13.125" style="24" bestFit="1" customWidth="1"/>
    <col min="58" max="60" width="11.625" bestFit="1" customWidth="1"/>
    <col min="61" max="61" width="13.625" style="24" bestFit="1" customWidth="1"/>
    <col min="62" max="66" width="8.125" customWidth="1"/>
    <col min="67" max="67" width="8.125" style="9" customWidth="1"/>
    <col min="68" max="71" width="7.375" style="12" customWidth="1"/>
    <col min="72" max="72" width="7.375" style="9" customWidth="1"/>
    <col min="73" max="73" width="50.625" bestFit="1" customWidth="1"/>
    <col min="74" max="74" width="11.375" customWidth="1"/>
  </cols>
  <sheetData>
    <row r="1" spans="1:74" s="1" customFormat="1" x14ac:dyDescent="0.25">
      <c r="B1" s="167"/>
      <c r="F1" s="2"/>
      <c r="G1" s="2"/>
      <c r="J1" s="8"/>
      <c r="K1" s="31" t="s">
        <v>107</v>
      </c>
      <c r="L1" s="3"/>
      <c r="M1" s="285" t="s">
        <v>119</v>
      </c>
      <c r="N1" s="286"/>
      <c r="O1" s="287"/>
      <c r="P1" s="285" t="s">
        <v>120</v>
      </c>
      <c r="Q1" s="286"/>
      <c r="R1" s="286"/>
      <c r="S1" s="287"/>
      <c r="T1" s="285" t="s">
        <v>121</v>
      </c>
      <c r="U1" s="286"/>
      <c r="V1" s="286"/>
      <c r="W1" s="287"/>
      <c r="X1" s="285" t="s">
        <v>122</v>
      </c>
      <c r="Y1" s="286"/>
      <c r="Z1" s="286"/>
      <c r="AA1" s="287"/>
      <c r="AB1" s="285" t="s">
        <v>124</v>
      </c>
      <c r="AC1" s="286"/>
      <c r="AD1" s="286"/>
      <c r="AE1" s="287"/>
      <c r="AF1" s="285" t="s">
        <v>123</v>
      </c>
      <c r="AG1" s="286"/>
      <c r="AH1" s="286"/>
      <c r="AI1" s="287"/>
      <c r="AJ1" s="288" t="s">
        <v>272</v>
      </c>
      <c r="AK1" s="289"/>
      <c r="AL1" s="289"/>
      <c r="AM1" s="289"/>
      <c r="AN1" s="289"/>
      <c r="AO1" s="289"/>
      <c r="AP1" s="289"/>
      <c r="AQ1" s="290"/>
      <c r="AR1" s="11" t="s">
        <v>0</v>
      </c>
      <c r="AS1" s="285" t="s">
        <v>1</v>
      </c>
      <c r="AT1" s="286"/>
      <c r="AU1" s="286"/>
      <c r="AV1" s="286"/>
      <c r="AW1" s="6"/>
      <c r="AX1" s="285" t="s">
        <v>125</v>
      </c>
      <c r="AY1" s="286"/>
      <c r="AZ1" s="286"/>
      <c r="BA1" s="287"/>
      <c r="BB1" s="285" t="s">
        <v>126</v>
      </c>
      <c r="BC1" s="286"/>
      <c r="BD1" s="286"/>
      <c r="BE1" s="287"/>
      <c r="BF1" s="285" t="s">
        <v>127</v>
      </c>
      <c r="BG1" s="286"/>
      <c r="BH1" s="286"/>
      <c r="BI1" s="287"/>
      <c r="BJ1" s="286" t="s">
        <v>108</v>
      </c>
      <c r="BK1" s="286"/>
      <c r="BL1" s="286"/>
      <c r="BM1" s="286"/>
      <c r="BN1" s="286"/>
      <c r="BO1" s="287"/>
      <c r="BP1" s="282" t="s">
        <v>109</v>
      </c>
      <c r="BQ1" s="283"/>
      <c r="BR1" s="283"/>
      <c r="BS1" s="283"/>
      <c r="BT1" s="284"/>
    </row>
    <row r="2" spans="1:74" s="22" customFormat="1" ht="16.5" thickBot="1" x14ac:dyDescent="0.3">
      <c r="A2" s="13" t="s">
        <v>56</v>
      </c>
      <c r="B2" s="168" t="s">
        <v>2</v>
      </c>
      <c r="C2" s="13" t="s">
        <v>3</v>
      </c>
      <c r="D2" s="13" t="s">
        <v>4</v>
      </c>
      <c r="E2" s="13" t="s">
        <v>5</v>
      </c>
      <c r="F2" s="18" t="s">
        <v>104</v>
      </c>
      <c r="G2" s="18" t="s">
        <v>103</v>
      </c>
      <c r="H2" s="13" t="s">
        <v>6</v>
      </c>
      <c r="I2" s="13" t="s">
        <v>7</v>
      </c>
      <c r="J2" s="14" t="s">
        <v>8</v>
      </c>
      <c r="K2" s="32" t="s">
        <v>40</v>
      </c>
      <c r="L2" s="20" t="s">
        <v>41</v>
      </c>
      <c r="M2" s="13" t="s">
        <v>9</v>
      </c>
      <c r="N2" s="13" t="s">
        <v>10</v>
      </c>
      <c r="O2" s="14" t="s">
        <v>11</v>
      </c>
      <c r="P2" s="13" t="s">
        <v>12</v>
      </c>
      <c r="Q2" s="13" t="s">
        <v>13</v>
      </c>
      <c r="R2" s="13" t="s">
        <v>14</v>
      </c>
      <c r="S2" s="23" t="s">
        <v>15</v>
      </c>
      <c r="T2" s="13" t="s">
        <v>16</v>
      </c>
      <c r="U2" s="13" t="s">
        <v>17</v>
      </c>
      <c r="V2" s="13" t="s">
        <v>18</v>
      </c>
      <c r="W2" s="23" t="s">
        <v>19</v>
      </c>
      <c r="X2" s="19" t="s">
        <v>20</v>
      </c>
      <c r="Y2" s="13" t="s">
        <v>21</v>
      </c>
      <c r="Z2" s="13" t="s">
        <v>22</v>
      </c>
      <c r="AA2" s="23" t="s">
        <v>23</v>
      </c>
      <c r="AB2" s="276" t="s">
        <v>28</v>
      </c>
      <c r="AC2" s="276" t="s">
        <v>29</v>
      </c>
      <c r="AD2" s="276" t="s">
        <v>30</v>
      </c>
      <c r="AE2" s="277" t="s">
        <v>31</v>
      </c>
      <c r="AF2" s="13" t="s">
        <v>24</v>
      </c>
      <c r="AG2" s="13" t="s">
        <v>25</v>
      </c>
      <c r="AH2" s="13" t="s">
        <v>26</v>
      </c>
      <c r="AI2" s="23" t="s">
        <v>27</v>
      </c>
      <c r="AJ2" s="19" t="s">
        <v>273</v>
      </c>
      <c r="AK2" s="19" t="s">
        <v>274</v>
      </c>
      <c r="AL2" s="19" t="s">
        <v>275</v>
      </c>
      <c r="AM2" s="23" t="s">
        <v>276</v>
      </c>
      <c r="AN2" s="19" t="s">
        <v>277</v>
      </c>
      <c r="AO2" s="19" t="s">
        <v>278</v>
      </c>
      <c r="AP2" s="19" t="s">
        <v>279</v>
      </c>
      <c r="AQ2" s="23" t="s">
        <v>276</v>
      </c>
      <c r="AR2" s="21" t="s">
        <v>128</v>
      </c>
      <c r="AS2" s="13" t="s">
        <v>42</v>
      </c>
      <c r="AT2" s="13" t="s">
        <v>43</v>
      </c>
      <c r="AU2" s="13" t="s">
        <v>44</v>
      </c>
      <c r="AV2" s="13" t="s">
        <v>45</v>
      </c>
      <c r="AW2" s="14" t="s">
        <v>570</v>
      </c>
      <c r="AX2" s="13" t="s">
        <v>115</v>
      </c>
      <c r="AY2" s="13" t="s">
        <v>116</v>
      </c>
      <c r="AZ2" s="13" t="s">
        <v>117</v>
      </c>
      <c r="BA2" s="23" t="s">
        <v>118</v>
      </c>
      <c r="BB2" s="13" t="s">
        <v>32</v>
      </c>
      <c r="BC2" s="13" t="s">
        <v>33</v>
      </c>
      <c r="BD2" s="13" t="s">
        <v>34</v>
      </c>
      <c r="BE2" s="23" t="s">
        <v>35</v>
      </c>
      <c r="BF2" s="13" t="s">
        <v>36</v>
      </c>
      <c r="BG2" s="13" t="s">
        <v>37</v>
      </c>
      <c r="BH2" s="13" t="s">
        <v>38</v>
      </c>
      <c r="BI2" s="23" t="s">
        <v>39</v>
      </c>
      <c r="BJ2" s="13" t="s">
        <v>105</v>
      </c>
      <c r="BK2" s="13" t="s">
        <v>110</v>
      </c>
      <c r="BL2" s="13" t="s">
        <v>106</v>
      </c>
      <c r="BM2" s="13" t="s">
        <v>46</v>
      </c>
      <c r="BN2" s="13" t="s">
        <v>113</v>
      </c>
      <c r="BO2" s="14" t="s">
        <v>541</v>
      </c>
      <c r="BP2" s="13" t="s">
        <v>110</v>
      </c>
      <c r="BQ2" s="13" t="s">
        <v>111</v>
      </c>
      <c r="BR2" s="13" t="s">
        <v>112</v>
      </c>
      <c r="BS2" s="13" t="s">
        <v>113</v>
      </c>
      <c r="BT2" s="14" t="s">
        <v>114</v>
      </c>
      <c r="BU2" s="13" t="s">
        <v>48</v>
      </c>
      <c r="BV2" s="13" t="s">
        <v>612</v>
      </c>
    </row>
    <row r="3" spans="1:74" s="204" customFormat="1" x14ac:dyDescent="0.25">
      <c r="A3" s="194" t="s">
        <v>1015</v>
      </c>
      <c r="B3" s="195"/>
      <c r="C3" s="196"/>
      <c r="D3" s="196"/>
      <c r="E3" s="196"/>
      <c r="F3" s="197"/>
      <c r="G3" s="197"/>
      <c r="H3" s="196"/>
      <c r="I3" s="196"/>
      <c r="J3" s="198"/>
      <c r="K3" s="199"/>
      <c r="L3" s="200"/>
      <c r="M3" s="196"/>
      <c r="N3" s="196"/>
      <c r="O3" s="198"/>
      <c r="P3" s="196"/>
      <c r="Q3" s="196"/>
      <c r="R3" s="196"/>
      <c r="S3" s="201"/>
      <c r="T3" s="196"/>
      <c r="U3" s="196"/>
      <c r="V3" s="196"/>
      <c r="W3" s="201"/>
      <c r="X3" s="202"/>
      <c r="Y3" s="196"/>
      <c r="Z3" s="196"/>
      <c r="AA3" s="201"/>
      <c r="AB3" s="202"/>
      <c r="AC3" s="202"/>
      <c r="AD3" s="202"/>
      <c r="AE3" s="201"/>
      <c r="AF3" s="196"/>
      <c r="AG3" s="196"/>
      <c r="AH3" s="196"/>
      <c r="AI3" s="201"/>
      <c r="AJ3" s="202"/>
      <c r="AK3" s="202"/>
      <c r="AL3" s="202"/>
      <c r="AM3" s="201"/>
      <c r="AN3" s="202"/>
      <c r="AO3" s="202"/>
      <c r="AP3" s="202"/>
      <c r="AQ3" s="201"/>
      <c r="AR3" s="203"/>
      <c r="AS3" s="196"/>
      <c r="AT3" s="196"/>
      <c r="AU3" s="196"/>
      <c r="AV3" s="196"/>
      <c r="AW3" s="198"/>
      <c r="AX3" s="196"/>
      <c r="AY3" s="196"/>
      <c r="AZ3" s="196"/>
      <c r="BA3" s="201"/>
      <c r="BB3" s="196"/>
      <c r="BC3" s="196"/>
      <c r="BD3" s="196"/>
      <c r="BE3" s="201"/>
      <c r="BF3" s="196"/>
      <c r="BG3" s="196"/>
      <c r="BH3" s="196"/>
      <c r="BI3" s="201"/>
      <c r="BJ3" s="196"/>
      <c r="BK3" s="196"/>
      <c r="BL3" s="196"/>
      <c r="BM3" s="196"/>
      <c r="BN3" s="196"/>
      <c r="BO3" s="198"/>
      <c r="BP3" s="196"/>
      <c r="BQ3" s="196"/>
      <c r="BR3" s="196"/>
      <c r="BS3" s="196"/>
      <c r="BT3" s="198"/>
      <c r="BU3" s="196"/>
      <c r="BV3" s="196"/>
    </row>
    <row r="4" spans="1:74" x14ac:dyDescent="0.25">
      <c r="A4" t="s">
        <v>57</v>
      </c>
      <c r="B4" s="111" t="s">
        <v>1017</v>
      </c>
      <c r="C4" t="s">
        <v>49</v>
      </c>
      <c r="D4" t="s">
        <v>102</v>
      </c>
      <c r="E4">
        <v>1121</v>
      </c>
      <c r="F4" s="5" t="s">
        <v>54</v>
      </c>
      <c r="G4" s="5"/>
      <c r="H4" s="169" t="s">
        <v>53</v>
      </c>
      <c r="I4" t="s">
        <v>55</v>
      </c>
      <c r="K4" s="33">
        <v>1</v>
      </c>
      <c r="L4" s="10" t="s">
        <v>50</v>
      </c>
      <c r="M4">
        <v>684</v>
      </c>
      <c r="N4">
        <v>98</v>
      </c>
      <c r="O4" s="9">
        <f t="shared" ref="O4:O30" si="0">M4-N4</f>
        <v>586</v>
      </c>
      <c r="P4">
        <v>215</v>
      </c>
      <c r="Q4">
        <v>215</v>
      </c>
      <c r="R4">
        <v>216</v>
      </c>
      <c r="S4" s="24">
        <f t="shared" ref="S4:S30" si="1">AVERAGE(P4:R4)</f>
        <v>215.33333333333334</v>
      </c>
      <c r="T4">
        <v>152</v>
      </c>
      <c r="U4">
        <v>151</v>
      </c>
      <c r="V4">
        <v>150</v>
      </c>
      <c r="W4" s="24">
        <f t="shared" ref="W4:W30" si="2">AVERAGE(T4:V4)</f>
        <v>151</v>
      </c>
      <c r="X4" s="36">
        <v>10.050000000000001</v>
      </c>
      <c r="Y4">
        <v>9.6300000000000008</v>
      </c>
      <c r="Z4">
        <v>9.74</v>
      </c>
      <c r="AA4" s="24">
        <f t="shared" ref="AA4:AA30" si="3">AVERAGE(X4:Z4)</f>
        <v>9.8066666666666666</v>
      </c>
      <c r="AB4">
        <v>42.45</v>
      </c>
      <c r="AC4">
        <v>42.05</v>
      </c>
      <c r="AD4">
        <v>42.12</v>
      </c>
      <c r="AE4" s="24">
        <f t="shared" ref="AE4:AE30" si="4">AVERAGE(AB4:AD4)</f>
        <v>42.206666666666671</v>
      </c>
      <c r="AF4">
        <v>75.39</v>
      </c>
      <c r="AG4">
        <v>73.02</v>
      </c>
      <c r="AH4">
        <v>73.67</v>
      </c>
      <c r="AI4" s="24">
        <f t="shared" ref="AI4:AI14" si="5">AVERAGE(AF4:AH4)</f>
        <v>74.026666666666657</v>
      </c>
      <c r="AX4">
        <v>40.99</v>
      </c>
      <c r="AY4">
        <v>40.619999999999997</v>
      </c>
      <c r="AZ4">
        <v>40.659999999999997</v>
      </c>
      <c r="BA4" s="24">
        <f t="shared" ref="BA4:BA30" si="6">AVERAGE(AX4:AZ4)</f>
        <v>40.756666666666668</v>
      </c>
      <c r="BB4">
        <v>31.69</v>
      </c>
      <c r="BC4">
        <v>31.66</v>
      </c>
      <c r="BD4">
        <v>32.1</v>
      </c>
      <c r="BE4" s="24">
        <f t="shared" ref="BE4:BE30" si="7">AVERAGE(BB4:BD4)</f>
        <v>31.816666666666666</v>
      </c>
      <c r="BF4">
        <v>65.069999999999993</v>
      </c>
      <c r="BG4">
        <v>66.47</v>
      </c>
      <c r="BH4">
        <v>65.88</v>
      </c>
      <c r="BI4" s="24">
        <f t="shared" ref="BI4:BI30" si="8">AVERAGE(BF4:BH4)</f>
        <v>65.806666666666658</v>
      </c>
      <c r="BJ4" s="15" t="s">
        <v>51</v>
      </c>
      <c r="BK4" s="15" t="s">
        <v>51</v>
      </c>
      <c r="BL4" s="15" t="s">
        <v>52</v>
      </c>
      <c r="BM4" s="15" t="s">
        <v>52</v>
      </c>
      <c r="BN4" s="15"/>
      <c r="BO4" s="16" t="s">
        <v>52</v>
      </c>
      <c r="BP4" s="17"/>
      <c r="BQ4" s="17"/>
      <c r="BR4" s="17"/>
      <c r="BS4" s="17"/>
      <c r="BT4" s="16"/>
      <c r="BU4" t="s">
        <v>58</v>
      </c>
      <c r="BV4" t="s">
        <v>238</v>
      </c>
    </row>
    <row r="5" spans="1:74" x14ac:dyDescent="0.25">
      <c r="A5" t="s">
        <v>57</v>
      </c>
      <c r="B5" s="111" t="s">
        <v>1018</v>
      </c>
      <c r="C5" t="s">
        <v>49</v>
      </c>
      <c r="D5" t="s">
        <v>102</v>
      </c>
      <c r="E5">
        <v>1133</v>
      </c>
      <c r="F5" s="4"/>
      <c r="G5" s="4"/>
      <c r="H5" s="169" t="s">
        <v>60</v>
      </c>
      <c r="I5" t="s">
        <v>59</v>
      </c>
      <c r="K5" s="34" t="s">
        <v>61</v>
      </c>
      <c r="L5" s="10" t="s">
        <v>50</v>
      </c>
      <c r="M5">
        <v>696</v>
      </c>
      <c r="N5">
        <v>95</v>
      </c>
      <c r="O5" s="9">
        <f t="shared" si="0"/>
        <v>601</v>
      </c>
      <c r="P5">
        <v>225</v>
      </c>
      <c r="Q5">
        <v>225</v>
      </c>
      <c r="R5">
        <v>225</v>
      </c>
      <c r="S5" s="24">
        <f t="shared" si="1"/>
        <v>225</v>
      </c>
      <c r="T5">
        <v>144</v>
      </c>
      <c r="U5">
        <v>144</v>
      </c>
      <c r="V5">
        <v>144</v>
      </c>
      <c r="W5" s="24">
        <f t="shared" si="2"/>
        <v>144</v>
      </c>
      <c r="X5" s="36">
        <v>10.51</v>
      </c>
      <c r="Y5">
        <v>9.4700000000000006</v>
      </c>
      <c r="Z5">
        <v>9.4499999999999993</v>
      </c>
      <c r="AA5" s="24">
        <f t="shared" si="3"/>
        <v>9.81</v>
      </c>
      <c r="AB5">
        <v>43.32</v>
      </c>
      <c r="AC5">
        <v>43.37</v>
      </c>
      <c r="AD5">
        <v>43.66</v>
      </c>
      <c r="AE5" s="24">
        <f t="shared" si="4"/>
        <v>43.449999999999996</v>
      </c>
      <c r="AF5">
        <v>76.53</v>
      </c>
      <c r="AG5">
        <v>76.11</v>
      </c>
      <c r="AH5">
        <v>75.92</v>
      </c>
      <c r="AI5" s="24">
        <f t="shared" si="5"/>
        <v>76.186666666666667</v>
      </c>
      <c r="AX5">
        <v>47.62</v>
      </c>
      <c r="AY5">
        <v>47.58</v>
      </c>
      <c r="AZ5">
        <v>47.88</v>
      </c>
      <c r="BA5" s="24">
        <f t="shared" si="6"/>
        <v>47.693333333333328</v>
      </c>
      <c r="BB5">
        <v>33.42</v>
      </c>
      <c r="BC5">
        <v>33.07</v>
      </c>
      <c r="BD5">
        <v>32.549999999999997</v>
      </c>
      <c r="BE5" s="24">
        <f t="shared" si="7"/>
        <v>33.013333333333335</v>
      </c>
      <c r="BF5">
        <v>69.22</v>
      </c>
      <c r="BG5">
        <v>70.14</v>
      </c>
      <c r="BH5">
        <v>69.75</v>
      </c>
      <c r="BI5" s="24">
        <f t="shared" si="8"/>
        <v>69.703333333333333</v>
      </c>
      <c r="BV5" t="s">
        <v>238</v>
      </c>
    </row>
    <row r="6" spans="1:74" x14ac:dyDescent="0.25">
      <c r="A6" t="s">
        <v>57</v>
      </c>
      <c r="B6" s="111" t="s">
        <v>1019</v>
      </c>
      <c r="C6" t="s">
        <v>49</v>
      </c>
      <c r="D6" t="s">
        <v>102</v>
      </c>
      <c r="E6">
        <v>1138</v>
      </c>
      <c r="F6" s="4"/>
      <c r="G6" s="4"/>
      <c r="H6" s="169" t="s">
        <v>63</v>
      </c>
      <c r="I6" t="s">
        <v>62</v>
      </c>
      <c r="K6" s="33" t="s">
        <v>66</v>
      </c>
      <c r="L6" s="10" t="s">
        <v>64</v>
      </c>
      <c r="M6">
        <v>659</v>
      </c>
      <c r="N6">
        <v>98</v>
      </c>
      <c r="O6" s="9">
        <f t="shared" si="0"/>
        <v>561</v>
      </c>
      <c r="P6">
        <v>225</v>
      </c>
      <c r="Q6">
        <v>225</v>
      </c>
      <c r="R6">
        <v>225</v>
      </c>
      <c r="S6" s="24">
        <f t="shared" si="1"/>
        <v>225</v>
      </c>
      <c r="T6">
        <v>142</v>
      </c>
      <c r="U6">
        <v>142</v>
      </c>
      <c r="V6">
        <v>142</v>
      </c>
      <c r="W6" s="24">
        <f t="shared" si="2"/>
        <v>142</v>
      </c>
      <c r="X6" s="36">
        <v>9.7799999999999994</v>
      </c>
      <c r="Y6">
        <v>9.69</v>
      </c>
      <c r="Z6">
        <v>9.61</v>
      </c>
      <c r="AA6" s="24">
        <f t="shared" si="3"/>
        <v>9.6933333333333334</v>
      </c>
      <c r="AB6">
        <v>41.56</v>
      </c>
      <c r="AC6">
        <v>31.64</v>
      </c>
      <c r="AD6">
        <v>41.79</v>
      </c>
      <c r="AE6" s="24">
        <f t="shared" si="4"/>
        <v>38.330000000000005</v>
      </c>
      <c r="AF6">
        <v>77.64</v>
      </c>
      <c r="AG6">
        <v>77.83</v>
      </c>
      <c r="AH6">
        <v>78.02</v>
      </c>
      <c r="AI6" s="24">
        <f t="shared" si="5"/>
        <v>77.83</v>
      </c>
      <c r="AS6" t="s">
        <v>65</v>
      </c>
      <c r="AT6">
        <v>8</v>
      </c>
      <c r="AU6">
        <v>4</v>
      </c>
      <c r="AX6">
        <v>50.36</v>
      </c>
      <c r="AY6">
        <v>49.57</v>
      </c>
      <c r="AZ6">
        <v>49.55</v>
      </c>
      <c r="BA6" s="24">
        <f t="shared" si="6"/>
        <v>49.826666666666675</v>
      </c>
      <c r="BB6">
        <v>32.229999999999997</v>
      </c>
      <c r="BC6">
        <v>32.53</v>
      </c>
      <c r="BD6">
        <v>32.69</v>
      </c>
      <c r="BE6" s="24">
        <f t="shared" si="7"/>
        <v>32.483333333333327</v>
      </c>
      <c r="BF6">
        <v>71.84</v>
      </c>
      <c r="BG6">
        <v>69.31</v>
      </c>
      <c r="BH6">
        <v>71.08</v>
      </c>
      <c r="BI6" s="24">
        <f t="shared" si="8"/>
        <v>70.743333333333339</v>
      </c>
      <c r="BV6" t="s">
        <v>238</v>
      </c>
    </row>
    <row r="7" spans="1:74" x14ac:dyDescent="0.25">
      <c r="A7" t="s">
        <v>57</v>
      </c>
      <c r="B7" s="111" t="s">
        <v>1020</v>
      </c>
      <c r="C7" t="s">
        <v>49</v>
      </c>
      <c r="D7" t="s">
        <v>102</v>
      </c>
      <c r="E7">
        <v>1139</v>
      </c>
      <c r="F7" s="4"/>
      <c r="G7" s="4"/>
      <c r="H7" s="169" t="s">
        <v>63</v>
      </c>
      <c r="I7" t="s">
        <v>67</v>
      </c>
      <c r="K7" s="33" t="s">
        <v>68</v>
      </c>
      <c r="L7" s="10" t="s">
        <v>50</v>
      </c>
      <c r="M7">
        <v>922</v>
      </c>
      <c r="N7">
        <v>99</v>
      </c>
      <c r="O7" s="9">
        <f t="shared" si="0"/>
        <v>823</v>
      </c>
      <c r="P7">
        <v>255</v>
      </c>
      <c r="Q7">
        <v>255</v>
      </c>
      <c r="R7">
        <v>256</v>
      </c>
      <c r="S7" s="24">
        <f t="shared" si="1"/>
        <v>255.33333333333334</v>
      </c>
      <c r="T7">
        <v>154</v>
      </c>
      <c r="U7">
        <v>154</v>
      </c>
      <c r="V7">
        <v>154</v>
      </c>
      <c r="W7" s="24">
        <f t="shared" si="2"/>
        <v>154</v>
      </c>
      <c r="X7" s="36">
        <v>10.93</v>
      </c>
      <c r="Y7">
        <v>10.51</v>
      </c>
      <c r="Z7">
        <v>10.98</v>
      </c>
      <c r="AA7" s="24">
        <f t="shared" si="3"/>
        <v>10.806666666666667</v>
      </c>
      <c r="AB7">
        <v>47.41</v>
      </c>
      <c r="AC7">
        <v>47.21</v>
      </c>
      <c r="AD7">
        <v>46.72</v>
      </c>
      <c r="AE7" s="24">
        <f t="shared" si="4"/>
        <v>47.113333333333337</v>
      </c>
      <c r="AF7">
        <v>89.11</v>
      </c>
      <c r="AG7">
        <v>89.39</v>
      </c>
      <c r="AH7">
        <v>89.72</v>
      </c>
      <c r="AI7" s="24">
        <f t="shared" si="5"/>
        <v>89.40666666666668</v>
      </c>
      <c r="AX7">
        <v>54.7</v>
      </c>
      <c r="AY7">
        <v>54.77</v>
      </c>
      <c r="AZ7">
        <v>54.7</v>
      </c>
      <c r="BA7" s="24">
        <f t="shared" si="6"/>
        <v>54.723333333333336</v>
      </c>
      <c r="BB7">
        <v>33.32</v>
      </c>
      <c r="BC7">
        <v>32.92</v>
      </c>
      <c r="BD7">
        <v>32.53</v>
      </c>
      <c r="BE7" s="24">
        <f t="shared" si="7"/>
        <v>32.923333333333339</v>
      </c>
      <c r="BF7">
        <v>82.88</v>
      </c>
      <c r="BG7">
        <v>81.92</v>
      </c>
      <c r="BH7">
        <v>82.75</v>
      </c>
      <c r="BI7" s="24">
        <f t="shared" si="8"/>
        <v>82.516666666666666</v>
      </c>
      <c r="BV7" t="s">
        <v>238</v>
      </c>
    </row>
    <row r="8" spans="1:74" x14ac:dyDescent="0.25">
      <c r="A8" t="s">
        <v>57</v>
      </c>
      <c r="B8" s="111" t="s">
        <v>1021</v>
      </c>
      <c r="C8" t="s">
        <v>49</v>
      </c>
      <c r="D8" t="s">
        <v>102</v>
      </c>
      <c r="E8">
        <v>1143</v>
      </c>
      <c r="F8" s="4"/>
      <c r="G8" s="4"/>
      <c r="H8" s="169" t="s">
        <v>69</v>
      </c>
      <c r="I8" t="s">
        <v>62</v>
      </c>
      <c r="K8" s="33">
        <v>1</v>
      </c>
      <c r="L8" s="10" t="s">
        <v>64</v>
      </c>
      <c r="M8">
        <v>374</v>
      </c>
      <c r="N8">
        <v>77</v>
      </c>
      <c r="O8" s="9">
        <f t="shared" si="0"/>
        <v>297</v>
      </c>
      <c r="P8">
        <v>164</v>
      </c>
      <c r="Q8">
        <v>164</v>
      </c>
      <c r="R8">
        <v>164</v>
      </c>
      <c r="S8" s="24">
        <f t="shared" si="1"/>
        <v>164</v>
      </c>
      <c r="T8">
        <v>115</v>
      </c>
      <c r="U8">
        <v>115</v>
      </c>
      <c r="V8">
        <v>116</v>
      </c>
      <c r="W8" s="24">
        <f t="shared" si="2"/>
        <v>115.33333333333333</v>
      </c>
      <c r="X8" s="36">
        <v>6.43</v>
      </c>
      <c r="Y8">
        <v>7.03</v>
      </c>
      <c r="Z8">
        <v>7.15</v>
      </c>
      <c r="AA8" s="24">
        <f t="shared" si="3"/>
        <v>6.87</v>
      </c>
      <c r="AB8">
        <v>34.17</v>
      </c>
      <c r="AC8">
        <v>34.159999999999997</v>
      </c>
      <c r="AD8">
        <v>34.369999999999997</v>
      </c>
      <c r="AE8" s="24">
        <f t="shared" si="4"/>
        <v>34.233333333333327</v>
      </c>
      <c r="AF8">
        <v>58.78</v>
      </c>
      <c r="AG8">
        <v>58.61</v>
      </c>
      <c r="AH8">
        <v>58.18</v>
      </c>
      <c r="AI8" s="24">
        <f t="shared" si="5"/>
        <v>58.523333333333333</v>
      </c>
      <c r="AS8" t="s">
        <v>70</v>
      </c>
      <c r="AT8">
        <v>8</v>
      </c>
      <c r="AX8">
        <v>35.840000000000003</v>
      </c>
      <c r="AY8">
        <v>35.6</v>
      </c>
      <c r="AZ8">
        <v>35.869999999999997</v>
      </c>
      <c r="BA8" s="24">
        <f t="shared" si="6"/>
        <v>35.770000000000003</v>
      </c>
      <c r="BB8">
        <v>27.37</v>
      </c>
      <c r="BC8">
        <v>27.85</v>
      </c>
      <c r="BD8">
        <v>27.06</v>
      </c>
      <c r="BE8" s="24">
        <f t="shared" si="7"/>
        <v>27.426666666666666</v>
      </c>
      <c r="BF8">
        <v>64.400000000000006</v>
      </c>
      <c r="BG8">
        <v>64.209999999999994</v>
      </c>
      <c r="BH8">
        <v>64.7</v>
      </c>
      <c r="BI8" s="24">
        <f t="shared" si="8"/>
        <v>64.436666666666667</v>
      </c>
      <c r="BV8" t="s">
        <v>238</v>
      </c>
    </row>
    <row r="9" spans="1:74" x14ac:dyDescent="0.25">
      <c r="A9" t="s">
        <v>57</v>
      </c>
      <c r="B9" s="111" t="s">
        <v>1022</v>
      </c>
      <c r="C9" t="s">
        <v>49</v>
      </c>
      <c r="D9" t="s">
        <v>102</v>
      </c>
      <c r="E9">
        <v>1160</v>
      </c>
      <c r="F9" s="4"/>
      <c r="G9" s="4"/>
      <c r="H9" s="169" t="s">
        <v>72</v>
      </c>
      <c r="I9" t="s">
        <v>71</v>
      </c>
      <c r="K9" s="33">
        <v>1</v>
      </c>
      <c r="L9" s="10" t="s">
        <v>64</v>
      </c>
      <c r="M9">
        <v>478</v>
      </c>
      <c r="N9">
        <v>79</v>
      </c>
      <c r="O9" s="9">
        <f t="shared" si="0"/>
        <v>399</v>
      </c>
      <c r="P9">
        <v>200</v>
      </c>
      <c r="Q9">
        <v>200</v>
      </c>
      <c r="R9">
        <v>200</v>
      </c>
      <c r="S9" s="24">
        <f t="shared" si="1"/>
        <v>200</v>
      </c>
      <c r="T9">
        <v>0</v>
      </c>
      <c r="U9">
        <v>0</v>
      </c>
      <c r="V9">
        <v>0</v>
      </c>
      <c r="W9" s="24">
        <f t="shared" si="2"/>
        <v>0</v>
      </c>
      <c r="X9" s="36">
        <v>0</v>
      </c>
      <c r="Y9">
        <v>0</v>
      </c>
      <c r="Z9">
        <v>0</v>
      </c>
      <c r="AA9" s="24">
        <f t="shared" si="3"/>
        <v>0</v>
      </c>
      <c r="AB9">
        <v>37.74</v>
      </c>
      <c r="AC9">
        <v>37.81</v>
      </c>
      <c r="AD9">
        <v>37.74</v>
      </c>
      <c r="AE9" s="24">
        <f t="shared" si="4"/>
        <v>37.763333333333343</v>
      </c>
      <c r="AF9">
        <v>63.09</v>
      </c>
      <c r="AG9">
        <v>63.43</v>
      </c>
      <c r="AH9">
        <v>63.2</v>
      </c>
      <c r="AI9" s="24">
        <f t="shared" si="5"/>
        <v>63.240000000000009</v>
      </c>
      <c r="AS9" t="s">
        <v>65</v>
      </c>
      <c r="AT9">
        <v>8</v>
      </c>
      <c r="AU9">
        <v>0</v>
      </c>
      <c r="AX9">
        <v>39.5</v>
      </c>
      <c r="AY9">
        <v>39.409999999999997</v>
      </c>
      <c r="AZ9">
        <v>40</v>
      </c>
      <c r="BA9" s="24">
        <f t="shared" si="6"/>
        <v>39.636666666666663</v>
      </c>
      <c r="BB9">
        <v>29.32</v>
      </c>
      <c r="BC9">
        <v>29.47</v>
      </c>
      <c r="BD9">
        <v>29.21</v>
      </c>
      <c r="BE9" s="24">
        <f t="shared" si="7"/>
        <v>29.333333333333332</v>
      </c>
      <c r="BF9">
        <v>66.900000000000006</v>
      </c>
      <c r="BG9">
        <v>66.61</v>
      </c>
      <c r="BH9">
        <v>66.569999999999993</v>
      </c>
      <c r="BI9" s="24">
        <f t="shared" si="8"/>
        <v>66.693333333333328</v>
      </c>
      <c r="BU9" t="s">
        <v>73</v>
      </c>
      <c r="BV9" t="s">
        <v>238</v>
      </c>
    </row>
    <row r="10" spans="1:74" x14ac:dyDescent="0.25">
      <c r="A10" t="s">
        <v>57</v>
      </c>
      <c r="B10" s="111" t="s">
        <v>1023</v>
      </c>
      <c r="C10" t="s">
        <v>49</v>
      </c>
      <c r="D10" t="s">
        <v>102</v>
      </c>
      <c r="E10">
        <v>1161</v>
      </c>
      <c r="F10" s="4"/>
      <c r="G10" s="4"/>
      <c r="H10" s="169" t="s">
        <v>72</v>
      </c>
      <c r="I10" t="s">
        <v>74</v>
      </c>
      <c r="K10" s="33" t="s">
        <v>66</v>
      </c>
      <c r="L10" s="10" t="s">
        <v>50</v>
      </c>
      <c r="M10">
        <v>1077</v>
      </c>
      <c r="N10">
        <v>81</v>
      </c>
      <c r="O10" s="9">
        <f t="shared" si="0"/>
        <v>996</v>
      </c>
      <c r="P10">
        <v>284</v>
      </c>
      <c r="Q10">
        <v>285</v>
      </c>
      <c r="R10">
        <v>285</v>
      </c>
      <c r="S10" s="24">
        <f t="shared" si="1"/>
        <v>284.66666666666669</v>
      </c>
      <c r="T10">
        <v>154</v>
      </c>
      <c r="U10">
        <v>154</v>
      </c>
      <c r="V10">
        <v>154</v>
      </c>
      <c r="W10" s="24">
        <f t="shared" si="2"/>
        <v>154</v>
      </c>
      <c r="X10" s="36">
        <v>9.82</v>
      </c>
      <c r="Y10">
        <v>9.8800000000000008</v>
      </c>
      <c r="Z10">
        <v>9.64</v>
      </c>
      <c r="AA10" s="24">
        <f t="shared" si="3"/>
        <v>9.7800000000000011</v>
      </c>
      <c r="AB10">
        <v>48.76</v>
      </c>
      <c r="AC10">
        <v>48.87</v>
      </c>
      <c r="AD10">
        <v>48.77</v>
      </c>
      <c r="AE10" s="24">
        <f t="shared" si="4"/>
        <v>48.800000000000004</v>
      </c>
      <c r="AF10">
        <v>88.62</v>
      </c>
      <c r="AG10">
        <v>88.82</v>
      </c>
      <c r="AH10">
        <v>88.86</v>
      </c>
      <c r="AI10" s="24">
        <f t="shared" si="5"/>
        <v>88.766666666666666</v>
      </c>
      <c r="AX10">
        <v>56.31</v>
      </c>
      <c r="AY10">
        <v>56.41</v>
      </c>
      <c r="AZ10">
        <v>56.9</v>
      </c>
      <c r="BA10" s="24">
        <f t="shared" si="6"/>
        <v>56.54</v>
      </c>
      <c r="BB10">
        <v>36.36</v>
      </c>
      <c r="BC10">
        <v>36.29</v>
      </c>
      <c r="BD10">
        <v>36.46</v>
      </c>
      <c r="BE10" s="24">
        <f t="shared" si="7"/>
        <v>36.370000000000005</v>
      </c>
      <c r="BF10">
        <v>79.16</v>
      </c>
      <c r="BG10">
        <v>79.56</v>
      </c>
      <c r="BH10">
        <v>79.73</v>
      </c>
      <c r="BI10" s="24">
        <f t="shared" si="8"/>
        <v>79.483333333333334</v>
      </c>
      <c r="BV10" t="s">
        <v>238</v>
      </c>
    </row>
    <row r="11" spans="1:74" x14ac:dyDescent="0.25">
      <c r="A11" t="s">
        <v>57</v>
      </c>
      <c r="B11" s="111" t="s">
        <v>1024</v>
      </c>
      <c r="C11" t="s">
        <v>49</v>
      </c>
      <c r="D11" t="s">
        <v>102</v>
      </c>
      <c r="E11">
        <v>1165</v>
      </c>
      <c r="F11" s="4"/>
      <c r="G11" s="4"/>
      <c r="H11" s="169" t="s">
        <v>76</v>
      </c>
      <c r="I11" t="s">
        <v>75</v>
      </c>
      <c r="K11" s="33" t="s">
        <v>66</v>
      </c>
      <c r="L11" s="10" t="s">
        <v>50</v>
      </c>
      <c r="M11">
        <v>1004</v>
      </c>
      <c r="N11">
        <f>78+81</f>
        <v>159</v>
      </c>
      <c r="O11" s="9">
        <f t="shared" si="0"/>
        <v>845</v>
      </c>
      <c r="P11">
        <v>260</v>
      </c>
      <c r="Q11">
        <v>259</v>
      </c>
      <c r="R11">
        <v>259</v>
      </c>
      <c r="S11" s="24">
        <f t="shared" si="1"/>
        <v>259.33333333333331</v>
      </c>
      <c r="T11">
        <v>151</v>
      </c>
      <c r="U11">
        <v>150</v>
      </c>
      <c r="V11">
        <v>151</v>
      </c>
      <c r="W11" s="24">
        <f t="shared" si="2"/>
        <v>150.66666666666666</v>
      </c>
      <c r="X11" s="36">
        <v>10</v>
      </c>
      <c r="Y11">
        <v>9.68</v>
      </c>
      <c r="Z11">
        <v>9.68</v>
      </c>
      <c r="AA11" s="24">
        <f t="shared" si="3"/>
        <v>9.7866666666666671</v>
      </c>
      <c r="AB11">
        <v>46.54</v>
      </c>
      <c r="AC11">
        <v>46.89</v>
      </c>
      <c r="AD11">
        <v>46.87</v>
      </c>
      <c r="AE11" s="24">
        <f t="shared" si="4"/>
        <v>46.766666666666673</v>
      </c>
      <c r="AF11">
        <v>87.71</v>
      </c>
      <c r="AG11">
        <v>87.66</v>
      </c>
      <c r="AH11">
        <v>87.59</v>
      </c>
      <c r="AI11" s="24">
        <f t="shared" si="5"/>
        <v>87.65333333333335</v>
      </c>
      <c r="AX11">
        <v>54.51</v>
      </c>
      <c r="AY11">
        <v>53.7</v>
      </c>
      <c r="AZ11">
        <v>53.68</v>
      </c>
      <c r="BA11" s="24">
        <f t="shared" si="6"/>
        <v>53.963333333333338</v>
      </c>
      <c r="BB11">
        <v>34.44</v>
      </c>
      <c r="BC11">
        <v>34.049999999999997</v>
      </c>
      <c r="BD11">
        <v>33.94</v>
      </c>
      <c r="BE11" s="24">
        <f t="shared" si="7"/>
        <v>34.143333333333331</v>
      </c>
      <c r="BF11">
        <v>78.41</v>
      </c>
      <c r="BG11">
        <v>78.599999999999994</v>
      </c>
      <c r="BH11">
        <v>78.83</v>
      </c>
      <c r="BI11" s="24">
        <f t="shared" si="8"/>
        <v>78.61333333333333</v>
      </c>
      <c r="BV11" t="s">
        <v>238</v>
      </c>
    </row>
    <row r="12" spans="1:74" x14ac:dyDescent="0.25">
      <c r="A12" t="s">
        <v>57</v>
      </c>
      <c r="B12" s="111" t="s">
        <v>1025</v>
      </c>
      <c r="C12" t="s">
        <v>49</v>
      </c>
      <c r="D12" t="s">
        <v>102</v>
      </c>
      <c r="E12">
        <v>1166</v>
      </c>
      <c r="F12" s="4"/>
      <c r="G12" s="4"/>
      <c r="H12" s="169" t="s">
        <v>76</v>
      </c>
      <c r="I12" t="s">
        <v>77</v>
      </c>
      <c r="K12" s="33" t="s">
        <v>68</v>
      </c>
      <c r="L12" s="10" t="s">
        <v>50</v>
      </c>
      <c r="M12">
        <v>1093</v>
      </c>
      <c r="N12">
        <f>98+99</f>
        <v>197</v>
      </c>
      <c r="O12" s="9">
        <f t="shared" si="0"/>
        <v>896</v>
      </c>
      <c r="P12">
        <v>266</v>
      </c>
      <c r="Q12">
        <v>266</v>
      </c>
      <c r="R12">
        <v>265</v>
      </c>
      <c r="S12" s="24">
        <f t="shared" si="1"/>
        <v>265.66666666666669</v>
      </c>
      <c r="T12">
        <v>134</v>
      </c>
      <c r="U12">
        <v>134</v>
      </c>
      <c r="V12">
        <v>134</v>
      </c>
      <c r="W12" s="24">
        <f t="shared" si="2"/>
        <v>134</v>
      </c>
      <c r="X12" s="36">
        <v>10.47</v>
      </c>
      <c r="Y12">
        <v>9.8699999999999992</v>
      </c>
      <c r="Z12">
        <v>9.83</v>
      </c>
      <c r="AA12" s="24">
        <f t="shared" si="3"/>
        <v>10.056666666666667</v>
      </c>
      <c r="AB12">
        <v>47.11</v>
      </c>
      <c r="AC12">
        <v>46.88</v>
      </c>
      <c r="AD12">
        <v>47.5</v>
      </c>
      <c r="AE12" s="24">
        <f t="shared" si="4"/>
        <v>47.163333333333334</v>
      </c>
      <c r="AF12">
        <v>85.84</v>
      </c>
      <c r="AG12">
        <v>86.02</v>
      </c>
      <c r="AH12">
        <v>85.54</v>
      </c>
      <c r="AI12" s="24">
        <f t="shared" si="5"/>
        <v>85.800000000000011</v>
      </c>
      <c r="AX12">
        <v>56.89</v>
      </c>
      <c r="AY12">
        <v>56.86</v>
      </c>
      <c r="AZ12">
        <v>56.25</v>
      </c>
      <c r="BA12" s="24">
        <f t="shared" si="6"/>
        <v>56.666666666666664</v>
      </c>
      <c r="BB12">
        <v>31.11</v>
      </c>
      <c r="BC12">
        <v>31.61</v>
      </c>
      <c r="BD12">
        <v>31.04</v>
      </c>
      <c r="BE12" s="24">
        <f t="shared" si="7"/>
        <v>31.25333333333333</v>
      </c>
      <c r="BF12">
        <v>80</v>
      </c>
      <c r="BG12">
        <v>79.47</v>
      </c>
      <c r="BH12">
        <v>79.66</v>
      </c>
      <c r="BI12" s="24">
        <f t="shared" si="8"/>
        <v>79.709999999999994</v>
      </c>
      <c r="BV12" t="s">
        <v>238</v>
      </c>
    </row>
    <row r="13" spans="1:74" x14ac:dyDescent="0.25">
      <c r="A13" t="s">
        <v>57</v>
      </c>
      <c r="B13" s="111" t="s">
        <v>1026</v>
      </c>
      <c r="C13" t="s">
        <v>49</v>
      </c>
      <c r="D13" t="s">
        <v>102</v>
      </c>
      <c r="E13">
        <v>1167</v>
      </c>
      <c r="F13" s="4"/>
      <c r="G13" s="4"/>
      <c r="H13" s="169" t="s">
        <v>78</v>
      </c>
      <c r="I13" t="s">
        <v>79</v>
      </c>
      <c r="K13" s="33">
        <v>3</v>
      </c>
      <c r="L13" s="10" t="s">
        <v>64</v>
      </c>
      <c r="M13">
        <v>808</v>
      </c>
      <c r="N13">
        <v>91</v>
      </c>
      <c r="O13" s="9">
        <f t="shared" si="0"/>
        <v>717</v>
      </c>
      <c r="P13">
        <v>239</v>
      </c>
      <c r="Q13">
        <v>238</v>
      </c>
      <c r="R13">
        <v>239</v>
      </c>
      <c r="S13" s="24">
        <f t="shared" si="1"/>
        <v>238.66666666666666</v>
      </c>
      <c r="T13">
        <v>154</v>
      </c>
      <c r="U13">
        <v>154</v>
      </c>
      <c r="V13">
        <v>154</v>
      </c>
      <c r="W13" s="24">
        <f t="shared" si="2"/>
        <v>154</v>
      </c>
      <c r="X13" s="36">
        <v>9.02</v>
      </c>
      <c r="Y13">
        <v>8.86</v>
      </c>
      <c r="Z13">
        <v>8.82</v>
      </c>
      <c r="AA13" s="24">
        <f t="shared" si="3"/>
        <v>8.9</v>
      </c>
      <c r="AB13">
        <v>44.92</v>
      </c>
      <c r="AC13">
        <v>45.55</v>
      </c>
      <c r="AD13">
        <v>45.58</v>
      </c>
      <c r="AE13" s="24">
        <f t="shared" si="4"/>
        <v>45.35</v>
      </c>
      <c r="AF13">
        <v>82.92</v>
      </c>
      <c r="AG13">
        <v>82.39</v>
      </c>
      <c r="AH13">
        <v>82.95</v>
      </c>
      <c r="AI13" s="24">
        <f t="shared" si="5"/>
        <v>82.75333333333333</v>
      </c>
      <c r="AS13" t="s">
        <v>65</v>
      </c>
      <c r="AT13">
        <v>8</v>
      </c>
      <c r="AU13">
        <v>8</v>
      </c>
      <c r="AX13">
        <v>53.07</v>
      </c>
      <c r="AY13">
        <v>52.92</v>
      </c>
      <c r="AZ13">
        <v>53.72</v>
      </c>
      <c r="BA13" s="24">
        <f t="shared" si="6"/>
        <v>53.236666666666672</v>
      </c>
      <c r="BB13">
        <v>32.64</v>
      </c>
      <c r="BC13">
        <v>31.92</v>
      </c>
      <c r="BD13">
        <v>32.35</v>
      </c>
      <c r="BE13" s="24">
        <f t="shared" si="7"/>
        <v>32.303333333333335</v>
      </c>
      <c r="BF13">
        <v>75.150000000000006</v>
      </c>
      <c r="BG13">
        <v>75.3</v>
      </c>
      <c r="BH13">
        <v>75.03</v>
      </c>
      <c r="BI13" s="24">
        <f t="shared" si="8"/>
        <v>75.16</v>
      </c>
      <c r="BV13" t="s">
        <v>238</v>
      </c>
    </row>
    <row r="14" spans="1:74" x14ac:dyDescent="0.25">
      <c r="A14" t="s">
        <v>57</v>
      </c>
      <c r="B14" s="111" t="s">
        <v>1027</v>
      </c>
      <c r="C14" t="s">
        <v>49</v>
      </c>
      <c r="D14" t="s">
        <v>102</v>
      </c>
      <c r="E14">
        <v>1168</v>
      </c>
      <c r="F14" s="4"/>
      <c r="G14" s="4"/>
      <c r="H14" s="169" t="s">
        <v>78</v>
      </c>
      <c r="I14" t="s">
        <v>80</v>
      </c>
      <c r="K14" s="33">
        <v>1</v>
      </c>
      <c r="L14" s="10" t="s">
        <v>64</v>
      </c>
      <c r="M14">
        <v>483</v>
      </c>
      <c r="N14">
        <v>91</v>
      </c>
      <c r="O14" s="9">
        <f t="shared" si="0"/>
        <v>392</v>
      </c>
      <c r="P14">
        <v>190</v>
      </c>
      <c r="Q14">
        <v>190</v>
      </c>
      <c r="R14">
        <v>190</v>
      </c>
      <c r="S14" s="24">
        <f t="shared" si="1"/>
        <v>190</v>
      </c>
      <c r="T14">
        <v>119</v>
      </c>
      <c r="U14">
        <v>119</v>
      </c>
      <c r="V14">
        <v>119</v>
      </c>
      <c r="W14" s="24">
        <f t="shared" si="2"/>
        <v>119</v>
      </c>
      <c r="X14" s="36">
        <v>7.54</v>
      </c>
      <c r="Y14">
        <v>6.85</v>
      </c>
      <c r="Z14">
        <v>7.38</v>
      </c>
      <c r="AA14" s="24">
        <f t="shared" si="3"/>
        <v>7.2566666666666668</v>
      </c>
      <c r="AB14">
        <v>36.78</v>
      </c>
      <c r="AC14">
        <v>36.74</v>
      </c>
      <c r="AD14">
        <v>36.72</v>
      </c>
      <c r="AE14" s="24">
        <f t="shared" si="4"/>
        <v>36.74666666666667</v>
      </c>
      <c r="AF14">
        <v>67.41</v>
      </c>
      <c r="AG14">
        <v>67.34</v>
      </c>
      <c r="AH14">
        <v>66.58</v>
      </c>
      <c r="AI14" s="24">
        <f t="shared" si="5"/>
        <v>67.11</v>
      </c>
      <c r="AS14" t="s">
        <v>70</v>
      </c>
      <c r="AT14">
        <v>8</v>
      </c>
      <c r="AX14">
        <v>40.43</v>
      </c>
      <c r="AY14">
        <v>39.68</v>
      </c>
      <c r="AZ14">
        <v>40.200000000000003</v>
      </c>
      <c r="BA14" s="24">
        <f t="shared" si="6"/>
        <v>40.103333333333332</v>
      </c>
      <c r="BB14">
        <v>30.07</v>
      </c>
      <c r="BC14">
        <v>29.11</v>
      </c>
      <c r="BD14">
        <v>30.17</v>
      </c>
      <c r="BE14" s="24">
        <f t="shared" si="7"/>
        <v>29.783333333333331</v>
      </c>
      <c r="BF14">
        <v>66.87</v>
      </c>
      <c r="BG14">
        <v>66.650000000000006</v>
      </c>
      <c r="BH14">
        <v>66.8</v>
      </c>
      <c r="BI14" s="24">
        <f t="shared" si="8"/>
        <v>66.773333333333326</v>
      </c>
      <c r="BV14" t="s">
        <v>238</v>
      </c>
    </row>
    <row r="15" spans="1:74" x14ac:dyDescent="0.25">
      <c r="A15" t="s">
        <v>57</v>
      </c>
      <c r="B15" s="111" t="s">
        <v>1028</v>
      </c>
      <c r="C15" t="s">
        <v>49</v>
      </c>
      <c r="D15" t="s">
        <v>102</v>
      </c>
      <c r="E15">
        <v>1169</v>
      </c>
      <c r="H15" s="169" t="s">
        <v>81</v>
      </c>
      <c r="I15" t="s">
        <v>84</v>
      </c>
      <c r="K15" s="33" t="s">
        <v>82</v>
      </c>
      <c r="L15" s="10" t="s">
        <v>64</v>
      </c>
      <c r="M15">
        <v>962</v>
      </c>
      <c r="N15">
        <v>97</v>
      </c>
      <c r="O15" s="9">
        <f t="shared" si="0"/>
        <v>865</v>
      </c>
      <c r="P15">
        <v>253</v>
      </c>
      <c r="Q15">
        <v>255</v>
      </c>
      <c r="R15">
        <v>253</v>
      </c>
      <c r="S15" s="24">
        <f t="shared" si="1"/>
        <v>253.66666666666666</v>
      </c>
      <c r="T15">
        <v>145</v>
      </c>
      <c r="U15">
        <v>145</v>
      </c>
      <c r="V15">
        <v>145</v>
      </c>
      <c r="W15" s="24">
        <f t="shared" si="2"/>
        <v>145</v>
      </c>
      <c r="X15" s="36">
        <v>10.46</v>
      </c>
      <c r="Y15">
        <v>11.22</v>
      </c>
      <c r="Z15">
        <v>10.59</v>
      </c>
      <c r="AA15" s="24">
        <f t="shared" si="3"/>
        <v>10.756666666666666</v>
      </c>
      <c r="AB15">
        <v>45.3</v>
      </c>
      <c r="AC15">
        <v>45.46</v>
      </c>
      <c r="AD15">
        <v>45.02</v>
      </c>
      <c r="AE15" s="24">
        <f t="shared" si="4"/>
        <v>45.26</v>
      </c>
      <c r="AF15">
        <v>87.41</v>
      </c>
      <c r="AG15">
        <v>86.72</v>
      </c>
      <c r="AH15">
        <v>86.72</v>
      </c>
      <c r="AI15" s="24">
        <v>86.7</v>
      </c>
      <c r="AS15" t="s">
        <v>65</v>
      </c>
      <c r="AT15">
        <v>8</v>
      </c>
      <c r="AU15">
        <v>4</v>
      </c>
      <c r="AX15">
        <v>53.76</v>
      </c>
      <c r="AY15">
        <v>54.44</v>
      </c>
      <c r="AZ15">
        <v>54.99</v>
      </c>
      <c r="BA15" s="24">
        <f t="shared" si="6"/>
        <v>54.396666666666668</v>
      </c>
      <c r="BB15">
        <v>35.26</v>
      </c>
      <c r="BC15">
        <v>36.049999999999997</v>
      </c>
      <c r="BD15">
        <v>35.659999999999997</v>
      </c>
      <c r="BE15" s="24">
        <f t="shared" si="7"/>
        <v>35.656666666666666</v>
      </c>
      <c r="BF15">
        <v>75.77</v>
      </c>
      <c r="BG15">
        <v>75.77</v>
      </c>
      <c r="BH15">
        <v>75.099999999999994</v>
      </c>
      <c r="BI15" s="24">
        <f t="shared" si="8"/>
        <v>75.546666666666667</v>
      </c>
      <c r="BV15" t="s">
        <v>238</v>
      </c>
    </row>
    <row r="16" spans="1:74" x14ac:dyDescent="0.25">
      <c r="A16" t="s">
        <v>57</v>
      </c>
      <c r="B16" s="111" t="s">
        <v>285</v>
      </c>
      <c r="C16" t="s">
        <v>49</v>
      </c>
      <c r="D16" t="s">
        <v>102</v>
      </c>
      <c r="E16">
        <v>1170</v>
      </c>
      <c r="H16" s="169" t="s">
        <v>81</v>
      </c>
      <c r="I16" t="s">
        <v>83</v>
      </c>
      <c r="K16" s="33" t="s">
        <v>82</v>
      </c>
      <c r="L16" s="10" t="s">
        <v>50</v>
      </c>
      <c r="M16">
        <v>1112</v>
      </c>
      <c r="N16">
        <v>99</v>
      </c>
      <c r="O16" s="9">
        <f t="shared" si="0"/>
        <v>1013</v>
      </c>
      <c r="P16">
        <v>1273</v>
      </c>
      <c r="Q16">
        <v>1274</v>
      </c>
      <c r="R16">
        <v>1274</v>
      </c>
      <c r="S16" s="24">
        <f t="shared" si="1"/>
        <v>1273.6666666666667</v>
      </c>
      <c r="T16">
        <v>156</v>
      </c>
      <c r="U16">
        <v>156</v>
      </c>
      <c r="V16">
        <v>156</v>
      </c>
      <c r="W16" s="24">
        <f t="shared" si="2"/>
        <v>156</v>
      </c>
      <c r="X16" s="36">
        <v>11.99</v>
      </c>
      <c r="Y16">
        <v>11.84</v>
      </c>
      <c r="Z16">
        <v>11.47</v>
      </c>
      <c r="AA16" s="24">
        <f t="shared" si="3"/>
        <v>11.766666666666666</v>
      </c>
      <c r="AB16">
        <v>50.04</v>
      </c>
      <c r="AC16">
        <v>50.34</v>
      </c>
      <c r="AD16">
        <v>50.13</v>
      </c>
      <c r="AE16" s="24">
        <f t="shared" si="4"/>
        <v>50.169999999999995</v>
      </c>
      <c r="AF16">
        <v>95.75</v>
      </c>
      <c r="AG16">
        <v>95.89</v>
      </c>
      <c r="AH16">
        <v>95.85</v>
      </c>
      <c r="AI16" s="24">
        <f t="shared" ref="AI16:AI30" si="9">AVERAGE(AF16:AH16)</f>
        <v>95.83</v>
      </c>
      <c r="AX16">
        <v>60.83</v>
      </c>
      <c r="AY16">
        <v>60.79</v>
      </c>
      <c r="AZ16">
        <v>60.42</v>
      </c>
      <c r="BA16" s="24">
        <f t="shared" si="6"/>
        <v>60.680000000000007</v>
      </c>
      <c r="BB16">
        <v>32.46</v>
      </c>
      <c r="BC16">
        <v>32.26</v>
      </c>
      <c r="BD16">
        <v>32.22</v>
      </c>
      <c r="BE16" s="24">
        <f t="shared" si="7"/>
        <v>32.313333333333333</v>
      </c>
      <c r="BF16">
        <v>84.13</v>
      </c>
      <c r="BG16">
        <v>84.5</v>
      </c>
      <c r="BH16">
        <v>84.5</v>
      </c>
      <c r="BI16" s="24">
        <f t="shared" si="8"/>
        <v>84.376666666666665</v>
      </c>
      <c r="BV16" t="s">
        <v>238</v>
      </c>
    </row>
    <row r="17" spans="1:74" x14ac:dyDescent="0.25">
      <c r="A17" t="s">
        <v>57</v>
      </c>
      <c r="B17" s="111" t="s">
        <v>282</v>
      </c>
      <c r="C17" t="s">
        <v>49</v>
      </c>
      <c r="D17" t="s">
        <v>102</v>
      </c>
      <c r="E17">
        <v>1171</v>
      </c>
      <c r="H17" s="169" t="s">
        <v>81</v>
      </c>
      <c r="I17" t="s">
        <v>85</v>
      </c>
      <c r="K17" s="33" t="s">
        <v>66</v>
      </c>
      <c r="L17" s="10" t="s">
        <v>64</v>
      </c>
      <c r="M17">
        <v>942</v>
      </c>
      <c r="N17">
        <v>97</v>
      </c>
      <c r="O17" s="9">
        <f t="shared" si="0"/>
        <v>845</v>
      </c>
      <c r="P17">
        <v>253</v>
      </c>
      <c r="Q17">
        <v>252</v>
      </c>
      <c r="R17">
        <v>252</v>
      </c>
      <c r="S17" s="24">
        <f t="shared" si="1"/>
        <v>252.33333333333334</v>
      </c>
      <c r="T17">
        <v>75</v>
      </c>
      <c r="U17">
        <v>73</v>
      </c>
      <c r="V17">
        <v>74</v>
      </c>
      <c r="W17" s="24">
        <f t="shared" si="2"/>
        <v>74</v>
      </c>
      <c r="X17" s="36">
        <v>10.07</v>
      </c>
      <c r="Y17">
        <v>9.76</v>
      </c>
      <c r="Z17">
        <v>9.82</v>
      </c>
      <c r="AA17" s="24">
        <f t="shared" si="3"/>
        <v>9.8833333333333329</v>
      </c>
      <c r="AB17">
        <v>44.08</v>
      </c>
      <c r="AC17">
        <v>44.18</v>
      </c>
      <c r="AD17">
        <v>44.24</v>
      </c>
      <c r="AE17" s="24">
        <f t="shared" si="4"/>
        <v>44.166666666666664</v>
      </c>
      <c r="AF17">
        <v>84.75</v>
      </c>
      <c r="AG17">
        <v>84.62</v>
      </c>
      <c r="AH17">
        <v>84.48</v>
      </c>
      <c r="AI17" s="24">
        <f t="shared" si="9"/>
        <v>84.616666666666674</v>
      </c>
      <c r="AS17" t="s">
        <v>65</v>
      </c>
      <c r="AT17">
        <v>8</v>
      </c>
      <c r="AU17">
        <v>2</v>
      </c>
      <c r="AX17">
        <v>52.76</v>
      </c>
      <c r="AY17">
        <v>52.65</v>
      </c>
      <c r="AZ17">
        <v>52.74</v>
      </c>
      <c r="BA17" s="24">
        <f t="shared" si="6"/>
        <v>52.716666666666669</v>
      </c>
      <c r="BB17">
        <v>35.78</v>
      </c>
      <c r="BC17">
        <v>35.21</v>
      </c>
      <c r="BD17">
        <v>35.68</v>
      </c>
      <c r="BE17" s="24">
        <f t="shared" si="7"/>
        <v>35.556666666666672</v>
      </c>
      <c r="BF17">
        <v>80.17</v>
      </c>
      <c r="BG17">
        <v>80.900000000000006</v>
      </c>
      <c r="BH17">
        <v>80.819999999999993</v>
      </c>
      <c r="BI17" s="24">
        <f t="shared" si="8"/>
        <v>80.63</v>
      </c>
      <c r="BV17" t="s">
        <v>238</v>
      </c>
    </row>
    <row r="18" spans="1:74" x14ac:dyDescent="0.25">
      <c r="A18" t="s">
        <v>57</v>
      </c>
      <c r="B18" s="111" t="s">
        <v>1029</v>
      </c>
      <c r="C18" t="s">
        <v>49</v>
      </c>
      <c r="D18" t="s">
        <v>102</v>
      </c>
      <c r="E18">
        <v>1172</v>
      </c>
      <c r="H18" s="169" t="s">
        <v>87</v>
      </c>
      <c r="I18" t="s">
        <v>86</v>
      </c>
      <c r="K18" s="33">
        <v>2</v>
      </c>
      <c r="L18" s="10" t="s">
        <v>64</v>
      </c>
      <c r="M18">
        <v>868</v>
      </c>
      <c r="N18">
        <v>97</v>
      </c>
      <c r="O18" s="9">
        <f t="shared" si="0"/>
        <v>771</v>
      </c>
      <c r="P18">
        <v>255</v>
      </c>
      <c r="Q18">
        <v>254</v>
      </c>
      <c r="R18">
        <v>254</v>
      </c>
      <c r="S18" s="24">
        <f t="shared" si="1"/>
        <v>254.33333333333334</v>
      </c>
      <c r="T18">
        <v>146</v>
      </c>
      <c r="U18">
        <v>146</v>
      </c>
      <c r="V18">
        <v>146</v>
      </c>
      <c r="W18" s="24">
        <f t="shared" si="2"/>
        <v>146</v>
      </c>
      <c r="X18" s="36">
        <v>10.220000000000001</v>
      </c>
      <c r="Y18">
        <v>10.24</v>
      </c>
      <c r="Z18">
        <v>9.85</v>
      </c>
      <c r="AA18" s="24">
        <f t="shared" si="3"/>
        <v>10.103333333333333</v>
      </c>
      <c r="AB18">
        <v>44.75</v>
      </c>
      <c r="AC18">
        <v>45.36</v>
      </c>
      <c r="AD18">
        <v>45.78</v>
      </c>
      <c r="AE18" s="24">
        <f t="shared" si="4"/>
        <v>45.29666666666666</v>
      </c>
      <c r="AF18">
        <v>85.28</v>
      </c>
      <c r="AG18">
        <v>85.71</v>
      </c>
      <c r="AH18">
        <v>85.6</v>
      </c>
      <c r="AI18" s="24">
        <f t="shared" si="9"/>
        <v>85.530000000000015</v>
      </c>
      <c r="AS18" t="s">
        <v>65</v>
      </c>
      <c r="AT18">
        <v>8</v>
      </c>
      <c r="AU18">
        <v>4</v>
      </c>
      <c r="AX18">
        <v>52.82</v>
      </c>
      <c r="AY18">
        <v>52.7</v>
      </c>
      <c r="AZ18">
        <v>52.3</v>
      </c>
      <c r="BA18" s="24">
        <f t="shared" si="6"/>
        <v>52.606666666666662</v>
      </c>
      <c r="BB18">
        <v>34</v>
      </c>
      <c r="BC18">
        <v>33.479999999999997</v>
      </c>
      <c r="BD18">
        <v>33.42</v>
      </c>
      <c r="BE18" s="24">
        <f t="shared" si="7"/>
        <v>33.633333333333333</v>
      </c>
      <c r="BF18">
        <v>77.010000000000005</v>
      </c>
      <c r="BG18">
        <v>76.91</v>
      </c>
      <c r="BH18">
        <v>7681</v>
      </c>
      <c r="BI18" s="24">
        <f t="shared" si="8"/>
        <v>2611.64</v>
      </c>
      <c r="BV18" t="s">
        <v>238</v>
      </c>
    </row>
    <row r="19" spans="1:74" x14ac:dyDescent="0.25">
      <c r="A19" t="s">
        <v>57</v>
      </c>
      <c r="B19" s="111" t="s">
        <v>1030</v>
      </c>
      <c r="C19" t="s">
        <v>49</v>
      </c>
      <c r="D19" t="s">
        <v>102</v>
      </c>
      <c r="E19">
        <v>1173</v>
      </c>
      <c r="H19" s="169" t="s">
        <v>87</v>
      </c>
      <c r="I19" t="s">
        <v>88</v>
      </c>
      <c r="K19" s="33">
        <v>2</v>
      </c>
      <c r="L19" s="10" t="s">
        <v>50</v>
      </c>
      <c r="M19">
        <v>1118</v>
      </c>
      <c r="N19">
        <v>96</v>
      </c>
      <c r="O19" s="9">
        <f t="shared" si="0"/>
        <v>1022</v>
      </c>
      <c r="P19">
        <v>280</v>
      </c>
      <c r="Q19">
        <v>280</v>
      </c>
      <c r="R19">
        <v>280</v>
      </c>
      <c r="S19" s="24">
        <f t="shared" si="1"/>
        <v>280</v>
      </c>
      <c r="T19">
        <v>128</v>
      </c>
      <c r="U19">
        <v>128</v>
      </c>
      <c r="V19">
        <v>128</v>
      </c>
      <c r="W19" s="24">
        <f t="shared" si="2"/>
        <v>128</v>
      </c>
      <c r="X19" s="36">
        <v>10.65</v>
      </c>
      <c r="Y19">
        <v>10.16</v>
      </c>
      <c r="Z19">
        <v>10.71</v>
      </c>
      <c r="AA19" s="24">
        <f t="shared" si="3"/>
        <v>10.506666666666668</v>
      </c>
      <c r="AB19">
        <v>47.8</v>
      </c>
      <c r="AC19">
        <v>47.38</v>
      </c>
      <c r="AD19">
        <v>47.35</v>
      </c>
      <c r="AE19" s="24">
        <f t="shared" si="4"/>
        <v>47.51</v>
      </c>
      <c r="AF19">
        <v>93.51</v>
      </c>
      <c r="AG19">
        <v>93.51</v>
      </c>
      <c r="AH19">
        <v>92.97</v>
      </c>
      <c r="AI19" s="24">
        <f t="shared" si="9"/>
        <v>93.33</v>
      </c>
      <c r="AX19">
        <v>61.05</v>
      </c>
      <c r="AY19">
        <v>60.56</v>
      </c>
      <c r="AZ19">
        <v>60.8</v>
      </c>
      <c r="BA19" s="24">
        <f t="shared" si="6"/>
        <v>60.803333333333335</v>
      </c>
      <c r="BB19">
        <v>37.64</v>
      </c>
      <c r="BC19">
        <v>36.520000000000003</v>
      </c>
      <c r="BD19">
        <v>36.880000000000003</v>
      </c>
      <c r="BE19" s="24">
        <f t="shared" si="7"/>
        <v>37.013333333333328</v>
      </c>
      <c r="BF19">
        <v>75.77</v>
      </c>
      <c r="BG19">
        <v>76.37</v>
      </c>
      <c r="BH19">
        <v>77.099999999999994</v>
      </c>
      <c r="BI19" s="24">
        <f t="shared" si="8"/>
        <v>76.413333333333327</v>
      </c>
      <c r="BV19" t="s">
        <v>238</v>
      </c>
    </row>
    <row r="20" spans="1:74" x14ac:dyDescent="0.25">
      <c r="A20" t="s">
        <v>57</v>
      </c>
      <c r="B20" s="111" t="s">
        <v>1031</v>
      </c>
      <c r="C20" t="s">
        <v>49</v>
      </c>
      <c r="D20" t="s">
        <v>102</v>
      </c>
      <c r="E20">
        <v>1174</v>
      </c>
      <c r="H20" s="169" t="s">
        <v>87</v>
      </c>
      <c r="I20" t="s">
        <v>55</v>
      </c>
      <c r="K20" s="33" t="s">
        <v>89</v>
      </c>
      <c r="L20" s="10" t="s">
        <v>64</v>
      </c>
      <c r="M20">
        <v>923</v>
      </c>
      <c r="N20">
        <v>95</v>
      </c>
      <c r="O20" s="9">
        <f t="shared" si="0"/>
        <v>828</v>
      </c>
      <c r="P20">
        <v>257</v>
      </c>
      <c r="Q20">
        <v>256</v>
      </c>
      <c r="R20">
        <v>255</v>
      </c>
      <c r="S20" s="24">
        <f t="shared" si="1"/>
        <v>256</v>
      </c>
      <c r="T20">
        <v>143</v>
      </c>
      <c r="U20">
        <v>143</v>
      </c>
      <c r="V20">
        <v>143</v>
      </c>
      <c r="W20" s="24">
        <f t="shared" si="2"/>
        <v>143</v>
      </c>
      <c r="X20" s="36">
        <v>10.81</v>
      </c>
      <c r="Y20">
        <v>10.57</v>
      </c>
      <c r="Z20">
        <v>10.99</v>
      </c>
      <c r="AA20" s="24">
        <f t="shared" si="3"/>
        <v>10.790000000000001</v>
      </c>
      <c r="AB20">
        <v>46.91</v>
      </c>
      <c r="AC20">
        <v>46.83</v>
      </c>
      <c r="AD20">
        <v>46.82</v>
      </c>
      <c r="AE20" s="24">
        <f t="shared" si="4"/>
        <v>46.853333333333332</v>
      </c>
      <c r="AF20">
        <v>85.34</v>
      </c>
      <c r="AG20">
        <v>85.43</v>
      </c>
      <c r="AH20">
        <v>85.47</v>
      </c>
      <c r="AI20" s="24">
        <f t="shared" si="9"/>
        <v>85.413333333333341</v>
      </c>
      <c r="AS20" t="s">
        <v>65</v>
      </c>
      <c r="AT20">
        <v>8</v>
      </c>
      <c r="AU20">
        <v>6</v>
      </c>
      <c r="AX20">
        <v>52.17</v>
      </c>
      <c r="AY20">
        <v>52.2</v>
      </c>
      <c r="AZ20">
        <v>52.21</v>
      </c>
      <c r="BA20" s="24">
        <f t="shared" si="6"/>
        <v>52.193333333333335</v>
      </c>
      <c r="BB20">
        <v>34.18</v>
      </c>
      <c r="BC20">
        <v>34.06</v>
      </c>
      <c r="BD20">
        <v>34.270000000000003</v>
      </c>
      <c r="BE20" s="24">
        <f t="shared" si="7"/>
        <v>34.170000000000009</v>
      </c>
      <c r="BF20">
        <v>82.94</v>
      </c>
      <c r="BG20">
        <v>82.57</v>
      </c>
      <c r="BH20">
        <v>82.84</v>
      </c>
      <c r="BI20" s="24">
        <f t="shared" si="8"/>
        <v>82.783333333333331</v>
      </c>
      <c r="BN20" s="12"/>
      <c r="BV20" t="s">
        <v>238</v>
      </c>
    </row>
    <row r="21" spans="1:74" x14ac:dyDescent="0.25">
      <c r="A21" t="s">
        <v>57</v>
      </c>
      <c r="B21" s="111" t="s">
        <v>1032</v>
      </c>
      <c r="C21" t="s">
        <v>49</v>
      </c>
      <c r="D21" t="s">
        <v>102</v>
      </c>
      <c r="E21">
        <v>1175</v>
      </c>
      <c r="H21" s="169" t="s">
        <v>87</v>
      </c>
      <c r="I21" t="s">
        <v>90</v>
      </c>
      <c r="K21" s="33" t="s">
        <v>66</v>
      </c>
      <c r="L21" s="10" t="s">
        <v>64</v>
      </c>
      <c r="M21">
        <v>898</v>
      </c>
      <c r="N21">
        <v>98</v>
      </c>
      <c r="O21" s="9">
        <f t="shared" si="0"/>
        <v>800</v>
      </c>
      <c r="P21">
        <v>233</v>
      </c>
      <c r="Q21">
        <v>233</v>
      </c>
      <c r="R21">
        <v>233</v>
      </c>
      <c r="S21" s="24">
        <f t="shared" si="1"/>
        <v>233</v>
      </c>
      <c r="T21">
        <v>146</v>
      </c>
      <c r="U21">
        <v>146</v>
      </c>
      <c r="V21">
        <v>146</v>
      </c>
      <c r="W21" s="24">
        <f t="shared" si="2"/>
        <v>146</v>
      </c>
      <c r="X21" s="36">
        <v>9.77</v>
      </c>
      <c r="Y21">
        <v>9.74</v>
      </c>
      <c r="Z21">
        <v>9.42</v>
      </c>
      <c r="AA21" s="24">
        <f t="shared" si="3"/>
        <v>9.6433333333333326</v>
      </c>
      <c r="AB21">
        <v>46.49</v>
      </c>
      <c r="AC21">
        <v>46.41</v>
      </c>
      <c r="AD21">
        <v>46.27</v>
      </c>
      <c r="AE21" s="24">
        <f t="shared" si="4"/>
        <v>46.390000000000008</v>
      </c>
      <c r="AF21">
        <v>87.4</v>
      </c>
      <c r="AG21">
        <v>87.34</v>
      </c>
      <c r="AH21">
        <v>87.14</v>
      </c>
      <c r="AI21" s="24">
        <f t="shared" si="9"/>
        <v>87.293333333333337</v>
      </c>
      <c r="AS21" t="s">
        <v>65</v>
      </c>
      <c r="AT21">
        <v>8</v>
      </c>
      <c r="AU21">
        <v>8</v>
      </c>
      <c r="AV21">
        <v>2</v>
      </c>
      <c r="AW21" s="9">
        <v>6</v>
      </c>
      <c r="AX21">
        <v>53.93</v>
      </c>
      <c r="AY21">
        <v>53.95</v>
      </c>
      <c r="AZ21">
        <v>54.22</v>
      </c>
      <c r="BA21" s="24">
        <f t="shared" si="6"/>
        <v>54.033333333333331</v>
      </c>
      <c r="BB21">
        <v>34.6</v>
      </c>
      <c r="BC21">
        <v>34.49</v>
      </c>
      <c r="BD21">
        <v>34.53</v>
      </c>
      <c r="BE21" s="24">
        <f t="shared" si="7"/>
        <v>34.54</v>
      </c>
      <c r="BF21">
        <v>82.44</v>
      </c>
      <c r="BG21">
        <v>82.16</v>
      </c>
      <c r="BH21">
        <v>82.33</v>
      </c>
      <c r="BI21" s="24">
        <f t="shared" si="8"/>
        <v>82.31</v>
      </c>
      <c r="BV21" t="s">
        <v>238</v>
      </c>
    </row>
    <row r="22" spans="1:74" x14ac:dyDescent="0.25">
      <c r="A22" t="s">
        <v>57</v>
      </c>
      <c r="B22" s="111" t="s">
        <v>1033</v>
      </c>
      <c r="C22" t="s">
        <v>49</v>
      </c>
      <c r="D22" t="s">
        <v>102</v>
      </c>
      <c r="E22">
        <v>1176</v>
      </c>
      <c r="H22" s="169" t="s">
        <v>87</v>
      </c>
      <c r="I22" t="s">
        <v>92</v>
      </c>
      <c r="K22" s="33">
        <v>2</v>
      </c>
      <c r="L22" s="10" t="s">
        <v>50</v>
      </c>
      <c r="M22">
        <v>1068</v>
      </c>
      <c r="N22">
        <v>89</v>
      </c>
      <c r="O22" s="9">
        <f t="shared" si="0"/>
        <v>979</v>
      </c>
      <c r="P22">
        <v>282</v>
      </c>
      <c r="Q22">
        <v>280</v>
      </c>
      <c r="R22">
        <v>280</v>
      </c>
      <c r="S22" s="24">
        <f t="shared" si="1"/>
        <v>280.66666666666669</v>
      </c>
      <c r="T22">
        <v>165</v>
      </c>
      <c r="U22">
        <v>165</v>
      </c>
      <c r="V22">
        <v>165</v>
      </c>
      <c r="W22" s="24">
        <f t="shared" si="2"/>
        <v>165</v>
      </c>
      <c r="X22" s="36">
        <v>12.06</v>
      </c>
      <c r="Y22">
        <v>12.35</v>
      </c>
      <c r="Z22">
        <v>12.31</v>
      </c>
      <c r="AA22" s="24">
        <f t="shared" si="3"/>
        <v>12.24</v>
      </c>
      <c r="AB22">
        <v>50.15</v>
      </c>
      <c r="AC22">
        <v>50.56</v>
      </c>
      <c r="AD22">
        <v>50.46</v>
      </c>
      <c r="AE22" s="24">
        <f t="shared" si="4"/>
        <v>50.390000000000008</v>
      </c>
      <c r="AF22">
        <v>91.76</v>
      </c>
      <c r="AG22">
        <v>91.74</v>
      </c>
      <c r="AH22">
        <v>91.83</v>
      </c>
      <c r="AI22" s="24">
        <f t="shared" si="9"/>
        <v>91.776666666666657</v>
      </c>
      <c r="AX22">
        <v>57.7</v>
      </c>
      <c r="AY22">
        <v>57.68</v>
      </c>
      <c r="AZ22">
        <v>57.85</v>
      </c>
      <c r="BA22" s="24">
        <f t="shared" si="6"/>
        <v>57.743333333333332</v>
      </c>
      <c r="BB22">
        <v>35.42</v>
      </c>
      <c r="BC22">
        <v>35.270000000000003</v>
      </c>
      <c r="BD22">
        <v>34.549999999999997</v>
      </c>
      <c r="BE22" s="24">
        <f t="shared" si="7"/>
        <v>35.08</v>
      </c>
      <c r="BF22">
        <v>80.7</v>
      </c>
      <c r="BG22">
        <v>81.39</v>
      </c>
      <c r="BH22">
        <v>81.97</v>
      </c>
      <c r="BI22" s="24">
        <f t="shared" si="8"/>
        <v>81.353333333333339</v>
      </c>
      <c r="BV22" t="s">
        <v>238</v>
      </c>
    </row>
    <row r="23" spans="1:74" x14ac:dyDescent="0.25">
      <c r="A23" t="s">
        <v>57</v>
      </c>
      <c r="B23" s="111" t="s">
        <v>1034</v>
      </c>
      <c r="C23" t="s">
        <v>49</v>
      </c>
      <c r="D23" t="s">
        <v>102</v>
      </c>
      <c r="E23">
        <v>1177</v>
      </c>
      <c r="H23" s="169" t="s">
        <v>87</v>
      </c>
      <c r="I23" t="s">
        <v>93</v>
      </c>
      <c r="K23" s="33" t="s">
        <v>61</v>
      </c>
      <c r="L23" s="10" t="s">
        <v>64</v>
      </c>
      <c r="M23">
        <v>836</v>
      </c>
      <c r="N23">
        <v>92</v>
      </c>
      <c r="O23" s="9">
        <f t="shared" si="0"/>
        <v>744</v>
      </c>
      <c r="P23">
        <v>252</v>
      </c>
      <c r="Q23">
        <v>252</v>
      </c>
      <c r="R23">
        <v>251</v>
      </c>
      <c r="S23" s="24">
        <f t="shared" si="1"/>
        <v>251.66666666666666</v>
      </c>
      <c r="T23">
        <v>122</v>
      </c>
      <c r="U23">
        <v>122</v>
      </c>
      <c r="V23">
        <v>122</v>
      </c>
      <c r="W23" s="24">
        <f t="shared" si="2"/>
        <v>122</v>
      </c>
      <c r="X23" s="36">
        <v>9.91</v>
      </c>
      <c r="Y23">
        <v>9.9</v>
      </c>
      <c r="Z23">
        <v>9.27</v>
      </c>
      <c r="AA23" s="24">
        <f t="shared" si="3"/>
        <v>9.6933333333333334</v>
      </c>
      <c r="AB23">
        <v>44.63</v>
      </c>
      <c r="AC23">
        <v>44.65</v>
      </c>
      <c r="AD23">
        <v>44.19</v>
      </c>
      <c r="AE23" s="24">
        <f t="shared" si="4"/>
        <v>44.49</v>
      </c>
      <c r="AF23">
        <v>84.28</v>
      </c>
      <c r="AG23">
        <v>84.36</v>
      </c>
      <c r="AH23">
        <v>84.3</v>
      </c>
      <c r="AI23" s="24">
        <f t="shared" si="9"/>
        <v>84.313333333333333</v>
      </c>
      <c r="AS23" t="s">
        <v>65</v>
      </c>
      <c r="AT23">
        <v>8</v>
      </c>
      <c r="AU23">
        <v>2</v>
      </c>
      <c r="AX23">
        <v>52.42</v>
      </c>
      <c r="AY23">
        <v>52.42</v>
      </c>
      <c r="AZ23">
        <v>51.53</v>
      </c>
      <c r="BA23" s="24">
        <f t="shared" si="6"/>
        <v>52.123333333333335</v>
      </c>
      <c r="BB23">
        <v>32.42</v>
      </c>
      <c r="BC23">
        <v>32.14</v>
      </c>
      <c r="BD23">
        <v>32.79</v>
      </c>
      <c r="BE23" s="24">
        <f t="shared" si="7"/>
        <v>32.449999999999996</v>
      </c>
      <c r="BF23">
        <v>79.59</v>
      </c>
      <c r="BG23">
        <v>79.86</v>
      </c>
      <c r="BH23">
        <v>80.09</v>
      </c>
      <c r="BI23" s="24">
        <f t="shared" si="8"/>
        <v>79.846666666666664</v>
      </c>
      <c r="BV23" t="s">
        <v>238</v>
      </c>
    </row>
    <row r="24" spans="1:74" x14ac:dyDescent="0.25">
      <c r="A24" t="s">
        <v>57</v>
      </c>
      <c r="B24" s="111" t="s">
        <v>1035</v>
      </c>
      <c r="C24" t="s">
        <v>49</v>
      </c>
      <c r="D24" t="s">
        <v>102</v>
      </c>
      <c r="E24">
        <v>1178</v>
      </c>
      <c r="H24" s="169" t="s">
        <v>87</v>
      </c>
      <c r="I24" t="s">
        <v>94</v>
      </c>
      <c r="K24" s="33">
        <v>2</v>
      </c>
      <c r="L24" s="10" t="s">
        <v>50</v>
      </c>
      <c r="M24">
        <v>1588</v>
      </c>
      <c r="N24">
        <v>98</v>
      </c>
      <c r="O24" s="9">
        <f t="shared" si="0"/>
        <v>1490</v>
      </c>
      <c r="P24">
        <v>320</v>
      </c>
      <c r="Q24">
        <v>319</v>
      </c>
      <c r="R24">
        <v>319</v>
      </c>
      <c r="S24" s="24">
        <f t="shared" si="1"/>
        <v>319.33333333333331</v>
      </c>
      <c r="T24">
        <v>74</v>
      </c>
      <c r="U24">
        <v>73</v>
      </c>
      <c r="V24">
        <v>74</v>
      </c>
      <c r="W24" s="24">
        <f t="shared" si="2"/>
        <v>73.666666666666671</v>
      </c>
      <c r="X24" s="36">
        <v>12.39</v>
      </c>
      <c r="Y24">
        <v>12.24</v>
      </c>
      <c r="Z24">
        <v>11.93</v>
      </c>
      <c r="AA24" s="24">
        <f t="shared" si="3"/>
        <v>12.186666666666667</v>
      </c>
      <c r="AB24">
        <v>53.37</v>
      </c>
      <c r="AC24">
        <v>53.25</v>
      </c>
      <c r="AD24">
        <v>53.1</v>
      </c>
      <c r="AE24" s="24">
        <f t="shared" si="4"/>
        <v>53.24</v>
      </c>
      <c r="AF24">
        <v>110</v>
      </c>
      <c r="AG24">
        <v>112</v>
      </c>
      <c r="AH24">
        <v>102</v>
      </c>
      <c r="AI24" s="24">
        <f t="shared" si="9"/>
        <v>108</v>
      </c>
      <c r="AX24">
        <v>65.28</v>
      </c>
      <c r="AY24">
        <v>65.680000000000007</v>
      </c>
      <c r="AZ24">
        <v>65.72</v>
      </c>
      <c r="BA24" s="24">
        <f t="shared" si="6"/>
        <v>65.56</v>
      </c>
      <c r="BB24">
        <v>41.43</v>
      </c>
      <c r="BC24">
        <v>41.11</v>
      </c>
      <c r="BD24">
        <v>40.880000000000003</v>
      </c>
      <c r="BE24" s="24">
        <f t="shared" si="7"/>
        <v>41.139999999999993</v>
      </c>
      <c r="BF24">
        <v>90.24</v>
      </c>
      <c r="BG24">
        <v>90.79</v>
      </c>
      <c r="BH24">
        <v>90.72</v>
      </c>
      <c r="BI24" s="24">
        <f t="shared" si="8"/>
        <v>90.583333333333329</v>
      </c>
      <c r="BV24" t="s">
        <v>238</v>
      </c>
    </row>
    <row r="25" spans="1:74" x14ac:dyDescent="0.25">
      <c r="A25" t="s">
        <v>57</v>
      </c>
      <c r="B25" s="111" t="s">
        <v>1036</v>
      </c>
      <c r="C25" t="s">
        <v>49</v>
      </c>
      <c r="D25" t="s">
        <v>102</v>
      </c>
      <c r="E25">
        <v>1179</v>
      </c>
      <c r="H25" s="169" t="s">
        <v>96</v>
      </c>
      <c r="I25" t="s">
        <v>95</v>
      </c>
      <c r="K25" s="33">
        <v>1</v>
      </c>
      <c r="L25" s="10" t="s">
        <v>64</v>
      </c>
      <c r="M25">
        <v>470</v>
      </c>
      <c r="N25">
        <v>97</v>
      </c>
      <c r="O25" s="9">
        <f t="shared" si="0"/>
        <v>373</v>
      </c>
      <c r="P25">
        <v>190</v>
      </c>
      <c r="Q25">
        <v>190</v>
      </c>
      <c r="R25">
        <v>190</v>
      </c>
      <c r="S25" s="24">
        <f t="shared" si="1"/>
        <v>190</v>
      </c>
      <c r="T25">
        <v>35</v>
      </c>
      <c r="U25">
        <v>35</v>
      </c>
      <c r="V25">
        <v>35</v>
      </c>
      <c r="W25" s="24">
        <f t="shared" si="2"/>
        <v>35</v>
      </c>
      <c r="X25" s="36">
        <v>7.36</v>
      </c>
      <c r="Y25">
        <v>7.28</v>
      </c>
      <c r="Z25">
        <v>6.51</v>
      </c>
      <c r="AA25" s="24">
        <f t="shared" si="3"/>
        <v>7.05</v>
      </c>
      <c r="AB25">
        <v>35.479999999999997</v>
      </c>
      <c r="AC25">
        <v>35.729999999999997</v>
      </c>
      <c r="AD25">
        <v>35.590000000000003</v>
      </c>
      <c r="AE25" s="24">
        <f t="shared" si="4"/>
        <v>35.6</v>
      </c>
      <c r="AF25">
        <v>62.3</v>
      </c>
      <c r="AG25">
        <v>61.78</v>
      </c>
      <c r="AH25">
        <v>61.69</v>
      </c>
      <c r="AI25" s="24">
        <f t="shared" si="9"/>
        <v>61.923333333333325</v>
      </c>
      <c r="AS25" t="s">
        <v>70</v>
      </c>
      <c r="AT25">
        <v>8</v>
      </c>
      <c r="AX25">
        <v>40.159999999999997</v>
      </c>
      <c r="AY25">
        <v>39.770000000000003</v>
      </c>
      <c r="AZ25">
        <v>39.75</v>
      </c>
      <c r="BA25" s="24">
        <f t="shared" si="6"/>
        <v>39.893333333333338</v>
      </c>
      <c r="BB25">
        <v>28.44</v>
      </c>
      <c r="BC25">
        <v>28.29</v>
      </c>
      <c r="BD25">
        <v>28.05</v>
      </c>
      <c r="BE25" s="24">
        <f t="shared" si="7"/>
        <v>28.26</v>
      </c>
      <c r="BF25">
        <v>64.760000000000005</v>
      </c>
      <c r="BG25">
        <v>64.92</v>
      </c>
      <c r="BH25">
        <v>64.7</v>
      </c>
      <c r="BI25" s="24">
        <f t="shared" si="8"/>
        <v>64.793333333333337</v>
      </c>
      <c r="BV25" t="s">
        <v>238</v>
      </c>
    </row>
    <row r="26" spans="1:74" x14ac:dyDescent="0.25">
      <c r="A26" t="s">
        <v>57</v>
      </c>
      <c r="B26" s="111" t="s">
        <v>1037</v>
      </c>
      <c r="C26" t="s">
        <v>49</v>
      </c>
      <c r="D26" t="s">
        <v>102</v>
      </c>
      <c r="E26">
        <v>1180</v>
      </c>
      <c r="H26" s="169" t="s">
        <v>96</v>
      </c>
      <c r="I26" t="s">
        <v>97</v>
      </c>
      <c r="K26" s="33">
        <v>2</v>
      </c>
      <c r="L26" s="10" t="s">
        <v>64</v>
      </c>
      <c r="M26">
        <v>973</v>
      </c>
      <c r="N26">
        <v>98</v>
      </c>
      <c r="O26" s="9">
        <f t="shared" si="0"/>
        <v>875</v>
      </c>
      <c r="P26">
        <v>282</v>
      </c>
      <c r="Q26">
        <v>283</v>
      </c>
      <c r="R26">
        <v>283</v>
      </c>
      <c r="S26" s="24">
        <f t="shared" si="1"/>
        <v>282.66666666666669</v>
      </c>
      <c r="T26">
        <v>26</v>
      </c>
      <c r="U26">
        <v>26</v>
      </c>
      <c r="V26">
        <v>26</v>
      </c>
      <c r="W26" s="24">
        <f t="shared" si="2"/>
        <v>26</v>
      </c>
      <c r="X26" s="36">
        <v>8.6</v>
      </c>
      <c r="Y26">
        <v>8.5500000000000007</v>
      </c>
      <c r="Z26">
        <v>9.02</v>
      </c>
      <c r="AA26" s="24">
        <f t="shared" si="3"/>
        <v>8.7233333333333327</v>
      </c>
      <c r="AB26">
        <v>45.73</v>
      </c>
      <c r="AC26">
        <v>46.09</v>
      </c>
      <c r="AD26">
        <v>46.12</v>
      </c>
      <c r="AE26" s="24">
        <f t="shared" si="4"/>
        <v>45.98</v>
      </c>
      <c r="AF26">
        <v>85.84</v>
      </c>
      <c r="AG26">
        <v>85.9</v>
      </c>
      <c r="AH26">
        <v>85.58</v>
      </c>
      <c r="AI26" s="24">
        <f t="shared" si="9"/>
        <v>85.773333333333326</v>
      </c>
      <c r="AS26" t="s">
        <v>65</v>
      </c>
      <c r="AT26">
        <v>8</v>
      </c>
      <c r="AU26">
        <v>2</v>
      </c>
      <c r="AV26">
        <v>2</v>
      </c>
      <c r="AW26" s="9">
        <v>52</v>
      </c>
      <c r="AX26">
        <v>55.24</v>
      </c>
      <c r="AY26">
        <v>54.98</v>
      </c>
      <c r="AZ26">
        <v>54.85</v>
      </c>
      <c r="BA26" s="24">
        <f t="shared" si="6"/>
        <v>55.023333333333333</v>
      </c>
      <c r="BB26">
        <v>33.270000000000003</v>
      </c>
      <c r="BC26">
        <v>33.799999999999997</v>
      </c>
      <c r="BD26">
        <v>33.9</v>
      </c>
      <c r="BE26" s="24">
        <f t="shared" si="7"/>
        <v>33.656666666666666</v>
      </c>
      <c r="BF26">
        <v>80.459999999999994</v>
      </c>
      <c r="BG26">
        <v>80.099999999999994</v>
      </c>
      <c r="BH26">
        <v>81.290000000000006</v>
      </c>
      <c r="BI26" s="24">
        <f t="shared" si="8"/>
        <v>80.616666666666674</v>
      </c>
      <c r="BV26" t="s">
        <v>238</v>
      </c>
    </row>
    <row r="27" spans="1:74" x14ac:dyDescent="0.25">
      <c r="A27" t="s">
        <v>57</v>
      </c>
      <c r="B27" s="111" t="s">
        <v>1038</v>
      </c>
      <c r="C27" t="s">
        <v>49</v>
      </c>
      <c r="D27" t="s">
        <v>102</v>
      </c>
      <c r="E27">
        <v>1181</v>
      </c>
      <c r="H27" s="169" t="s">
        <v>96</v>
      </c>
      <c r="I27" t="s">
        <v>88</v>
      </c>
      <c r="K27" s="33" t="s">
        <v>66</v>
      </c>
      <c r="L27" s="10" t="s">
        <v>64</v>
      </c>
      <c r="M27">
        <v>766</v>
      </c>
      <c r="N27">
        <v>97</v>
      </c>
      <c r="O27" s="9">
        <f t="shared" si="0"/>
        <v>669</v>
      </c>
      <c r="P27">
        <v>237</v>
      </c>
      <c r="Q27">
        <v>237</v>
      </c>
      <c r="R27">
        <v>237</v>
      </c>
      <c r="S27" s="24">
        <f t="shared" si="1"/>
        <v>237</v>
      </c>
      <c r="T27">
        <v>135</v>
      </c>
      <c r="U27">
        <v>136</v>
      </c>
      <c r="V27">
        <v>135</v>
      </c>
      <c r="W27" s="24">
        <f t="shared" si="2"/>
        <v>135.33333333333334</v>
      </c>
      <c r="X27" s="36">
        <v>8.9</v>
      </c>
      <c r="Y27">
        <v>8.7200000000000006</v>
      </c>
      <c r="Z27">
        <v>8.68</v>
      </c>
      <c r="AA27" s="24">
        <f t="shared" si="3"/>
        <v>8.7666666666666675</v>
      </c>
      <c r="AB27">
        <v>43.66</v>
      </c>
      <c r="AC27">
        <v>43.47</v>
      </c>
      <c r="AD27">
        <v>43.72</v>
      </c>
      <c r="AE27" s="24">
        <f t="shared" si="4"/>
        <v>43.616666666666667</v>
      </c>
      <c r="AF27">
        <v>79.540000000000006</v>
      </c>
      <c r="AG27">
        <v>79.319999999999993</v>
      </c>
      <c r="AH27">
        <v>79.39</v>
      </c>
      <c r="AI27" s="24">
        <f t="shared" si="9"/>
        <v>79.416666666666671</v>
      </c>
      <c r="AS27" t="s">
        <v>65</v>
      </c>
      <c r="AT27">
        <v>8</v>
      </c>
      <c r="AU27">
        <v>1</v>
      </c>
      <c r="AV27">
        <v>1</v>
      </c>
      <c r="AW27" s="9">
        <v>55</v>
      </c>
      <c r="AX27">
        <v>51.1</v>
      </c>
      <c r="AY27">
        <v>51.49</v>
      </c>
      <c r="AZ27">
        <v>51.2</v>
      </c>
      <c r="BA27" s="24">
        <f t="shared" si="6"/>
        <v>51.263333333333343</v>
      </c>
      <c r="BB27">
        <v>32.29</v>
      </c>
      <c r="BC27">
        <v>31.83</v>
      </c>
      <c r="BD27">
        <v>32.64</v>
      </c>
      <c r="BE27" s="24">
        <f t="shared" si="7"/>
        <v>32.253333333333337</v>
      </c>
      <c r="BF27">
        <v>76.3</v>
      </c>
      <c r="BG27">
        <v>76.319999999999993</v>
      </c>
      <c r="BH27">
        <v>77.05</v>
      </c>
      <c r="BI27" s="24">
        <f t="shared" si="8"/>
        <v>76.556666666666672</v>
      </c>
      <c r="BV27" t="s">
        <v>238</v>
      </c>
    </row>
    <row r="28" spans="1:74" x14ac:dyDescent="0.25">
      <c r="A28" t="s">
        <v>57</v>
      </c>
      <c r="B28" s="111" t="s">
        <v>1039</v>
      </c>
      <c r="C28" t="s">
        <v>49</v>
      </c>
      <c r="D28" t="s">
        <v>102</v>
      </c>
      <c r="E28">
        <v>1182</v>
      </c>
      <c r="H28" s="169" t="s">
        <v>98</v>
      </c>
      <c r="I28" t="s">
        <v>99</v>
      </c>
      <c r="K28" s="33">
        <v>1</v>
      </c>
      <c r="L28" s="10" t="s">
        <v>50</v>
      </c>
      <c r="M28">
        <v>431</v>
      </c>
      <c r="N28">
        <v>98</v>
      </c>
      <c r="O28" s="9">
        <f t="shared" si="0"/>
        <v>333</v>
      </c>
      <c r="P28">
        <v>173</v>
      </c>
      <c r="Q28">
        <v>173</v>
      </c>
      <c r="R28">
        <v>173</v>
      </c>
      <c r="S28" s="24">
        <f t="shared" si="1"/>
        <v>173</v>
      </c>
      <c r="T28">
        <v>0</v>
      </c>
      <c r="U28">
        <v>0</v>
      </c>
      <c r="V28">
        <v>0</v>
      </c>
      <c r="W28" s="24">
        <f t="shared" si="2"/>
        <v>0</v>
      </c>
      <c r="X28" s="36">
        <v>0</v>
      </c>
      <c r="Y28">
        <v>0</v>
      </c>
      <c r="Z28">
        <v>0</v>
      </c>
      <c r="AA28" s="24">
        <f t="shared" si="3"/>
        <v>0</v>
      </c>
      <c r="AB28">
        <v>36.24</v>
      </c>
      <c r="AC28">
        <v>36.200000000000003</v>
      </c>
      <c r="AD28">
        <v>35.9</v>
      </c>
      <c r="AE28" s="24">
        <f t="shared" si="4"/>
        <v>36.113333333333337</v>
      </c>
      <c r="AF28">
        <v>60.89</v>
      </c>
      <c r="AG28">
        <v>60.85</v>
      </c>
      <c r="AH28">
        <v>60.18</v>
      </c>
      <c r="AI28" s="24">
        <f t="shared" si="9"/>
        <v>60.640000000000008</v>
      </c>
      <c r="AX28">
        <v>39.56</v>
      </c>
      <c r="AY28">
        <v>39.85</v>
      </c>
      <c r="AZ28">
        <v>39.840000000000003</v>
      </c>
      <c r="BA28" s="24">
        <f t="shared" si="6"/>
        <v>39.75</v>
      </c>
      <c r="BB28">
        <v>27.49</v>
      </c>
      <c r="BC28">
        <v>27.54</v>
      </c>
      <c r="BD28">
        <v>28.56</v>
      </c>
      <c r="BE28" s="24">
        <f t="shared" si="7"/>
        <v>27.863333333333333</v>
      </c>
      <c r="BF28">
        <v>62.44</v>
      </c>
      <c r="BG28">
        <v>62.91</v>
      </c>
      <c r="BH28">
        <v>62.42</v>
      </c>
      <c r="BI28" s="24">
        <f t="shared" si="8"/>
        <v>62.589999999999996</v>
      </c>
      <c r="BU28" t="s">
        <v>100</v>
      </c>
      <c r="BV28" t="s">
        <v>238</v>
      </c>
    </row>
    <row r="29" spans="1:74" x14ac:dyDescent="0.25">
      <c r="A29" t="s">
        <v>57</v>
      </c>
      <c r="B29" s="111" t="s">
        <v>1040</v>
      </c>
      <c r="C29" t="s">
        <v>49</v>
      </c>
      <c r="D29" t="s">
        <v>102</v>
      </c>
      <c r="E29">
        <v>1183</v>
      </c>
      <c r="H29" s="169" t="s">
        <v>98</v>
      </c>
      <c r="I29" t="s">
        <v>101</v>
      </c>
      <c r="K29" s="33">
        <v>1</v>
      </c>
      <c r="L29" s="10" t="s">
        <v>64</v>
      </c>
      <c r="M29">
        <v>622</v>
      </c>
      <c r="N29">
        <v>90</v>
      </c>
      <c r="O29" s="9">
        <f t="shared" si="0"/>
        <v>532</v>
      </c>
      <c r="P29">
        <v>214</v>
      </c>
      <c r="Q29">
        <v>215</v>
      </c>
      <c r="R29">
        <v>214</v>
      </c>
      <c r="S29" s="24">
        <f t="shared" si="1"/>
        <v>214.33333333333334</v>
      </c>
      <c r="T29">
        <v>138</v>
      </c>
      <c r="U29">
        <v>138</v>
      </c>
      <c r="V29">
        <v>138</v>
      </c>
      <c r="W29" s="24">
        <f t="shared" si="2"/>
        <v>138</v>
      </c>
      <c r="X29" s="36">
        <v>8.07</v>
      </c>
      <c r="Y29">
        <v>8.1</v>
      </c>
      <c r="Z29">
        <v>8.35</v>
      </c>
      <c r="AA29" s="24">
        <f t="shared" si="3"/>
        <v>8.1733333333333338</v>
      </c>
      <c r="AB29">
        <v>40.43</v>
      </c>
      <c r="AC29">
        <v>40.5</v>
      </c>
      <c r="AD29">
        <v>40.44</v>
      </c>
      <c r="AE29" s="24">
        <f t="shared" si="4"/>
        <v>40.456666666666671</v>
      </c>
      <c r="AF29">
        <v>70.86</v>
      </c>
      <c r="AG29">
        <v>71.09</v>
      </c>
      <c r="AH29">
        <v>71.08</v>
      </c>
      <c r="AI29" s="24">
        <f t="shared" si="9"/>
        <v>71.009999999999991</v>
      </c>
      <c r="AX29">
        <v>45.11</v>
      </c>
      <c r="AY29">
        <v>45.04</v>
      </c>
      <c r="AZ29">
        <v>45.23</v>
      </c>
      <c r="BA29" s="24">
        <f t="shared" si="6"/>
        <v>45.126666666666665</v>
      </c>
      <c r="BB29">
        <v>29.82</v>
      </c>
      <c r="BC29">
        <v>30.01</v>
      </c>
      <c r="BD29">
        <v>29.81</v>
      </c>
      <c r="BE29" s="24">
        <f t="shared" si="7"/>
        <v>29.88</v>
      </c>
      <c r="BF29">
        <v>72.03</v>
      </c>
      <c r="BG29">
        <v>72.650000000000006</v>
      </c>
      <c r="BH29">
        <v>72.150000000000006</v>
      </c>
      <c r="BI29" s="24">
        <f t="shared" si="8"/>
        <v>72.276666666666671</v>
      </c>
      <c r="BV29" t="s">
        <v>238</v>
      </c>
    </row>
    <row r="30" spans="1:74" x14ac:dyDescent="0.25">
      <c r="A30" t="s">
        <v>57</v>
      </c>
      <c r="B30" s="111" t="s">
        <v>1041</v>
      </c>
      <c r="C30" t="s">
        <v>49</v>
      </c>
      <c r="D30" t="s">
        <v>102</v>
      </c>
      <c r="E30">
        <v>1184</v>
      </c>
      <c r="H30" s="169" t="s">
        <v>98</v>
      </c>
      <c r="I30" t="s">
        <v>92</v>
      </c>
      <c r="K30" s="33" t="s">
        <v>66</v>
      </c>
      <c r="L30" s="10" t="s">
        <v>50</v>
      </c>
      <c r="M30">
        <v>1333</v>
      </c>
      <c r="N30">
        <v>94</v>
      </c>
      <c r="O30" s="9">
        <f t="shared" si="0"/>
        <v>1239</v>
      </c>
      <c r="P30">
        <v>312</v>
      </c>
      <c r="Q30">
        <v>313</v>
      </c>
      <c r="R30">
        <v>313</v>
      </c>
      <c r="S30" s="24">
        <f t="shared" si="1"/>
        <v>312.66666666666669</v>
      </c>
      <c r="T30">
        <v>52</v>
      </c>
      <c r="U30">
        <v>52</v>
      </c>
      <c r="V30">
        <v>52</v>
      </c>
      <c r="W30" s="24">
        <f t="shared" si="2"/>
        <v>52</v>
      </c>
      <c r="X30" s="36">
        <v>11.84</v>
      </c>
      <c r="Y30">
        <v>11.96</v>
      </c>
      <c r="Z30">
        <v>11.4</v>
      </c>
      <c r="AA30" s="24">
        <f t="shared" si="3"/>
        <v>11.733333333333334</v>
      </c>
      <c r="AB30">
        <v>52.05</v>
      </c>
      <c r="AC30">
        <v>52.39</v>
      </c>
      <c r="AD30">
        <v>52.39</v>
      </c>
      <c r="AE30" s="24">
        <f t="shared" si="4"/>
        <v>52.276666666666664</v>
      </c>
      <c r="AF30">
        <v>104.35</v>
      </c>
      <c r="AG30">
        <v>104.35</v>
      </c>
      <c r="AH30">
        <v>104.55</v>
      </c>
      <c r="AI30" s="24">
        <f t="shared" si="9"/>
        <v>104.41666666666667</v>
      </c>
      <c r="AX30">
        <v>62.03</v>
      </c>
      <c r="AY30">
        <v>62.44</v>
      </c>
      <c r="AZ30">
        <v>62.72</v>
      </c>
      <c r="BA30" s="24">
        <f t="shared" si="6"/>
        <v>62.396666666666668</v>
      </c>
      <c r="BB30">
        <v>36.42</v>
      </c>
      <c r="BC30">
        <v>36.83</v>
      </c>
      <c r="BD30">
        <v>36.71</v>
      </c>
      <c r="BE30" s="24">
        <f t="shared" si="7"/>
        <v>36.653333333333336</v>
      </c>
      <c r="BF30">
        <v>87.99</v>
      </c>
      <c r="BG30">
        <v>87.96</v>
      </c>
      <c r="BH30">
        <v>87.5</v>
      </c>
      <c r="BI30" s="24">
        <f t="shared" si="8"/>
        <v>87.816666666666663</v>
      </c>
      <c r="BV30" t="s">
        <v>238</v>
      </c>
    </row>
    <row r="31" spans="1:74" s="206" customFormat="1" x14ac:dyDescent="0.25">
      <c r="A31" s="185" t="s">
        <v>1016</v>
      </c>
      <c r="B31" s="186"/>
      <c r="J31" s="190"/>
      <c r="K31" s="207"/>
      <c r="L31" s="208"/>
      <c r="O31" s="190"/>
      <c r="S31" s="209"/>
      <c r="W31" s="209"/>
      <c r="X31" s="210"/>
      <c r="AA31" s="209"/>
      <c r="AE31" s="209"/>
      <c r="AI31" s="209"/>
      <c r="AJ31" s="211"/>
      <c r="AK31" s="211"/>
      <c r="AL31" s="211"/>
      <c r="AM31" s="190"/>
      <c r="AN31" s="211"/>
      <c r="AO31" s="211"/>
      <c r="AP31" s="211"/>
      <c r="AQ31" s="190"/>
      <c r="AR31" s="208"/>
      <c r="AW31" s="190"/>
      <c r="BA31" s="209"/>
      <c r="BE31" s="209"/>
      <c r="BI31" s="209"/>
      <c r="BO31" s="190"/>
      <c r="BP31" s="211"/>
      <c r="BQ31" s="211"/>
      <c r="BR31" s="211"/>
      <c r="BS31" s="211"/>
      <c r="BT31" s="190"/>
    </row>
    <row r="32" spans="1:74" x14ac:dyDescent="0.25">
      <c r="A32" t="s">
        <v>57</v>
      </c>
      <c r="B32" s="111" t="s">
        <v>153</v>
      </c>
      <c r="C32" t="s">
        <v>201</v>
      </c>
      <c r="D32" t="s">
        <v>208</v>
      </c>
      <c r="E32" t="s">
        <v>202</v>
      </c>
      <c r="H32" s="169" t="s">
        <v>203</v>
      </c>
      <c r="I32" t="s">
        <v>204</v>
      </c>
      <c r="K32" s="33">
        <v>3</v>
      </c>
      <c r="L32" s="10" t="s">
        <v>50</v>
      </c>
      <c r="M32" s="99">
        <v>1873</v>
      </c>
      <c r="N32" s="99">
        <v>0</v>
      </c>
      <c r="O32" s="9">
        <v>1873</v>
      </c>
      <c r="P32">
        <v>324</v>
      </c>
      <c r="Q32">
        <v>325</v>
      </c>
      <c r="R32">
        <v>324</v>
      </c>
      <c r="S32" s="24">
        <f t="shared" ref="S32:S73" si="10">AVERAGE(P32:R32)</f>
        <v>324.33333333333331</v>
      </c>
      <c r="T32">
        <v>201</v>
      </c>
      <c r="U32">
        <v>202</v>
      </c>
      <c r="V32">
        <v>201</v>
      </c>
      <c r="W32" s="24">
        <f t="shared" ref="W32:W73" si="11">AVERAGE(T32:V32)</f>
        <v>201.33333333333334</v>
      </c>
      <c r="X32" s="36">
        <v>13.75</v>
      </c>
      <c r="Y32">
        <v>14.8</v>
      </c>
      <c r="Z32">
        <v>14.11</v>
      </c>
      <c r="AA32" s="24">
        <f t="shared" ref="AA32:AA73" si="12">AVERAGE(X32:Z32)</f>
        <v>14.219999999999999</v>
      </c>
      <c r="AB32">
        <v>59.8</v>
      </c>
      <c r="AC32">
        <v>58.46</v>
      </c>
      <c r="AD32">
        <v>58.7</v>
      </c>
      <c r="AE32" s="24">
        <f t="shared" ref="AE32:AE73" si="13">AVERAGE(AB32:AD32)</f>
        <v>58.986666666666657</v>
      </c>
      <c r="AF32">
        <v>106.92</v>
      </c>
      <c r="AG32">
        <v>106.66</v>
      </c>
      <c r="AH32">
        <v>106.97</v>
      </c>
      <c r="AI32" s="24">
        <f t="shared" ref="AI32:AI73" si="14">AVERAGE(AF32:AH32)</f>
        <v>106.84999999999998</v>
      </c>
      <c r="AX32">
        <v>68.03</v>
      </c>
      <c r="AY32">
        <v>69.430000000000007</v>
      </c>
      <c r="AZ32">
        <v>69.75</v>
      </c>
      <c r="BA32" s="24">
        <f t="shared" ref="BA32:BA73" si="15">AVERAGE(AX32:AZ32)</f>
        <v>69.070000000000007</v>
      </c>
      <c r="BB32">
        <v>37.83</v>
      </c>
      <c r="BC32">
        <v>38.46</v>
      </c>
      <c r="BD32">
        <v>38.14</v>
      </c>
      <c r="BE32" s="24">
        <f t="shared" ref="BE32:BE73" si="16">AVERAGE(BB32:BD32)</f>
        <v>38.143333333333331</v>
      </c>
      <c r="BF32">
        <v>94.04</v>
      </c>
      <c r="BG32">
        <v>94.77</v>
      </c>
      <c r="BH32">
        <v>94.31</v>
      </c>
      <c r="BI32" s="24">
        <f t="shared" ref="BI32:BI73" si="17">AVERAGE(BF32:BH32)</f>
        <v>94.373333333333335</v>
      </c>
      <c r="BJ32" t="s">
        <v>51</v>
      </c>
      <c r="BK32" t="s">
        <v>51</v>
      </c>
      <c r="BM32" t="s">
        <v>51</v>
      </c>
      <c r="BP32" s="35"/>
      <c r="BU32" t="s">
        <v>205</v>
      </c>
      <c r="BV32" t="s">
        <v>238</v>
      </c>
    </row>
    <row r="33" spans="1:74" x14ac:dyDescent="0.25">
      <c r="A33" t="s">
        <v>57</v>
      </c>
      <c r="B33" s="111" t="s">
        <v>1025</v>
      </c>
      <c r="C33" t="s">
        <v>207</v>
      </c>
      <c r="D33" t="s">
        <v>208</v>
      </c>
      <c r="E33">
        <v>1166</v>
      </c>
      <c r="H33" s="169" t="s">
        <v>206</v>
      </c>
      <c r="I33" t="s">
        <v>74</v>
      </c>
      <c r="K33" s="33" t="s">
        <v>61</v>
      </c>
      <c r="L33" s="10" t="s">
        <v>50</v>
      </c>
      <c r="M33">
        <v>1039</v>
      </c>
      <c r="N33">
        <v>98</v>
      </c>
      <c r="O33" s="9">
        <f t="shared" ref="O33:O64" si="18">M33-N33</f>
        <v>941</v>
      </c>
      <c r="P33">
        <v>273</v>
      </c>
      <c r="Q33">
        <v>273</v>
      </c>
      <c r="R33">
        <v>272</v>
      </c>
      <c r="S33" s="24">
        <f t="shared" si="10"/>
        <v>272.66666666666669</v>
      </c>
      <c r="T33">
        <v>129</v>
      </c>
      <c r="U33">
        <v>128</v>
      </c>
      <c r="V33">
        <v>128</v>
      </c>
      <c r="W33" s="24">
        <f t="shared" si="11"/>
        <v>128.33333333333334</v>
      </c>
      <c r="X33" s="36">
        <v>10.36</v>
      </c>
      <c r="Y33">
        <v>10.32</v>
      </c>
      <c r="Z33">
        <v>10.64</v>
      </c>
      <c r="AA33" s="24">
        <f t="shared" si="12"/>
        <v>10.44</v>
      </c>
      <c r="AB33">
        <v>48.03</v>
      </c>
      <c r="AC33">
        <v>47.97</v>
      </c>
      <c r="AD33">
        <v>47.87</v>
      </c>
      <c r="AE33" s="24">
        <f t="shared" si="13"/>
        <v>47.956666666666671</v>
      </c>
      <c r="AF33">
        <v>90.92</v>
      </c>
      <c r="AG33">
        <v>90.86</v>
      </c>
      <c r="AH33">
        <v>90.74</v>
      </c>
      <c r="AI33" s="24">
        <f t="shared" si="14"/>
        <v>90.839999999999989</v>
      </c>
      <c r="AX33">
        <v>55.97</v>
      </c>
      <c r="AY33">
        <v>55.92</v>
      </c>
      <c r="AZ33">
        <v>55.81</v>
      </c>
      <c r="BA33" s="24">
        <f t="shared" si="15"/>
        <v>55.9</v>
      </c>
      <c r="BB33">
        <v>34.9</v>
      </c>
      <c r="BC33">
        <v>34.49</v>
      </c>
      <c r="BD33">
        <v>34.44</v>
      </c>
      <c r="BE33" s="24">
        <f t="shared" si="16"/>
        <v>34.61</v>
      </c>
      <c r="BF33">
        <v>83.53</v>
      </c>
      <c r="BG33">
        <v>83.81</v>
      </c>
      <c r="BH33">
        <v>83.33</v>
      </c>
      <c r="BI33" s="24">
        <f t="shared" si="17"/>
        <v>83.556666666666672</v>
      </c>
      <c r="BJ33" t="s">
        <v>51</v>
      </c>
      <c r="BK33" t="s">
        <v>51</v>
      </c>
      <c r="BV33" t="s">
        <v>238</v>
      </c>
    </row>
    <row r="34" spans="1:74" x14ac:dyDescent="0.25">
      <c r="A34" t="s">
        <v>57</v>
      </c>
      <c r="B34" s="111" t="s">
        <v>1026</v>
      </c>
      <c r="C34" t="s">
        <v>207</v>
      </c>
      <c r="D34" t="s">
        <v>208</v>
      </c>
      <c r="E34">
        <v>1167</v>
      </c>
      <c r="H34" s="169" t="s">
        <v>206</v>
      </c>
      <c r="I34" t="s">
        <v>209</v>
      </c>
      <c r="K34" s="33" t="s">
        <v>61</v>
      </c>
      <c r="L34" s="10" t="s">
        <v>64</v>
      </c>
      <c r="M34">
        <v>753</v>
      </c>
      <c r="N34">
        <v>98</v>
      </c>
      <c r="O34" s="9">
        <f t="shared" si="18"/>
        <v>655</v>
      </c>
      <c r="P34">
        <v>249</v>
      </c>
      <c r="Q34">
        <v>249</v>
      </c>
      <c r="R34">
        <v>249</v>
      </c>
      <c r="S34" s="24">
        <f t="shared" si="10"/>
        <v>249</v>
      </c>
      <c r="T34">
        <v>156</v>
      </c>
      <c r="U34">
        <v>154</v>
      </c>
      <c r="V34">
        <v>155</v>
      </c>
      <c r="W34" s="24">
        <f t="shared" si="11"/>
        <v>155</v>
      </c>
      <c r="X34" s="36">
        <v>8.89</v>
      </c>
      <c r="Y34">
        <v>8.61</v>
      </c>
      <c r="Z34">
        <v>9.36</v>
      </c>
      <c r="AA34" s="24">
        <f t="shared" si="12"/>
        <v>8.9533333333333331</v>
      </c>
      <c r="AB34">
        <v>35.89</v>
      </c>
      <c r="AC34">
        <v>35.92</v>
      </c>
      <c r="AD34">
        <v>35.96</v>
      </c>
      <c r="AE34" s="24">
        <f t="shared" si="13"/>
        <v>35.923333333333339</v>
      </c>
      <c r="AF34">
        <v>26.18</v>
      </c>
      <c r="AG34">
        <v>26.13</v>
      </c>
      <c r="AH34">
        <v>26.05</v>
      </c>
      <c r="AI34" s="24">
        <f t="shared" si="14"/>
        <v>26.12</v>
      </c>
      <c r="AS34" t="s">
        <v>65</v>
      </c>
      <c r="AT34">
        <v>8</v>
      </c>
      <c r="AU34">
        <v>7</v>
      </c>
      <c r="AX34">
        <v>52.11</v>
      </c>
      <c r="AY34">
        <v>52.27</v>
      </c>
      <c r="AZ34">
        <v>52.23</v>
      </c>
      <c r="BA34" s="24">
        <f t="shared" si="15"/>
        <v>52.203333333333326</v>
      </c>
      <c r="BB34">
        <v>32.78</v>
      </c>
      <c r="BC34">
        <v>31.7</v>
      </c>
      <c r="BD34">
        <v>32.39</v>
      </c>
      <c r="BE34" s="24">
        <f t="shared" si="16"/>
        <v>32.29</v>
      </c>
      <c r="BF34">
        <v>75.34</v>
      </c>
      <c r="BG34">
        <v>75.55</v>
      </c>
      <c r="BH34">
        <v>75.010000000000005</v>
      </c>
      <c r="BI34" s="24">
        <f t="shared" si="17"/>
        <v>75.3</v>
      </c>
      <c r="BJ34" t="s">
        <v>51</v>
      </c>
      <c r="BK34" t="s">
        <v>51</v>
      </c>
      <c r="BV34" t="s">
        <v>238</v>
      </c>
    </row>
    <row r="35" spans="1:74" x14ac:dyDescent="0.25">
      <c r="A35" t="s">
        <v>57</v>
      </c>
      <c r="B35" s="111" t="s">
        <v>1022</v>
      </c>
      <c r="C35" t="s">
        <v>207</v>
      </c>
      <c r="D35" t="s">
        <v>208</v>
      </c>
      <c r="E35">
        <v>1160</v>
      </c>
      <c r="H35" s="169" t="s">
        <v>211</v>
      </c>
      <c r="I35" t="s">
        <v>210</v>
      </c>
      <c r="K35" s="33">
        <v>1</v>
      </c>
      <c r="L35" s="10" t="s">
        <v>64</v>
      </c>
      <c r="M35">
        <v>572</v>
      </c>
      <c r="N35">
        <v>90</v>
      </c>
      <c r="O35" s="9">
        <f t="shared" si="18"/>
        <v>482</v>
      </c>
      <c r="P35">
        <v>225</v>
      </c>
      <c r="Q35">
        <v>225</v>
      </c>
      <c r="R35">
        <v>224</v>
      </c>
      <c r="S35" s="24">
        <f t="shared" si="10"/>
        <v>224.66666666666666</v>
      </c>
      <c r="T35">
        <v>0</v>
      </c>
      <c r="U35">
        <v>0</v>
      </c>
      <c r="V35">
        <v>0</v>
      </c>
      <c r="W35" s="24">
        <f t="shared" si="11"/>
        <v>0</v>
      </c>
      <c r="X35" s="36">
        <v>0</v>
      </c>
      <c r="Y35">
        <v>0</v>
      </c>
      <c r="Z35">
        <v>0</v>
      </c>
      <c r="AA35" s="24">
        <f t="shared" si="12"/>
        <v>0</v>
      </c>
      <c r="AB35">
        <v>41.01</v>
      </c>
      <c r="AC35">
        <v>41.09</v>
      </c>
      <c r="AD35">
        <v>41.67</v>
      </c>
      <c r="AE35" s="24">
        <f t="shared" si="13"/>
        <v>41.256666666666668</v>
      </c>
      <c r="AF35">
        <v>71.92</v>
      </c>
      <c r="AG35">
        <v>71.27</v>
      </c>
      <c r="AH35">
        <v>70.44</v>
      </c>
      <c r="AI35" s="24">
        <f t="shared" si="14"/>
        <v>71.209999999999994</v>
      </c>
      <c r="AS35" t="s">
        <v>65</v>
      </c>
      <c r="AT35">
        <v>8</v>
      </c>
      <c r="AU35">
        <v>0</v>
      </c>
      <c r="AX35">
        <v>44.97</v>
      </c>
      <c r="AY35">
        <v>44.94</v>
      </c>
      <c r="AZ35">
        <v>44.26</v>
      </c>
      <c r="BA35" s="24">
        <f t="shared" si="15"/>
        <v>44.723333333333329</v>
      </c>
      <c r="BB35">
        <v>30.69</v>
      </c>
      <c r="BC35">
        <v>30.33</v>
      </c>
      <c r="BD35">
        <v>30.68</v>
      </c>
      <c r="BE35" s="24">
        <f t="shared" si="16"/>
        <v>30.566666666666663</v>
      </c>
      <c r="BF35">
        <v>69.290000000000006</v>
      </c>
      <c r="BG35">
        <v>68.47</v>
      </c>
      <c r="BH35">
        <v>68.53</v>
      </c>
      <c r="BI35" s="24">
        <f t="shared" si="17"/>
        <v>68.763333333333335</v>
      </c>
      <c r="BJ35" t="s">
        <v>51</v>
      </c>
      <c r="BK35" t="s">
        <v>51</v>
      </c>
      <c r="BM35" t="s">
        <v>238</v>
      </c>
      <c r="BP35" s="35"/>
      <c r="BV35" t="s">
        <v>238</v>
      </c>
    </row>
    <row r="36" spans="1:74" x14ac:dyDescent="0.25">
      <c r="A36" s="212" t="s">
        <v>57</v>
      </c>
      <c r="B36" s="212" t="s">
        <v>1042</v>
      </c>
      <c r="C36" t="s">
        <v>49</v>
      </c>
      <c r="D36" t="s">
        <v>208</v>
      </c>
      <c r="E36">
        <v>1190</v>
      </c>
      <c r="H36" s="169" t="s">
        <v>211</v>
      </c>
      <c r="I36" t="s">
        <v>212</v>
      </c>
      <c r="L36" s="10" t="s">
        <v>64</v>
      </c>
      <c r="M36">
        <v>785</v>
      </c>
      <c r="N36">
        <v>88</v>
      </c>
      <c r="O36" s="9">
        <f t="shared" si="18"/>
        <v>697</v>
      </c>
      <c r="P36">
        <v>254</v>
      </c>
      <c r="Q36">
        <v>255</v>
      </c>
      <c r="R36">
        <v>255</v>
      </c>
      <c r="S36" s="24">
        <f t="shared" si="10"/>
        <v>254.66666666666666</v>
      </c>
      <c r="T36">
        <v>154</v>
      </c>
      <c r="U36">
        <v>154</v>
      </c>
      <c r="V36">
        <v>154</v>
      </c>
      <c r="W36" s="24">
        <f t="shared" si="11"/>
        <v>154</v>
      </c>
      <c r="X36" s="36">
        <v>11.19</v>
      </c>
      <c r="Y36">
        <v>11.84</v>
      </c>
      <c r="Z36">
        <v>11.23</v>
      </c>
      <c r="AA36" s="24">
        <f t="shared" si="12"/>
        <v>11.420000000000002</v>
      </c>
      <c r="AB36">
        <v>54.52</v>
      </c>
      <c r="AC36">
        <v>54.28</v>
      </c>
      <c r="AD36">
        <v>54.38</v>
      </c>
      <c r="AE36" s="24">
        <f t="shared" si="13"/>
        <v>54.393333333333338</v>
      </c>
      <c r="AF36">
        <v>85.8</v>
      </c>
      <c r="AG36">
        <v>85.91</v>
      </c>
      <c r="AH36">
        <v>85.36</v>
      </c>
      <c r="AI36" s="24">
        <f t="shared" si="14"/>
        <v>85.69</v>
      </c>
      <c r="AS36" t="s">
        <v>65</v>
      </c>
      <c r="AT36">
        <v>8</v>
      </c>
      <c r="AU36">
        <v>2</v>
      </c>
      <c r="AX36">
        <v>51.92</v>
      </c>
      <c r="AY36">
        <v>51.74</v>
      </c>
      <c r="AZ36">
        <v>51.76</v>
      </c>
      <c r="BA36" s="24">
        <f t="shared" si="15"/>
        <v>51.806666666666665</v>
      </c>
      <c r="BB36">
        <v>33.36</v>
      </c>
      <c r="BC36">
        <v>33.39</v>
      </c>
      <c r="BD36">
        <v>33.35</v>
      </c>
      <c r="BE36" s="24">
        <f t="shared" si="16"/>
        <v>33.366666666666667</v>
      </c>
      <c r="BF36">
        <v>76.58</v>
      </c>
      <c r="BG36">
        <v>76.510000000000005</v>
      </c>
      <c r="BH36">
        <v>76.2</v>
      </c>
      <c r="BI36" s="24">
        <f t="shared" si="17"/>
        <v>76.430000000000007</v>
      </c>
      <c r="BJ36" t="s">
        <v>51</v>
      </c>
      <c r="BK36" t="s">
        <v>51</v>
      </c>
      <c r="BM36" t="s">
        <v>238</v>
      </c>
      <c r="BV36" s="113" t="s">
        <v>614</v>
      </c>
    </row>
    <row r="37" spans="1:74" x14ac:dyDescent="0.25">
      <c r="A37" t="s">
        <v>57</v>
      </c>
      <c r="B37" s="111" t="s">
        <v>1043</v>
      </c>
      <c r="C37" t="s">
        <v>49</v>
      </c>
      <c r="D37" t="s">
        <v>208</v>
      </c>
      <c r="E37">
        <v>1192</v>
      </c>
      <c r="H37" s="169" t="s">
        <v>213</v>
      </c>
      <c r="I37" t="s">
        <v>220</v>
      </c>
      <c r="K37" s="33">
        <v>1</v>
      </c>
      <c r="L37" s="10" t="s">
        <v>50</v>
      </c>
      <c r="M37">
        <v>611</v>
      </c>
      <c r="N37">
        <v>94</v>
      </c>
      <c r="O37" s="9">
        <f t="shared" si="18"/>
        <v>517</v>
      </c>
      <c r="P37">
        <v>214</v>
      </c>
      <c r="Q37">
        <v>214</v>
      </c>
      <c r="R37">
        <v>214</v>
      </c>
      <c r="S37" s="24">
        <f t="shared" si="10"/>
        <v>214</v>
      </c>
      <c r="T37">
        <v>140</v>
      </c>
      <c r="U37">
        <v>140</v>
      </c>
      <c r="V37">
        <v>140</v>
      </c>
      <c r="W37" s="24">
        <f t="shared" si="11"/>
        <v>140</v>
      </c>
      <c r="X37" s="36">
        <v>816</v>
      </c>
      <c r="Y37">
        <v>817</v>
      </c>
      <c r="Z37">
        <v>877</v>
      </c>
      <c r="AA37" s="24">
        <f t="shared" si="12"/>
        <v>836.66666666666663</v>
      </c>
      <c r="AB37">
        <v>40.58</v>
      </c>
      <c r="AC37">
        <v>30.57</v>
      </c>
      <c r="AD37">
        <v>40.42</v>
      </c>
      <c r="AE37" s="24">
        <f t="shared" si="13"/>
        <v>37.190000000000005</v>
      </c>
      <c r="AF37">
        <v>71.099999999999994</v>
      </c>
      <c r="AG37">
        <v>71.010000000000005</v>
      </c>
      <c r="AH37">
        <v>70.69</v>
      </c>
      <c r="AI37" s="24">
        <f t="shared" si="14"/>
        <v>70.933333333333337</v>
      </c>
      <c r="AX37">
        <v>45.88</v>
      </c>
      <c r="AY37">
        <v>45.78</v>
      </c>
      <c r="AZ37">
        <v>45.72</v>
      </c>
      <c r="BA37" s="24">
        <f t="shared" si="15"/>
        <v>45.793333333333329</v>
      </c>
      <c r="BB37">
        <v>33.17</v>
      </c>
      <c r="BC37">
        <v>32.49</v>
      </c>
      <c r="BD37">
        <v>33.53</v>
      </c>
      <c r="BE37" s="24">
        <f t="shared" si="16"/>
        <v>33.063333333333333</v>
      </c>
      <c r="BF37">
        <v>73.23</v>
      </c>
      <c r="BG37">
        <v>73.239999999999995</v>
      </c>
      <c r="BH37">
        <v>73.45</v>
      </c>
      <c r="BI37" s="24">
        <f t="shared" si="17"/>
        <v>73.306666666666672</v>
      </c>
      <c r="BJ37" t="s">
        <v>51</v>
      </c>
      <c r="BK37" t="s">
        <v>51</v>
      </c>
      <c r="BP37" s="12" t="s">
        <v>51</v>
      </c>
      <c r="BT37" s="9" t="s">
        <v>51</v>
      </c>
      <c r="BV37" t="s">
        <v>238</v>
      </c>
    </row>
    <row r="38" spans="1:74" x14ac:dyDescent="0.25">
      <c r="A38" t="s">
        <v>57</v>
      </c>
      <c r="B38" s="111" t="s">
        <v>1040</v>
      </c>
      <c r="C38" t="s">
        <v>207</v>
      </c>
      <c r="D38" t="s">
        <v>208</v>
      </c>
      <c r="E38">
        <v>1183</v>
      </c>
      <c r="H38" s="169" t="s">
        <v>213</v>
      </c>
      <c r="I38" t="s">
        <v>214</v>
      </c>
      <c r="K38" s="34" t="s">
        <v>61</v>
      </c>
      <c r="L38" s="10" t="s">
        <v>64</v>
      </c>
      <c r="M38">
        <v>615</v>
      </c>
      <c r="N38">
        <v>96</v>
      </c>
      <c r="O38" s="9">
        <f t="shared" si="18"/>
        <v>519</v>
      </c>
      <c r="P38">
        <v>215</v>
      </c>
      <c r="Q38">
        <v>215</v>
      </c>
      <c r="R38">
        <v>215</v>
      </c>
      <c r="S38" s="24">
        <f t="shared" si="10"/>
        <v>215</v>
      </c>
      <c r="T38">
        <v>136</v>
      </c>
      <c r="U38">
        <v>136</v>
      </c>
      <c r="V38">
        <v>136</v>
      </c>
      <c r="W38" s="24">
        <f t="shared" si="11"/>
        <v>136</v>
      </c>
      <c r="X38" s="36">
        <v>872</v>
      </c>
      <c r="Y38">
        <v>829</v>
      </c>
      <c r="Z38">
        <v>825</v>
      </c>
      <c r="AA38" s="24">
        <f t="shared" si="12"/>
        <v>842</v>
      </c>
      <c r="AB38">
        <v>40.81</v>
      </c>
      <c r="AC38">
        <v>40.76</v>
      </c>
      <c r="AD38">
        <v>40.61</v>
      </c>
      <c r="AE38" s="24">
        <f t="shared" si="13"/>
        <v>40.726666666666667</v>
      </c>
      <c r="AF38">
        <v>70.900000000000006</v>
      </c>
      <c r="AG38">
        <v>70.959999999999994</v>
      </c>
      <c r="AH38">
        <v>70.77</v>
      </c>
      <c r="AI38" s="24">
        <f t="shared" si="14"/>
        <v>70.876666666666665</v>
      </c>
      <c r="AS38" t="s">
        <v>65</v>
      </c>
      <c r="AT38">
        <v>8</v>
      </c>
      <c r="AU38">
        <v>0</v>
      </c>
      <c r="AX38">
        <v>46.63</v>
      </c>
      <c r="AY38">
        <v>46.03</v>
      </c>
      <c r="AZ38">
        <v>46.38</v>
      </c>
      <c r="BA38" s="24">
        <f t="shared" si="15"/>
        <v>46.346666666666664</v>
      </c>
      <c r="BB38">
        <v>30.16</v>
      </c>
      <c r="BC38">
        <v>29.92</v>
      </c>
      <c r="BD38">
        <v>29.63</v>
      </c>
      <c r="BE38" s="24">
        <f t="shared" si="16"/>
        <v>29.903333333333332</v>
      </c>
      <c r="BF38">
        <v>70.8</v>
      </c>
      <c r="BG38">
        <v>70.39</v>
      </c>
      <c r="BH38">
        <v>70.2</v>
      </c>
      <c r="BI38" s="24">
        <f t="shared" si="17"/>
        <v>70.463333333333324</v>
      </c>
      <c r="BJ38" t="s">
        <v>51</v>
      </c>
      <c r="BK38" t="s">
        <v>51</v>
      </c>
      <c r="BP38" s="12" t="s">
        <v>51</v>
      </c>
      <c r="BT38" s="9" t="s">
        <v>51</v>
      </c>
      <c r="BV38" t="s">
        <v>238</v>
      </c>
    </row>
    <row r="39" spans="1:74" x14ac:dyDescent="0.25">
      <c r="A39" t="s">
        <v>57</v>
      </c>
      <c r="B39" s="111" t="s">
        <v>1017</v>
      </c>
      <c r="C39" t="s">
        <v>207</v>
      </c>
      <c r="D39" t="s">
        <v>208</v>
      </c>
      <c r="E39">
        <v>1121</v>
      </c>
      <c r="H39" s="169" t="s">
        <v>213</v>
      </c>
      <c r="I39" t="s">
        <v>215</v>
      </c>
      <c r="K39" s="33">
        <v>1</v>
      </c>
      <c r="L39" s="10" t="s">
        <v>50</v>
      </c>
      <c r="M39">
        <v>720</v>
      </c>
      <c r="N39">
        <v>98</v>
      </c>
      <c r="O39" s="9">
        <f t="shared" si="18"/>
        <v>622</v>
      </c>
      <c r="P39">
        <v>226</v>
      </c>
      <c r="Q39">
        <v>226</v>
      </c>
      <c r="R39">
        <v>226</v>
      </c>
      <c r="S39" s="24">
        <f t="shared" si="10"/>
        <v>226</v>
      </c>
      <c r="T39">
        <v>157</v>
      </c>
      <c r="U39">
        <v>156</v>
      </c>
      <c r="V39">
        <v>156</v>
      </c>
      <c r="W39" s="24">
        <f t="shared" si="11"/>
        <v>156.33333333333334</v>
      </c>
      <c r="X39" s="36">
        <v>960</v>
      </c>
      <c r="Y39">
        <v>956</v>
      </c>
      <c r="Z39">
        <v>977</v>
      </c>
      <c r="AA39" s="24">
        <f t="shared" si="12"/>
        <v>964.33333333333337</v>
      </c>
      <c r="AB39">
        <v>42.74</v>
      </c>
      <c r="AC39">
        <v>42.79</v>
      </c>
      <c r="AD39">
        <v>42.99</v>
      </c>
      <c r="AE39" s="24">
        <f t="shared" si="13"/>
        <v>42.84</v>
      </c>
      <c r="AF39">
        <v>79.87</v>
      </c>
      <c r="AG39">
        <v>80.5</v>
      </c>
      <c r="AH39">
        <v>79.88</v>
      </c>
      <c r="AI39" s="24">
        <f t="shared" si="14"/>
        <v>80.083333333333329</v>
      </c>
      <c r="AX39">
        <v>51.3</v>
      </c>
      <c r="AY39">
        <v>51.38</v>
      </c>
      <c r="AZ39">
        <v>49.33</v>
      </c>
      <c r="BA39" s="24">
        <f t="shared" si="15"/>
        <v>50.669999999999995</v>
      </c>
      <c r="BB39">
        <v>32.97</v>
      </c>
      <c r="BC39">
        <v>32.53</v>
      </c>
      <c r="BD39">
        <v>32.590000000000003</v>
      </c>
      <c r="BE39" s="24">
        <f t="shared" si="16"/>
        <v>32.696666666666665</v>
      </c>
      <c r="BF39">
        <v>79.11</v>
      </c>
      <c r="BG39">
        <v>79.06</v>
      </c>
      <c r="BH39">
        <v>79.040000000000006</v>
      </c>
      <c r="BI39" s="24">
        <f t="shared" si="17"/>
        <v>79.070000000000007</v>
      </c>
      <c r="BJ39" t="s">
        <v>51</v>
      </c>
      <c r="BK39" t="s">
        <v>51</v>
      </c>
      <c r="BP39" s="12" t="s">
        <v>51</v>
      </c>
      <c r="BT39" s="9" t="s">
        <v>51</v>
      </c>
      <c r="BV39" t="s">
        <v>238</v>
      </c>
    </row>
    <row r="40" spans="1:74" x14ac:dyDescent="0.25">
      <c r="A40" t="s">
        <v>57</v>
      </c>
      <c r="B40" s="111" t="s">
        <v>1044</v>
      </c>
      <c r="C40" t="s">
        <v>49</v>
      </c>
      <c r="D40" t="s">
        <v>208</v>
      </c>
      <c r="E40">
        <v>1193</v>
      </c>
      <c r="H40" s="169" t="s">
        <v>213</v>
      </c>
      <c r="I40" t="s">
        <v>101</v>
      </c>
      <c r="K40" s="33" t="s">
        <v>82</v>
      </c>
      <c r="L40" s="10" t="s">
        <v>64</v>
      </c>
      <c r="M40">
        <v>954</v>
      </c>
      <c r="N40">
        <v>91</v>
      </c>
      <c r="O40" s="9">
        <f t="shared" si="18"/>
        <v>863</v>
      </c>
      <c r="P40">
        <v>256</v>
      </c>
      <c r="Q40">
        <v>255</v>
      </c>
      <c r="R40">
        <v>255</v>
      </c>
      <c r="S40" s="24">
        <f t="shared" si="10"/>
        <v>255.33333333333334</v>
      </c>
      <c r="T40">
        <v>144</v>
      </c>
      <c r="U40">
        <v>144</v>
      </c>
      <c r="V40">
        <v>144</v>
      </c>
      <c r="W40" s="24">
        <f t="shared" si="11"/>
        <v>144</v>
      </c>
      <c r="X40" s="36">
        <v>969</v>
      </c>
      <c r="Y40">
        <v>958</v>
      </c>
      <c r="Z40">
        <v>962</v>
      </c>
      <c r="AA40" s="24">
        <f t="shared" si="12"/>
        <v>963</v>
      </c>
      <c r="AB40">
        <v>43.81</v>
      </c>
      <c r="AC40">
        <v>43.35</v>
      </c>
      <c r="AD40">
        <v>43.37</v>
      </c>
      <c r="AE40" s="24">
        <f t="shared" si="13"/>
        <v>43.51</v>
      </c>
      <c r="AF40">
        <v>85.94</v>
      </c>
      <c r="AG40">
        <v>85.85</v>
      </c>
      <c r="AH40">
        <v>85.47</v>
      </c>
      <c r="AI40" s="24">
        <f t="shared" si="14"/>
        <v>85.75333333333333</v>
      </c>
      <c r="AS40" t="s">
        <v>65</v>
      </c>
      <c r="AT40">
        <v>8</v>
      </c>
      <c r="AU40">
        <v>7</v>
      </c>
      <c r="AX40">
        <v>54.95</v>
      </c>
      <c r="AY40">
        <v>53.68</v>
      </c>
      <c r="AZ40">
        <v>53.36</v>
      </c>
      <c r="BA40" s="24">
        <f t="shared" si="15"/>
        <v>53.99666666666667</v>
      </c>
      <c r="BB40">
        <v>33.270000000000003</v>
      </c>
      <c r="BC40">
        <v>33.130000000000003</v>
      </c>
      <c r="BD40">
        <v>32.96</v>
      </c>
      <c r="BE40" s="24">
        <f t="shared" si="16"/>
        <v>33.120000000000005</v>
      </c>
      <c r="BF40">
        <v>80.599999999999994</v>
      </c>
      <c r="BG40">
        <v>80.19</v>
      </c>
      <c r="BH40">
        <v>80.930000000000007</v>
      </c>
      <c r="BI40" s="24">
        <f t="shared" si="17"/>
        <v>80.573333333333338</v>
      </c>
      <c r="BJ40" t="s">
        <v>51</v>
      </c>
      <c r="BK40" t="s">
        <v>51</v>
      </c>
      <c r="BP40" s="35" t="s">
        <v>51</v>
      </c>
      <c r="BT40" s="9" t="s">
        <v>51</v>
      </c>
      <c r="BV40" t="s">
        <v>238</v>
      </c>
    </row>
    <row r="41" spans="1:74" x14ac:dyDescent="0.25">
      <c r="A41" t="s">
        <v>57</v>
      </c>
      <c r="B41" s="111" t="s">
        <v>1031</v>
      </c>
      <c r="C41" t="s">
        <v>207</v>
      </c>
      <c r="D41" t="s">
        <v>208</v>
      </c>
      <c r="E41">
        <v>1174</v>
      </c>
      <c r="H41" s="169" t="s">
        <v>216</v>
      </c>
      <c r="I41" t="s">
        <v>217</v>
      </c>
      <c r="K41" s="33" t="s">
        <v>66</v>
      </c>
      <c r="L41" s="10" t="s">
        <v>64</v>
      </c>
      <c r="M41">
        <v>893</v>
      </c>
      <c r="N41">
        <v>96</v>
      </c>
      <c r="O41" s="9">
        <f t="shared" si="18"/>
        <v>797</v>
      </c>
      <c r="P41">
        <v>256</v>
      </c>
      <c r="Q41">
        <v>257</v>
      </c>
      <c r="R41">
        <v>257</v>
      </c>
      <c r="S41" s="24">
        <f t="shared" si="10"/>
        <v>256.66666666666669</v>
      </c>
      <c r="T41">
        <v>145</v>
      </c>
      <c r="U41">
        <v>145</v>
      </c>
      <c r="V41">
        <v>146</v>
      </c>
      <c r="W41" s="24">
        <f t="shared" si="11"/>
        <v>145.33333333333334</v>
      </c>
      <c r="X41" s="36">
        <v>10</v>
      </c>
      <c r="Y41">
        <v>10</v>
      </c>
      <c r="Z41">
        <v>10</v>
      </c>
      <c r="AA41" s="24">
        <f t="shared" si="12"/>
        <v>10</v>
      </c>
      <c r="AB41">
        <v>46.44</v>
      </c>
      <c r="AC41">
        <v>46.3</v>
      </c>
      <c r="AD41">
        <v>46.47</v>
      </c>
      <c r="AE41" s="24">
        <f t="shared" si="13"/>
        <v>46.403333333333329</v>
      </c>
      <c r="AF41">
        <v>85.95</v>
      </c>
      <c r="AG41">
        <v>85.06</v>
      </c>
      <c r="AH41">
        <v>84.56</v>
      </c>
      <c r="AI41" s="24">
        <f t="shared" si="14"/>
        <v>85.19</v>
      </c>
      <c r="AS41" t="s">
        <v>65</v>
      </c>
      <c r="AT41">
        <v>8</v>
      </c>
      <c r="AU41">
        <v>6</v>
      </c>
      <c r="AX41">
        <v>52.84</v>
      </c>
      <c r="AY41">
        <v>52.58</v>
      </c>
      <c r="AZ41">
        <v>52.41</v>
      </c>
      <c r="BA41" s="24">
        <f t="shared" si="15"/>
        <v>52.609999999999992</v>
      </c>
      <c r="BB41">
        <v>32.53</v>
      </c>
      <c r="BC41">
        <v>34.630000000000003</v>
      </c>
      <c r="BD41">
        <v>34.25</v>
      </c>
      <c r="BE41" s="24">
        <f t="shared" si="16"/>
        <v>33.803333333333335</v>
      </c>
      <c r="BF41">
        <v>80.12</v>
      </c>
      <c r="BG41">
        <v>79.03</v>
      </c>
      <c r="BH41">
        <v>79.89</v>
      </c>
      <c r="BI41" s="24">
        <f t="shared" si="17"/>
        <v>79.680000000000007</v>
      </c>
      <c r="BJ41" t="s">
        <v>51</v>
      </c>
      <c r="BK41" t="s">
        <v>51</v>
      </c>
      <c r="BP41" s="35" t="s">
        <v>51</v>
      </c>
      <c r="BT41" s="9" t="s">
        <v>51</v>
      </c>
      <c r="BV41" t="s">
        <v>238</v>
      </c>
    </row>
    <row r="42" spans="1:74" x14ac:dyDescent="0.25">
      <c r="A42" t="s">
        <v>57</v>
      </c>
      <c r="B42" s="111" t="s">
        <v>1034</v>
      </c>
      <c r="C42" t="s">
        <v>207</v>
      </c>
      <c r="D42" t="s">
        <v>208</v>
      </c>
      <c r="E42">
        <v>1177</v>
      </c>
      <c r="H42" s="169" t="s">
        <v>216</v>
      </c>
      <c r="I42" t="s">
        <v>92</v>
      </c>
      <c r="K42" s="33" t="s">
        <v>66</v>
      </c>
      <c r="L42" s="10" t="s">
        <v>64</v>
      </c>
      <c r="M42">
        <v>804</v>
      </c>
      <c r="N42">
        <v>97</v>
      </c>
      <c r="O42" s="9">
        <f t="shared" si="18"/>
        <v>707</v>
      </c>
      <c r="P42">
        <v>242</v>
      </c>
      <c r="Q42">
        <v>244</v>
      </c>
      <c r="R42">
        <v>243</v>
      </c>
      <c r="S42" s="24">
        <f t="shared" si="10"/>
        <v>243</v>
      </c>
      <c r="T42">
        <v>130</v>
      </c>
      <c r="U42">
        <v>129</v>
      </c>
      <c r="V42">
        <v>130</v>
      </c>
      <c r="W42" s="24">
        <f t="shared" si="11"/>
        <v>129.66666666666666</v>
      </c>
      <c r="X42" s="36">
        <v>940</v>
      </c>
      <c r="Y42">
        <v>951</v>
      </c>
      <c r="Z42">
        <v>994</v>
      </c>
      <c r="AA42" s="24">
        <f t="shared" si="12"/>
        <v>961.66666666666663</v>
      </c>
      <c r="AB42">
        <v>43.26</v>
      </c>
      <c r="AC42">
        <v>43.03</v>
      </c>
      <c r="AD42">
        <v>42.9</v>
      </c>
      <c r="AE42" s="24">
        <f t="shared" si="13"/>
        <v>43.063333333333333</v>
      </c>
      <c r="AF42">
        <v>84.95</v>
      </c>
      <c r="AG42">
        <v>84.93</v>
      </c>
      <c r="AH42">
        <v>84.95</v>
      </c>
      <c r="AI42" s="24">
        <f t="shared" si="14"/>
        <v>84.943333333333328</v>
      </c>
      <c r="AS42" t="s">
        <v>65</v>
      </c>
      <c r="AT42">
        <v>8</v>
      </c>
      <c r="AU42">
        <v>2</v>
      </c>
      <c r="AX42">
        <v>52.75</v>
      </c>
      <c r="AY42">
        <v>52.71</v>
      </c>
      <c r="AZ42">
        <v>52.76</v>
      </c>
      <c r="BA42" s="24">
        <f t="shared" si="15"/>
        <v>52.74</v>
      </c>
      <c r="BB42">
        <v>33.82</v>
      </c>
      <c r="BC42">
        <v>33.700000000000003</v>
      </c>
      <c r="BD42">
        <v>33.82</v>
      </c>
      <c r="BE42" s="24">
        <f t="shared" si="16"/>
        <v>33.78</v>
      </c>
      <c r="BF42">
        <v>79.010000000000005</v>
      </c>
      <c r="BG42">
        <v>78.7</v>
      </c>
      <c r="BH42">
        <v>79.459999999999994</v>
      </c>
      <c r="BI42" s="24">
        <f t="shared" si="17"/>
        <v>79.056666666666672</v>
      </c>
      <c r="BJ42" t="s">
        <v>51</v>
      </c>
      <c r="BK42" t="s">
        <v>51</v>
      </c>
      <c r="BV42" t="s">
        <v>238</v>
      </c>
    </row>
    <row r="43" spans="1:74" x14ac:dyDescent="0.25">
      <c r="A43" t="s">
        <v>57</v>
      </c>
      <c r="B43" s="111" t="s">
        <v>1030</v>
      </c>
      <c r="C43" t="s">
        <v>207</v>
      </c>
      <c r="D43" t="s">
        <v>208</v>
      </c>
      <c r="E43">
        <v>1173</v>
      </c>
      <c r="H43" s="169" t="s">
        <v>213</v>
      </c>
      <c r="I43" t="s">
        <v>97</v>
      </c>
      <c r="K43" s="33">
        <v>2</v>
      </c>
      <c r="L43" s="10" t="s">
        <v>50</v>
      </c>
      <c r="M43">
        <v>1295</v>
      </c>
      <c r="N43">
        <v>97</v>
      </c>
      <c r="O43" s="9">
        <f t="shared" si="18"/>
        <v>1198</v>
      </c>
      <c r="P43">
        <v>293</v>
      </c>
      <c r="Q43">
        <v>291</v>
      </c>
      <c r="R43">
        <v>291</v>
      </c>
      <c r="S43" s="24">
        <f t="shared" si="10"/>
        <v>291.66666666666669</v>
      </c>
      <c r="T43">
        <v>130</v>
      </c>
      <c r="U43">
        <v>130</v>
      </c>
      <c r="V43">
        <v>130</v>
      </c>
      <c r="W43" s="24">
        <f t="shared" si="11"/>
        <v>130</v>
      </c>
      <c r="X43" s="36">
        <v>1125</v>
      </c>
      <c r="Y43">
        <v>1103</v>
      </c>
      <c r="Z43">
        <v>1164</v>
      </c>
      <c r="AA43" s="24">
        <f t="shared" si="12"/>
        <v>1130.6666666666667</v>
      </c>
      <c r="AB43">
        <v>50.66</v>
      </c>
      <c r="AC43">
        <v>50.29</v>
      </c>
      <c r="AD43">
        <v>50.79</v>
      </c>
      <c r="AE43" s="24">
        <f t="shared" si="13"/>
        <v>50.579999999999991</v>
      </c>
      <c r="AF43">
        <v>96.04</v>
      </c>
      <c r="AG43">
        <v>96.77</v>
      </c>
      <c r="AH43">
        <v>96.89</v>
      </c>
      <c r="AI43" s="24">
        <f t="shared" si="14"/>
        <v>96.566666666666663</v>
      </c>
      <c r="AX43">
        <v>62.5</v>
      </c>
      <c r="AY43">
        <v>62.08</v>
      </c>
      <c r="AZ43">
        <v>61.85</v>
      </c>
      <c r="BA43" s="24">
        <f t="shared" si="15"/>
        <v>62.143333333333338</v>
      </c>
      <c r="BB43">
        <v>38.619999999999997</v>
      </c>
      <c r="BC43">
        <v>39.86</v>
      </c>
      <c r="BD43">
        <v>39.700000000000003</v>
      </c>
      <c r="BE43" s="24">
        <f t="shared" si="16"/>
        <v>39.393333333333331</v>
      </c>
      <c r="BF43">
        <v>90.78</v>
      </c>
      <c r="BG43">
        <v>90.62</v>
      </c>
      <c r="BH43">
        <v>90.76</v>
      </c>
      <c r="BI43" s="24">
        <f t="shared" si="17"/>
        <v>90.720000000000013</v>
      </c>
      <c r="BJ43" t="s">
        <v>51</v>
      </c>
      <c r="BK43" t="s">
        <v>51</v>
      </c>
      <c r="BV43" t="s">
        <v>238</v>
      </c>
    </row>
    <row r="44" spans="1:74" x14ac:dyDescent="0.25">
      <c r="A44" t="s">
        <v>57</v>
      </c>
      <c r="B44" s="111" t="s">
        <v>1036</v>
      </c>
      <c r="C44" t="s">
        <v>207</v>
      </c>
      <c r="D44" t="s">
        <v>208</v>
      </c>
      <c r="E44">
        <v>1179</v>
      </c>
      <c r="H44" s="169" t="s">
        <v>213</v>
      </c>
      <c r="I44" t="s">
        <v>86</v>
      </c>
      <c r="K44" s="33">
        <v>1</v>
      </c>
      <c r="L44" s="10" t="s">
        <v>64</v>
      </c>
      <c r="M44">
        <v>521</v>
      </c>
      <c r="N44">
        <v>99</v>
      </c>
      <c r="O44" s="9">
        <f t="shared" si="18"/>
        <v>422</v>
      </c>
      <c r="P44">
        <v>191</v>
      </c>
      <c r="Q44">
        <v>191</v>
      </c>
      <c r="R44">
        <v>191</v>
      </c>
      <c r="S44" s="24">
        <f t="shared" si="10"/>
        <v>191</v>
      </c>
      <c r="T44">
        <v>35</v>
      </c>
      <c r="U44">
        <v>35</v>
      </c>
      <c r="V44">
        <v>35</v>
      </c>
      <c r="W44" s="24">
        <f t="shared" si="11"/>
        <v>35</v>
      </c>
      <c r="X44" s="36">
        <v>732</v>
      </c>
      <c r="Y44">
        <v>732</v>
      </c>
      <c r="Z44">
        <v>687</v>
      </c>
      <c r="AA44" s="24">
        <f t="shared" si="12"/>
        <v>717</v>
      </c>
      <c r="AB44">
        <v>36.96</v>
      </c>
      <c r="AC44">
        <v>36.950000000000003</v>
      </c>
      <c r="AD44">
        <v>36.79</v>
      </c>
      <c r="AE44" s="24">
        <f t="shared" si="13"/>
        <v>36.9</v>
      </c>
      <c r="AF44">
        <v>68.22</v>
      </c>
      <c r="AG44">
        <v>67.88</v>
      </c>
      <c r="AH44">
        <v>67.83</v>
      </c>
      <c r="AI44" s="24">
        <f t="shared" si="14"/>
        <v>67.976666666666674</v>
      </c>
      <c r="AS44" t="s">
        <v>65</v>
      </c>
      <c r="AT44">
        <v>8</v>
      </c>
      <c r="AU44">
        <v>0</v>
      </c>
      <c r="AX44">
        <v>44.2</v>
      </c>
      <c r="AY44">
        <v>44.05</v>
      </c>
      <c r="AZ44">
        <v>44.11</v>
      </c>
      <c r="BA44" s="24">
        <f t="shared" si="15"/>
        <v>44.120000000000005</v>
      </c>
      <c r="BB44">
        <v>29.73</v>
      </c>
      <c r="BC44">
        <v>29.34</v>
      </c>
      <c r="BD44">
        <v>29.87</v>
      </c>
      <c r="BE44" s="24">
        <f t="shared" si="16"/>
        <v>29.646666666666665</v>
      </c>
      <c r="BF44">
        <v>66.52</v>
      </c>
      <c r="BG44">
        <v>67.52</v>
      </c>
      <c r="BH44">
        <v>67.05</v>
      </c>
      <c r="BI44" s="24">
        <f t="shared" si="17"/>
        <v>67.029999999999987</v>
      </c>
      <c r="BJ44" t="s">
        <v>51</v>
      </c>
      <c r="BK44" t="s">
        <v>51</v>
      </c>
      <c r="BV44" t="s">
        <v>238</v>
      </c>
    </row>
    <row r="45" spans="1:74" x14ac:dyDescent="0.25">
      <c r="A45" t="s">
        <v>57</v>
      </c>
      <c r="B45" s="111" t="s">
        <v>1045</v>
      </c>
      <c r="C45" t="s">
        <v>49</v>
      </c>
      <c r="D45" t="s">
        <v>208</v>
      </c>
      <c r="E45">
        <v>1194</v>
      </c>
      <c r="H45" s="169" t="s">
        <v>213</v>
      </c>
      <c r="I45" t="s">
        <v>218</v>
      </c>
      <c r="K45" s="33">
        <v>3</v>
      </c>
      <c r="L45" s="10" t="s">
        <v>64</v>
      </c>
      <c r="M45">
        <v>914</v>
      </c>
      <c r="N45">
        <v>97</v>
      </c>
      <c r="O45" s="9">
        <f t="shared" si="18"/>
        <v>817</v>
      </c>
      <c r="P45">
        <v>251</v>
      </c>
      <c r="Q45">
        <v>252</v>
      </c>
      <c r="R45">
        <v>252</v>
      </c>
      <c r="S45" s="24">
        <f t="shared" si="10"/>
        <v>251.66666666666666</v>
      </c>
      <c r="T45">
        <v>0</v>
      </c>
      <c r="U45">
        <v>0</v>
      </c>
      <c r="V45">
        <v>0</v>
      </c>
      <c r="W45" s="24">
        <f t="shared" si="11"/>
        <v>0</v>
      </c>
      <c r="X45" s="36">
        <v>0</v>
      </c>
      <c r="Y45">
        <v>0</v>
      </c>
      <c r="Z45">
        <v>0</v>
      </c>
      <c r="AA45" s="24">
        <f t="shared" si="12"/>
        <v>0</v>
      </c>
      <c r="AB45">
        <v>43.86</v>
      </c>
      <c r="AC45">
        <v>43.72</v>
      </c>
      <c r="AD45">
        <v>43.77</v>
      </c>
      <c r="AE45" s="24">
        <f t="shared" si="13"/>
        <v>43.783333333333331</v>
      </c>
      <c r="AF45">
        <v>84.02</v>
      </c>
      <c r="AG45">
        <v>84.03</v>
      </c>
      <c r="AH45">
        <v>83.96</v>
      </c>
      <c r="AI45" s="24">
        <f t="shared" si="14"/>
        <v>84.00333333333333</v>
      </c>
      <c r="AS45" t="s">
        <v>65</v>
      </c>
      <c r="AT45">
        <v>8</v>
      </c>
      <c r="AU45">
        <v>5</v>
      </c>
      <c r="AX45">
        <v>55.94</v>
      </c>
      <c r="AY45">
        <v>55.71</v>
      </c>
      <c r="AZ45">
        <v>55.81</v>
      </c>
      <c r="BA45" s="24">
        <f t="shared" si="15"/>
        <v>55.82</v>
      </c>
      <c r="BB45">
        <v>35.5</v>
      </c>
      <c r="BC45">
        <v>35.880000000000003</v>
      </c>
      <c r="BD45">
        <v>35.56</v>
      </c>
      <c r="BE45" s="24">
        <f t="shared" si="16"/>
        <v>35.646666666666668</v>
      </c>
      <c r="BF45">
        <v>73.349999999999994</v>
      </c>
      <c r="BG45">
        <v>72.41</v>
      </c>
      <c r="BH45">
        <v>72.819999999999993</v>
      </c>
      <c r="BI45" s="24">
        <f t="shared" si="17"/>
        <v>72.86</v>
      </c>
      <c r="BJ45" t="s">
        <v>51</v>
      </c>
      <c r="BK45" t="s">
        <v>51</v>
      </c>
      <c r="BV45" t="s">
        <v>238</v>
      </c>
    </row>
    <row r="46" spans="1:74" x14ac:dyDescent="0.25">
      <c r="A46" t="s">
        <v>57</v>
      </c>
      <c r="B46" s="111" t="s">
        <v>285</v>
      </c>
      <c r="C46" t="s">
        <v>207</v>
      </c>
      <c r="D46" t="s">
        <v>208</v>
      </c>
      <c r="E46">
        <v>1170</v>
      </c>
      <c r="H46" s="169" t="s">
        <v>213</v>
      </c>
      <c r="I46" t="s">
        <v>219</v>
      </c>
      <c r="K46" s="33">
        <v>2</v>
      </c>
      <c r="L46" s="10" t="s">
        <v>50</v>
      </c>
      <c r="M46">
        <v>1121</v>
      </c>
      <c r="N46">
        <v>97</v>
      </c>
      <c r="O46" s="9">
        <f t="shared" si="18"/>
        <v>1024</v>
      </c>
      <c r="P46">
        <v>280</v>
      </c>
      <c r="Q46">
        <v>279</v>
      </c>
      <c r="R46">
        <v>279</v>
      </c>
      <c r="S46" s="24">
        <f t="shared" si="10"/>
        <v>279.33333333333331</v>
      </c>
      <c r="T46">
        <v>164</v>
      </c>
      <c r="U46">
        <v>164</v>
      </c>
      <c r="V46">
        <v>164</v>
      </c>
      <c r="W46" s="24">
        <f t="shared" si="11"/>
        <v>164</v>
      </c>
      <c r="X46" s="36">
        <v>1129</v>
      </c>
      <c r="Y46">
        <v>1116</v>
      </c>
      <c r="Z46">
        <v>1128</v>
      </c>
      <c r="AA46" s="24">
        <f t="shared" si="12"/>
        <v>1124.3333333333333</v>
      </c>
      <c r="AB46">
        <v>46.19</v>
      </c>
      <c r="AC46">
        <v>46.57</v>
      </c>
      <c r="AD46">
        <v>46.17</v>
      </c>
      <c r="AE46" s="24">
        <f t="shared" si="13"/>
        <v>46.31</v>
      </c>
      <c r="AF46">
        <v>94.87</v>
      </c>
      <c r="AG46">
        <v>94.74</v>
      </c>
      <c r="AH46">
        <v>94.67</v>
      </c>
      <c r="AI46" s="24">
        <f t="shared" si="14"/>
        <v>94.76</v>
      </c>
      <c r="AX46">
        <v>60.38</v>
      </c>
      <c r="AY46">
        <v>59.68</v>
      </c>
      <c r="AZ46">
        <v>59.79</v>
      </c>
      <c r="BA46" s="24">
        <f t="shared" si="15"/>
        <v>59.949999999999996</v>
      </c>
      <c r="BB46">
        <v>36.57</v>
      </c>
      <c r="BC46">
        <v>37.42</v>
      </c>
      <c r="BD46">
        <v>36.24</v>
      </c>
      <c r="BE46" s="24">
        <f t="shared" si="16"/>
        <v>36.743333333333339</v>
      </c>
      <c r="BF46">
        <v>83.69</v>
      </c>
      <c r="BG46">
        <v>83.79</v>
      </c>
      <c r="BH46">
        <v>83.38</v>
      </c>
      <c r="BI46" s="24">
        <f t="shared" si="17"/>
        <v>83.62</v>
      </c>
      <c r="BV46" t="s">
        <v>238</v>
      </c>
    </row>
    <row r="47" spans="1:74" x14ac:dyDescent="0.25">
      <c r="A47" t="s">
        <v>57</v>
      </c>
      <c r="B47" s="111" t="s">
        <v>1046</v>
      </c>
      <c r="C47" t="s">
        <v>49</v>
      </c>
      <c r="D47" t="s">
        <v>208</v>
      </c>
      <c r="E47">
        <v>1195</v>
      </c>
      <c r="H47" s="169" t="s">
        <v>221</v>
      </c>
      <c r="I47" t="s">
        <v>97</v>
      </c>
      <c r="K47" s="33">
        <v>4</v>
      </c>
      <c r="L47" s="10" t="s">
        <v>64</v>
      </c>
      <c r="M47">
        <v>1272</v>
      </c>
      <c r="N47">
        <v>100</v>
      </c>
      <c r="O47" s="9">
        <f t="shared" si="18"/>
        <v>1172</v>
      </c>
      <c r="P47">
        <v>294</v>
      </c>
      <c r="Q47">
        <v>294</v>
      </c>
      <c r="R47">
        <v>295</v>
      </c>
      <c r="S47" s="24">
        <f t="shared" si="10"/>
        <v>294.33333333333331</v>
      </c>
      <c r="T47">
        <v>15</v>
      </c>
      <c r="U47">
        <v>15</v>
      </c>
      <c r="V47">
        <v>16</v>
      </c>
      <c r="W47" s="24">
        <f t="shared" si="11"/>
        <v>15.333333333333334</v>
      </c>
      <c r="X47" s="36">
        <v>11.48</v>
      </c>
      <c r="Y47">
        <v>11.26</v>
      </c>
      <c r="Z47">
        <v>11.78</v>
      </c>
      <c r="AA47" s="24">
        <f t="shared" si="12"/>
        <v>11.506666666666668</v>
      </c>
      <c r="AB47">
        <v>46.21</v>
      </c>
      <c r="AC47">
        <v>45.85</v>
      </c>
      <c r="AD47">
        <v>46.29</v>
      </c>
      <c r="AE47" s="24">
        <f t="shared" si="13"/>
        <v>46.116666666666667</v>
      </c>
      <c r="AF47">
        <v>89.52</v>
      </c>
      <c r="AG47">
        <v>89</v>
      </c>
      <c r="AH47">
        <v>88.45</v>
      </c>
      <c r="AI47" s="24">
        <f t="shared" si="14"/>
        <v>88.99</v>
      </c>
      <c r="AS47" t="s">
        <v>65</v>
      </c>
      <c r="AT47">
        <v>8</v>
      </c>
      <c r="AU47">
        <v>4</v>
      </c>
      <c r="AX47">
        <v>58.07</v>
      </c>
      <c r="AY47">
        <v>58.36</v>
      </c>
      <c r="AZ47">
        <v>58.46</v>
      </c>
      <c r="BA47" s="24">
        <f t="shared" si="15"/>
        <v>58.296666666666674</v>
      </c>
      <c r="BB47">
        <v>38.17</v>
      </c>
      <c r="BC47">
        <v>38.01</v>
      </c>
      <c r="BD47">
        <v>38.26</v>
      </c>
      <c r="BE47" s="24">
        <f t="shared" si="16"/>
        <v>38.146666666666668</v>
      </c>
      <c r="BF47">
        <v>84.34</v>
      </c>
      <c r="BG47">
        <v>84.28</v>
      </c>
      <c r="BH47">
        <v>84.58</v>
      </c>
      <c r="BI47" s="24">
        <f t="shared" si="17"/>
        <v>84.399999999999991</v>
      </c>
      <c r="BV47" t="s">
        <v>238</v>
      </c>
    </row>
    <row r="48" spans="1:74" x14ac:dyDescent="0.25">
      <c r="A48" t="s">
        <v>222</v>
      </c>
      <c r="B48" s="111" t="s">
        <v>1038</v>
      </c>
      <c r="C48" t="s">
        <v>207</v>
      </c>
      <c r="D48" t="s">
        <v>208</v>
      </c>
      <c r="E48">
        <v>1181</v>
      </c>
      <c r="H48" s="169" t="s">
        <v>224</v>
      </c>
      <c r="I48" t="s">
        <v>88</v>
      </c>
      <c r="K48" s="33">
        <v>2</v>
      </c>
      <c r="L48" s="10" t="s">
        <v>64</v>
      </c>
      <c r="M48">
        <v>712</v>
      </c>
      <c r="N48">
        <v>95</v>
      </c>
      <c r="O48" s="9">
        <f t="shared" si="18"/>
        <v>617</v>
      </c>
      <c r="P48">
        <v>229</v>
      </c>
      <c r="Q48">
        <v>229</v>
      </c>
      <c r="R48">
        <v>229</v>
      </c>
      <c r="S48" s="24">
        <f t="shared" si="10"/>
        <v>229</v>
      </c>
      <c r="T48">
        <v>131</v>
      </c>
      <c r="U48">
        <v>131</v>
      </c>
      <c r="V48">
        <v>131</v>
      </c>
      <c r="W48" s="24">
        <f t="shared" si="11"/>
        <v>131</v>
      </c>
      <c r="X48" s="36">
        <v>8.41</v>
      </c>
      <c r="Y48">
        <v>8.4</v>
      </c>
      <c r="Z48">
        <v>8</v>
      </c>
      <c r="AA48" s="24">
        <f t="shared" si="12"/>
        <v>8.2700000000000014</v>
      </c>
      <c r="AB48">
        <v>42.42</v>
      </c>
      <c r="AC48">
        <v>42.39</v>
      </c>
      <c r="AD48">
        <v>42.42</v>
      </c>
      <c r="AE48" s="24">
        <f t="shared" si="13"/>
        <v>42.410000000000004</v>
      </c>
      <c r="AF48">
        <v>78.790000000000006</v>
      </c>
      <c r="AG48">
        <v>78.58</v>
      </c>
      <c r="AH48">
        <v>78.25</v>
      </c>
      <c r="AI48" s="24">
        <f t="shared" si="14"/>
        <v>78.540000000000006</v>
      </c>
      <c r="AS48" t="s">
        <v>65</v>
      </c>
      <c r="AT48">
        <v>8</v>
      </c>
      <c r="AU48">
        <v>6</v>
      </c>
      <c r="AX48">
        <v>49.45</v>
      </c>
      <c r="AY48">
        <v>49.27</v>
      </c>
      <c r="AZ48">
        <v>49.17</v>
      </c>
      <c r="BA48" s="24">
        <f t="shared" si="15"/>
        <v>49.29666666666666</v>
      </c>
      <c r="BB48">
        <v>33.6</v>
      </c>
      <c r="BC48">
        <v>33.58</v>
      </c>
      <c r="BD48">
        <v>33.22</v>
      </c>
      <c r="BE48" s="24">
        <f t="shared" si="16"/>
        <v>33.466666666666669</v>
      </c>
      <c r="BF48">
        <v>75.78</v>
      </c>
      <c r="BG48">
        <v>74.78</v>
      </c>
      <c r="BH48">
        <v>74.75</v>
      </c>
      <c r="BI48" s="24">
        <f t="shared" si="17"/>
        <v>75.103333333333339</v>
      </c>
      <c r="BV48" t="s">
        <v>238</v>
      </c>
    </row>
    <row r="49" spans="1:74" x14ac:dyDescent="0.25">
      <c r="A49" t="s">
        <v>57</v>
      </c>
      <c r="B49" s="111" t="s">
        <v>1023</v>
      </c>
      <c r="C49" t="s">
        <v>207</v>
      </c>
      <c r="D49" t="s">
        <v>208</v>
      </c>
      <c r="E49">
        <v>1161</v>
      </c>
      <c r="H49" s="169" t="s">
        <v>221</v>
      </c>
      <c r="I49" t="s">
        <v>223</v>
      </c>
      <c r="K49" s="33">
        <v>2</v>
      </c>
      <c r="L49" s="10" t="s">
        <v>50</v>
      </c>
      <c r="M49">
        <v>1100</v>
      </c>
      <c r="N49">
        <v>94</v>
      </c>
      <c r="O49" s="9">
        <f t="shared" si="18"/>
        <v>1006</v>
      </c>
      <c r="P49">
        <v>289</v>
      </c>
      <c r="Q49">
        <v>287</v>
      </c>
      <c r="R49">
        <v>288</v>
      </c>
      <c r="S49" s="24">
        <f t="shared" si="10"/>
        <v>288</v>
      </c>
      <c r="T49">
        <v>154</v>
      </c>
      <c r="U49">
        <v>153</v>
      </c>
      <c r="V49">
        <v>153</v>
      </c>
      <c r="W49" s="24">
        <f t="shared" si="11"/>
        <v>153.33333333333334</v>
      </c>
      <c r="X49" s="36">
        <v>9.6</v>
      </c>
      <c r="Y49">
        <v>9.24</v>
      </c>
      <c r="Z49">
        <v>9.7799999999999994</v>
      </c>
      <c r="AA49" s="24">
        <f t="shared" si="12"/>
        <v>9.5399999999999991</v>
      </c>
      <c r="AB49">
        <v>44.24</v>
      </c>
      <c r="AC49">
        <v>44.98</v>
      </c>
      <c r="AD49">
        <v>44.21</v>
      </c>
      <c r="AE49" s="24">
        <f t="shared" si="13"/>
        <v>44.476666666666667</v>
      </c>
      <c r="AF49" s="37">
        <v>90.65</v>
      </c>
      <c r="AG49" s="37">
        <v>91.4</v>
      </c>
      <c r="AH49" s="37">
        <v>90.24</v>
      </c>
      <c r="AI49" s="24">
        <f t="shared" si="14"/>
        <v>90.763333333333335</v>
      </c>
      <c r="AX49">
        <v>58.6</v>
      </c>
      <c r="AY49">
        <v>55.99</v>
      </c>
      <c r="AZ49">
        <v>55.87</v>
      </c>
      <c r="BA49" s="24">
        <f t="shared" si="15"/>
        <v>56.82</v>
      </c>
      <c r="BB49">
        <v>35.28</v>
      </c>
      <c r="BC49">
        <v>35.729999999999997</v>
      </c>
      <c r="BD49">
        <v>35.54</v>
      </c>
      <c r="BE49" s="24">
        <f t="shared" si="16"/>
        <v>35.516666666666659</v>
      </c>
      <c r="BF49">
        <v>83.42</v>
      </c>
      <c r="BG49">
        <v>83.66</v>
      </c>
      <c r="BH49">
        <v>83.69</v>
      </c>
      <c r="BI49" s="24">
        <f t="shared" si="17"/>
        <v>83.589999999999989</v>
      </c>
      <c r="BL49" t="s">
        <v>238</v>
      </c>
      <c r="BV49" t="s">
        <v>238</v>
      </c>
    </row>
    <row r="50" spans="1:74" x14ac:dyDescent="0.25">
      <c r="A50" t="s">
        <v>57</v>
      </c>
      <c r="B50" s="111" t="s">
        <v>1029</v>
      </c>
      <c r="C50" t="s">
        <v>207</v>
      </c>
      <c r="D50" t="s">
        <v>208</v>
      </c>
      <c r="E50">
        <v>1172</v>
      </c>
      <c r="H50" s="169" t="s">
        <v>224</v>
      </c>
      <c r="I50" t="s">
        <v>86</v>
      </c>
      <c r="K50" s="33" t="s">
        <v>66</v>
      </c>
      <c r="L50" s="10" t="s">
        <v>64</v>
      </c>
      <c r="M50">
        <v>838</v>
      </c>
      <c r="N50">
        <v>97</v>
      </c>
      <c r="O50" s="9">
        <f t="shared" si="18"/>
        <v>741</v>
      </c>
      <c r="P50">
        <v>264</v>
      </c>
      <c r="Q50">
        <v>263</v>
      </c>
      <c r="R50">
        <v>263</v>
      </c>
      <c r="S50" s="24">
        <f t="shared" si="10"/>
        <v>263.33333333333331</v>
      </c>
      <c r="T50">
        <v>145</v>
      </c>
      <c r="U50">
        <v>145</v>
      </c>
      <c r="V50">
        <v>145</v>
      </c>
      <c r="W50" s="24">
        <f t="shared" si="11"/>
        <v>145</v>
      </c>
      <c r="X50" s="36">
        <v>10.16</v>
      </c>
      <c r="Y50">
        <v>9.8000000000000007</v>
      </c>
      <c r="Z50">
        <v>9.9499999999999993</v>
      </c>
      <c r="AA50" s="24">
        <f t="shared" si="12"/>
        <v>9.9700000000000006</v>
      </c>
      <c r="AB50">
        <v>44.9</v>
      </c>
      <c r="AC50">
        <v>45.02</v>
      </c>
      <c r="AD50">
        <v>44.79</v>
      </c>
      <c r="AE50" s="24">
        <f t="shared" si="13"/>
        <v>44.903333333333336</v>
      </c>
      <c r="AF50" s="37">
        <v>83.62</v>
      </c>
      <c r="AG50" s="37">
        <v>83.86</v>
      </c>
      <c r="AH50" s="37">
        <v>83.84</v>
      </c>
      <c r="AI50" s="24">
        <f t="shared" si="14"/>
        <v>83.773333333333341</v>
      </c>
      <c r="AS50" t="s">
        <v>65</v>
      </c>
      <c r="AT50">
        <v>8</v>
      </c>
      <c r="AU50">
        <v>4</v>
      </c>
      <c r="AX50">
        <v>53.8</v>
      </c>
      <c r="AY50">
        <v>53.89</v>
      </c>
      <c r="AZ50">
        <v>53.8</v>
      </c>
      <c r="BA50" s="24">
        <f t="shared" si="15"/>
        <v>53.830000000000005</v>
      </c>
      <c r="BB50">
        <v>35.96</v>
      </c>
      <c r="BC50">
        <v>36.200000000000003</v>
      </c>
      <c r="BD50">
        <v>35.81</v>
      </c>
      <c r="BE50" s="24">
        <f t="shared" si="16"/>
        <v>35.99</v>
      </c>
      <c r="BF50">
        <v>79.44</v>
      </c>
      <c r="BG50">
        <v>79.069999999999993</v>
      </c>
      <c r="BH50">
        <v>79.27</v>
      </c>
      <c r="BI50" s="24">
        <f t="shared" si="17"/>
        <v>79.259999999999991</v>
      </c>
      <c r="BV50" t="s">
        <v>238</v>
      </c>
    </row>
    <row r="51" spans="1:74" x14ac:dyDescent="0.25">
      <c r="A51" t="s">
        <v>57</v>
      </c>
      <c r="B51" s="111" t="s">
        <v>1047</v>
      </c>
      <c r="C51" t="s">
        <v>49</v>
      </c>
      <c r="D51" t="s">
        <v>208</v>
      </c>
      <c r="E51">
        <v>1196</v>
      </c>
      <c r="H51" s="169" t="s">
        <v>221</v>
      </c>
      <c r="I51" t="s">
        <v>92</v>
      </c>
      <c r="K51" s="33">
        <v>3</v>
      </c>
      <c r="L51" s="10" t="s">
        <v>50</v>
      </c>
      <c r="M51">
        <v>1372</v>
      </c>
      <c r="N51">
        <v>89</v>
      </c>
      <c r="O51" s="9">
        <f t="shared" si="18"/>
        <v>1283</v>
      </c>
      <c r="P51">
        <v>290</v>
      </c>
      <c r="Q51">
        <v>291</v>
      </c>
      <c r="R51">
        <v>290</v>
      </c>
      <c r="S51" s="24">
        <f t="shared" si="10"/>
        <v>290.33333333333331</v>
      </c>
      <c r="T51">
        <v>162</v>
      </c>
      <c r="U51">
        <v>162</v>
      </c>
      <c r="V51">
        <v>162</v>
      </c>
      <c r="W51" s="24">
        <f t="shared" si="11"/>
        <v>162</v>
      </c>
      <c r="X51" s="36">
        <v>11.36</v>
      </c>
      <c r="Y51">
        <v>10.48</v>
      </c>
      <c r="Z51">
        <v>11.44</v>
      </c>
      <c r="AA51" s="24">
        <f t="shared" si="12"/>
        <v>11.093333333333334</v>
      </c>
      <c r="AB51">
        <v>51.96</v>
      </c>
      <c r="AC51">
        <v>52.12</v>
      </c>
      <c r="AD51">
        <v>52.03</v>
      </c>
      <c r="AE51" s="24">
        <f t="shared" si="13"/>
        <v>52.036666666666669</v>
      </c>
      <c r="AF51" s="37">
        <v>96.08</v>
      </c>
      <c r="AG51" s="37">
        <v>96.04</v>
      </c>
      <c r="AH51" s="37">
        <v>95.88</v>
      </c>
      <c r="AI51" s="24">
        <f t="shared" si="14"/>
        <v>96</v>
      </c>
      <c r="AX51">
        <v>61.54</v>
      </c>
      <c r="AY51">
        <v>61.51</v>
      </c>
      <c r="AZ51">
        <v>61.76</v>
      </c>
      <c r="BA51" s="24">
        <f t="shared" si="15"/>
        <v>61.603333333333332</v>
      </c>
      <c r="BB51">
        <v>38.700000000000003</v>
      </c>
      <c r="BC51">
        <v>38.82</v>
      </c>
      <c r="BD51">
        <v>38.44</v>
      </c>
      <c r="BE51" s="24">
        <f t="shared" si="16"/>
        <v>38.653333333333336</v>
      </c>
      <c r="BF51">
        <v>83.34</v>
      </c>
      <c r="BG51">
        <v>83.8</v>
      </c>
      <c r="BH51">
        <v>83.77</v>
      </c>
      <c r="BI51" s="24">
        <f t="shared" si="17"/>
        <v>83.636666666666656</v>
      </c>
      <c r="BV51" t="s">
        <v>238</v>
      </c>
    </row>
    <row r="52" spans="1:74" x14ac:dyDescent="0.25">
      <c r="A52" t="s">
        <v>57</v>
      </c>
      <c r="B52" s="111" t="s">
        <v>1048</v>
      </c>
      <c r="C52" t="s">
        <v>49</v>
      </c>
      <c r="D52" t="s">
        <v>208</v>
      </c>
      <c r="E52">
        <v>1197</v>
      </c>
      <c r="H52" s="169" t="s">
        <v>226</v>
      </c>
      <c r="I52" t="s">
        <v>225</v>
      </c>
      <c r="K52" s="33">
        <v>1</v>
      </c>
      <c r="L52" s="10" t="s">
        <v>50</v>
      </c>
      <c r="M52">
        <v>536</v>
      </c>
      <c r="N52">
        <v>96</v>
      </c>
      <c r="O52" s="9">
        <f t="shared" si="18"/>
        <v>440</v>
      </c>
      <c r="P52">
        <v>202</v>
      </c>
      <c r="Q52">
        <v>201</v>
      </c>
      <c r="R52">
        <v>202</v>
      </c>
      <c r="S52" s="24">
        <f t="shared" si="10"/>
        <v>201.66666666666666</v>
      </c>
      <c r="T52">
        <v>124</v>
      </c>
      <c r="U52">
        <v>124</v>
      </c>
      <c r="V52">
        <v>124</v>
      </c>
      <c r="W52" s="24">
        <f t="shared" si="11"/>
        <v>124</v>
      </c>
      <c r="X52" s="36">
        <v>7.9</v>
      </c>
      <c r="Y52">
        <v>7.1</v>
      </c>
      <c r="Z52">
        <v>7.18</v>
      </c>
      <c r="AA52" s="24">
        <f t="shared" si="12"/>
        <v>7.3933333333333335</v>
      </c>
      <c r="AB52">
        <v>37.880000000000003</v>
      </c>
      <c r="AC52">
        <v>37.33</v>
      </c>
      <c r="AD52">
        <v>37.299999999999997</v>
      </c>
      <c r="AE52" s="24">
        <f t="shared" si="13"/>
        <v>37.503333333333337</v>
      </c>
      <c r="AF52" s="37">
        <v>69.63</v>
      </c>
      <c r="AG52" s="37">
        <v>69.23</v>
      </c>
      <c r="AH52" s="37">
        <v>69.81</v>
      </c>
      <c r="AI52" s="24">
        <f t="shared" si="14"/>
        <v>69.556666666666672</v>
      </c>
      <c r="AX52">
        <v>42.46</v>
      </c>
      <c r="AY52">
        <v>42.29</v>
      </c>
      <c r="AZ52">
        <v>42.85</v>
      </c>
      <c r="BA52" s="24">
        <f t="shared" si="15"/>
        <v>42.533333333333331</v>
      </c>
      <c r="BB52">
        <v>33.840000000000003</v>
      </c>
      <c r="BC52">
        <v>33.19</v>
      </c>
      <c r="BD52">
        <v>32.79</v>
      </c>
      <c r="BE52" s="24">
        <f t="shared" si="16"/>
        <v>33.273333333333333</v>
      </c>
      <c r="BF52">
        <v>70.709999999999994</v>
      </c>
      <c r="BG52">
        <v>70.33</v>
      </c>
      <c r="BH52">
        <v>70.61</v>
      </c>
      <c r="BI52" s="24">
        <f t="shared" si="17"/>
        <v>70.55</v>
      </c>
      <c r="BV52" t="s">
        <v>238</v>
      </c>
    </row>
    <row r="53" spans="1:74" x14ac:dyDescent="0.25">
      <c r="A53" t="s">
        <v>57</v>
      </c>
      <c r="B53" s="111" t="s">
        <v>1049</v>
      </c>
      <c r="C53" t="s">
        <v>49</v>
      </c>
      <c r="D53" t="s">
        <v>208</v>
      </c>
      <c r="E53">
        <v>1198</v>
      </c>
      <c r="H53" s="169" t="s">
        <v>226</v>
      </c>
      <c r="I53" t="s">
        <v>94</v>
      </c>
      <c r="K53" s="33">
        <v>2</v>
      </c>
      <c r="L53" s="10" t="s">
        <v>64</v>
      </c>
      <c r="M53">
        <v>898</v>
      </c>
      <c r="N53">
        <v>94</v>
      </c>
      <c r="O53" s="9">
        <f t="shared" si="18"/>
        <v>804</v>
      </c>
      <c r="P53">
        <v>252</v>
      </c>
      <c r="Q53">
        <v>252</v>
      </c>
      <c r="R53">
        <v>252</v>
      </c>
      <c r="S53" s="24">
        <f t="shared" si="10"/>
        <v>252</v>
      </c>
      <c r="T53">
        <v>153</v>
      </c>
      <c r="U53">
        <v>152</v>
      </c>
      <c r="V53">
        <v>152</v>
      </c>
      <c r="W53" s="24">
        <f t="shared" si="11"/>
        <v>152.33333333333334</v>
      </c>
      <c r="X53" s="36">
        <v>10.42</v>
      </c>
      <c r="Y53">
        <v>10.45</v>
      </c>
      <c r="Z53">
        <v>10.63</v>
      </c>
      <c r="AA53" s="24">
        <f t="shared" si="12"/>
        <v>10.5</v>
      </c>
      <c r="AB53">
        <v>46.96</v>
      </c>
      <c r="AC53">
        <v>46.96</v>
      </c>
      <c r="AD53">
        <v>46.95</v>
      </c>
      <c r="AE53" s="24">
        <f t="shared" si="13"/>
        <v>46.956666666666671</v>
      </c>
      <c r="AF53" s="37">
        <v>83.22</v>
      </c>
      <c r="AG53" s="37">
        <v>84.51</v>
      </c>
      <c r="AH53" s="37">
        <v>84.06</v>
      </c>
      <c r="AI53" s="24">
        <f t="shared" si="14"/>
        <v>83.93</v>
      </c>
      <c r="AS53" t="s">
        <v>65</v>
      </c>
      <c r="AT53">
        <v>8</v>
      </c>
      <c r="AU53">
        <v>4</v>
      </c>
      <c r="AX53">
        <v>53.75</v>
      </c>
      <c r="AY53">
        <v>53.78</v>
      </c>
      <c r="AZ53">
        <v>53.25</v>
      </c>
      <c r="BA53" s="24">
        <f t="shared" si="15"/>
        <v>53.593333333333334</v>
      </c>
      <c r="BB53">
        <v>34.67</v>
      </c>
      <c r="BC53">
        <v>35.14</v>
      </c>
      <c r="BD53">
        <v>35.35</v>
      </c>
      <c r="BE53" s="24">
        <f t="shared" si="16"/>
        <v>35.053333333333335</v>
      </c>
      <c r="BF53">
        <v>80.010000000000005</v>
      </c>
      <c r="BG53">
        <v>79.91</v>
      </c>
      <c r="BH53">
        <v>80.040000000000006</v>
      </c>
      <c r="BI53" s="24">
        <f t="shared" si="17"/>
        <v>79.986666666666679</v>
      </c>
      <c r="BM53" t="s">
        <v>238</v>
      </c>
      <c r="BV53" t="s">
        <v>238</v>
      </c>
    </row>
    <row r="54" spans="1:74" x14ac:dyDescent="0.25">
      <c r="A54" t="s">
        <v>57</v>
      </c>
      <c r="B54" s="111" t="s">
        <v>1050</v>
      </c>
      <c r="C54" t="s">
        <v>49</v>
      </c>
      <c r="D54" t="s">
        <v>208</v>
      </c>
      <c r="E54">
        <v>1199</v>
      </c>
      <c r="H54" s="169" t="s">
        <v>226</v>
      </c>
      <c r="I54" t="s">
        <v>93</v>
      </c>
      <c r="K54" s="33">
        <v>2</v>
      </c>
      <c r="L54" s="10" t="s">
        <v>50</v>
      </c>
      <c r="M54">
        <v>756</v>
      </c>
      <c r="N54">
        <v>97</v>
      </c>
      <c r="O54" s="9">
        <f t="shared" si="18"/>
        <v>659</v>
      </c>
      <c r="P54">
        <v>230</v>
      </c>
      <c r="Q54">
        <v>230</v>
      </c>
      <c r="R54">
        <v>230</v>
      </c>
      <c r="S54" s="24">
        <f t="shared" si="10"/>
        <v>230</v>
      </c>
      <c r="T54">
        <v>144</v>
      </c>
      <c r="U54">
        <v>143</v>
      </c>
      <c r="V54">
        <v>143</v>
      </c>
      <c r="W54" s="24">
        <f t="shared" si="11"/>
        <v>143.33333333333334</v>
      </c>
      <c r="X54" s="36">
        <v>887</v>
      </c>
      <c r="Y54">
        <v>974</v>
      </c>
      <c r="Z54">
        <v>979</v>
      </c>
      <c r="AA54" s="24">
        <f t="shared" si="12"/>
        <v>946.66666666666663</v>
      </c>
      <c r="AB54">
        <v>42.08</v>
      </c>
      <c r="AC54">
        <v>42.62</v>
      </c>
      <c r="AD54">
        <v>42.4</v>
      </c>
      <c r="AE54" s="24">
        <f t="shared" si="13"/>
        <v>42.366666666666667</v>
      </c>
      <c r="AF54" s="37">
        <v>74.84</v>
      </c>
      <c r="AG54" s="37">
        <v>75.98</v>
      </c>
      <c r="AH54" s="37">
        <v>76.400000000000006</v>
      </c>
      <c r="AI54" s="24">
        <f t="shared" si="14"/>
        <v>75.739999999999995</v>
      </c>
      <c r="AX54">
        <v>47.79</v>
      </c>
      <c r="AY54">
        <v>46.99</v>
      </c>
      <c r="AZ54">
        <v>47.42</v>
      </c>
      <c r="BA54" s="24">
        <f t="shared" si="15"/>
        <v>47.4</v>
      </c>
      <c r="BB54">
        <v>32.590000000000003</v>
      </c>
      <c r="BC54">
        <v>32.369999999999997</v>
      </c>
      <c r="BD54">
        <v>32.6</v>
      </c>
      <c r="BE54" s="24">
        <f t="shared" si="16"/>
        <v>32.520000000000003</v>
      </c>
      <c r="BF54">
        <v>75.14</v>
      </c>
      <c r="BG54">
        <v>75.099999999999994</v>
      </c>
      <c r="BH54">
        <v>75.150000000000006</v>
      </c>
      <c r="BI54" s="24">
        <f t="shared" si="17"/>
        <v>75.13000000000001</v>
      </c>
      <c r="BV54" t="s">
        <v>238</v>
      </c>
    </row>
    <row r="55" spans="1:74" x14ac:dyDescent="0.25">
      <c r="A55" t="s">
        <v>57</v>
      </c>
      <c r="B55" s="111" t="s">
        <v>1051</v>
      </c>
      <c r="C55" t="s">
        <v>49</v>
      </c>
      <c r="D55" t="s">
        <v>208</v>
      </c>
      <c r="E55">
        <v>1200</v>
      </c>
      <c r="H55" s="169" t="s">
        <v>226</v>
      </c>
      <c r="I55" t="s">
        <v>227</v>
      </c>
      <c r="K55" s="33">
        <v>1</v>
      </c>
      <c r="L55" s="10" t="s">
        <v>64</v>
      </c>
      <c r="M55">
        <v>585</v>
      </c>
      <c r="N55">
        <v>97</v>
      </c>
      <c r="O55" s="9">
        <f t="shared" si="18"/>
        <v>488</v>
      </c>
      <c r="P55">
        <v>210</v>
      </c>
      <c r="Q55">
        <v>211</v>
      </c>
      <c r="R55">
        <v>21</v>
      </c>
      <c r="S55" s="24">
        <f t="shared" si="10"/>
        <v>147.33333333333334</v>
      </c>
      <c r="T55">
        <v>126</v>
      </c>
      <c r="U55">
        <v>126</v>
      </c>
      <c r="V55">
        <v>126</v>
      </c>
      <c r="W55" s="24">
        <f t="shared" si="11"/>
        <v>126</v>
      </c>
      <c r="X55" s="36">
        <v>9.5399999999999991</v>
      </c>
      <c r="Y55">
        <v>9.32</v>
      </c>
      <c r="Z55">
        <v>9.34</v>
      </c>
      <c r="AA55" s="24">
        <f t="shared" si="12"/>
        <v>9.4</v>
      </c>
      <c r="AB55">
        <v>40.68</v>
      </c>
      <c r="AC55">
        <v>40.49</v>
      </c>
      <c r="AD55">
        <v>40.25</v>
      </c>
      <c r="AE55" s="24">
        <f t="shared" si="13"/>
        <v>40.473333333333336</v>
      </c>
      <c r="AF55" s="37">
        <v>72.790000000000006</v>
      </c>
      <c r="AG55" s="37">
        <v>72.760000000000005</v>
      </c>
      <c r="AH55" s="37">
        <v>72.72</v>
      </c>
      <c r="AI55" s="24">
        <f t="shared" si="14"/>
        <v>72.756666666666675</v>
      </c>
      <c r="AS55" t="s">
        <v>65</v>
      </c>
      <c r="AT55">
        <v>8</v>
      </c>
      <c r="AU55">
        <v>0</v>
      </c>
      <c r="AX55">
        <v>45.08</v>
      </c>
      <c r="AY55">
        <v>45.76</v>
      </c>
      <c r="AZ55">
        <v>45.4</v>
      </c>
      <c r="BA55" s="24">
        <f t="shared" si="15"/>
        <v>45.413333333333334</v>
      </c>
      <c r="BB55">
        <v>31.23</v>
      </c>
      <c r="BC55">
        <v>30.92</v>
      </c>
      <c r="BD55">
        <v>30.05</v>
      </c>
      <c r="BE55" s="24">
        <f t="shared" si="16"/>
        <v>30.733333333333334</v>
      </c>
      <c r="BF55">
        <v>73.209999999999994</v>
      </c>
      <c r="BG55">
        <v>73.22</v>
      </c>
      <c r="BH55">
        <v>73.86</v>
      </c>
      <c r="BI55" s="24">
        <f t="shared" si="17"/>
        <v>73.430000000000007</v>
      </c>
      <c r="BU55" t="s">
        <v>228</v>
      </c>
      <c r="BV55" t="s">
        <v>238</v>
      </c>
    </row>
    <row r="56" spans="1:74" x14ac:dyDescent="0.25">
      <c r="A56" t="s">
        <v>57</v>
      </c>
      <c r="B56" s="111" t="s">
        <v>1052</v>
      </c>
      <c r="C56" t="s">
        <v>49</v>
      </c>
      <c r="D56" t="s">
        <v>208</v>
      </c>
      <c r="E56">
        <v>1001</v>
      </c>
      <c r="H56" s="169" t="s">
        <v>226</v>
      </c>
      <c r="I56" t="s">
        <v>90</v>
      </c>
      <c r="L56" s="10" t="s">
        <v>64</v>
      </c>
      <c r="M56">
        <v>612</v>
      </c>
      <c r="N56">
        <v>91</v>
      </c>
      <c r="O56" s="9">
        <f t="shared" si="18"/>
        <v>521</v>
      </c>
      <c r="P56">
        <v>221</v>
      </c>
      <c r="Q56">
        <v>220</v>
      </c>
      <c r="R56">
        <v>220</v>
      </c>
      <c r="S56" s="24">
        <f t="shared" si="10"/>
        <v>220.33333333333334</v>
      </c>
      <c r="T56">
        <v>136</v>
      </c>
      <c r="U56">
        <v>136</v>
      </c>
      <c r="V56">
        <v>135</v>
      </c>
      <c r="W56" s="24">
        <f t="shared" si="11"/>
        <v>135.66666666666666</v>
      </c>
      <c r="X56" s="36">
        <v>8.9600000000000009</v>
      </c>
      <c r="Y56">
        <v>9.1199999999999992</v>
      </c>
      <c r="Z56">
        <v>8.74</v>
      </c>
      <c r="AA56" s="24">
        <f t="shared" si="12"/>
        <v>8.94</v>
      </c>
      <c r="AB56">
        <v>40.33</v>
      </c>
      <c r="AC56">
        <v>40.5</v>
      </c>
      <c r="AD56">
        <v>40.42</v>
      </c>
      <c r="AE56" s="24">
        <f t="shared" si="13"/>
        <v>40.416666666666664</v>
      </c>
      <c r="AF56" s="37">
        <v>69.760000000000005</v>
      </c>
      <c r="AG56" s="37">
        <v>69.92</v>
      </c>
      <c r="AH56" s="37">
        <v>69.650000000000006</v>
      </c>
      <c r="AI56" s="24">
        <f t="shared" si="14"/>
        <v>69.776666666666671</v>
      </c>
      <c r="AX56">
        <v>44.87</v>
      </c>
      <c r="AY56">
        <v>44.33</v>
      </c>
      <c r="AZ56">
        <v>44.44</v>
      </c>
      <c r="BA56" s="24">
        <f t="shared" si="15"/>
        <v>44.54666666666666</v>
      </c>
      <c r="BB56">
        <v>31.41</v>
      </c>
      <c r="BC56">
        <v>31.73</v>
      </c>
      <c r="BD56">
        <v>31.75</v>
      </c>
      <c r="BE56" s="24">
        <f t="shared" si="16"/>
        <v>31.63</v>
      </c>
      <c r="BF56">
        <v>69.989999999999995</v>
      </c>
      <c r="BG56">
        <v>69.87</v>
      </c>
      <c r="BH56">
        <v>69.87</v>
      </c>
      <c r="BI56" s="24">
        <f t="shared" si="17"/>
        <v>69.910000000000011</v>
      </c>
      <c r="BM56" t="s">
        <v>238</v>
      </c>
      <c r="BV56" t="s">
        <v>238</v>
      </c>
    </row>
    <row r="57" spans="1:74" x14ac:dyDescent="0.25">
      <c r="A57" t="s">
        <v>57</v>
      </c>
      <c r="B57" s="111" t="s">
        <v>1035</v>
      </c>
      <c r="C57" t="s">
        <v>207</v>
      </c>
      <c r="D57" t="s">
        <v>208</v>
      </c>
      <c r="E57">
        <v>1178</v>
      </c>
      <c r="H57" s="169" t="s">
        <v>226</v>
      </c>
      <c r="I57" t="s">
        <v>97</v>
      </c>
      <c r="K57" s="33">
        <v>3</v>
      </c>
      <c r="L57" s="10" t="s">
        <v>50</v>
      </c>
      <c r="M57">
        <v>1824</v>
      </c>
      <c r="N57">
        <v>92</v>
      </c>
      <c r="O57" s="9">
        <f t="shared" si="18"/>
        <v>1732</v>
      </c>
      <c r="P57">
        <v>330</v>
      </c>
      <c r="Q57">
        <v>330</v>
      </c>
      <c r="R57">
        <v>330</v>
      </c>
      <c r="S57" s="24">
        <f t="shared" si="10"/>
        <v>330</v>
      </c>
      <c r="T57">
        <v>62</v>
      </c>
      <c r="U57">
        <v>62</v>
      </c>
      <c r="V57">
        <v>62</v>
      </c>
      <c r="W57" s="24">
        <f t="shared" si="11"/>
        <v>62</v>
      </c>
      <c r="X57" s="36">
        <v>12.64</v>
      </c>
      <c r="Y57">
        <v>13.25</v>
      </c>
      <c r="Z57">
        <v>13.73</v>
      </c>
      <c r="AA57" s="24">
        <f t="shared" si="12"/>
        <v>13.206666666666669</v>
      </c>
      <c r="AB57">
        <v>52.56</v>
      </c>
      <c r="AC57">
        <v>52.29</v>
      </c>
      <c r="AD57">
        <v>52.38</v>
      </c>
      <c r="AE57" s="24">
        <f t="shared" si="13"/>
        <v>52.41</v>
      </c>
      <c r="AF57" s="37">
        <v>103.14</v>
      </c>
      <c r="AG57" s="37">
        <v>104.34</v>
      </c>
      <c r="AH57" s="37">
        <v>103.59</v>
      </c>
      <c r="AI57" s="24">
        <f t="shared" si="14"/>
        <v>103.69000000000001</v>
      </c>
      <c r="AX57">
        <v>67.06</v>
      </c>
      <c r="AY57">
        <v>67.22</v>
      </c>
      <c r="AZ57">
        <v>67.400000000000006</v>
      </c>
      <c r="BA57" s="24">
        <f t="shared" si="15"/>
        <v>67.226666666666674</v>
      </c>
      <c r="BB57">
        <v>45.62</v>
      </c>
      <c r="BC57">
        <v>45.54</v>
      </c>
      <c r="BD57">
        <v>44.72</v>
      </c>
      <c r="BE57" s="24">
        <f t="shared" si="16"/>
        <v>45.293333333333329</v>
      </c>
      <c r="BF57">
        <v>85.77</v>
      </c>
      <c r="BG57">
        <v>86.08</v>
      </c>
      <c r="BH57">
        <v>86.07</v>
      </c>
      <c r="BI57" s="24">
        <f t="shared" si="17"/>
        <v>85.973333333333315</v>
      </c>
      <c r="BV57" t="s">
        <v>238</v>
      </c>
    </row>
    <row r="58" spans="1:74" x14ac:dyDescent="0.25">
      <c r="A58" t="s">
        <v>57</v>
      </c>
      <c r="B58" s="111" t="s">
        <v>1021</v>
      </c>
      <c r="C58" t="s">
        <v>207</v>
      </c>
      <c r="D58" t="s">
        <v>208</v>
      </c>
      <c r="E58">
        <v>1143</v>
      </c>
      <c r="H58" s="169" t="s">
        <v>230</v>
      </c>
      <c r="I58" t="s">
        <v>229</v>
      </c>
      <c r="K58" s="33">
        <v>1</v>
      </c>
      <c r="L58" s="10" t="s">
        <v>64</v>
      </c>
      <c r="M58">
        <v>537</v>
      </c>
      <c r="N58">
        <v>99</v>
      </c>
      <c r="O58" s="9">
        <f t="shared" si="18"/>
        <v>438</v>
      </c>
      <c r="P58">
        <v>200</v>
      </c>
      <c r="Q58">
        <v>200</v>
      </c>
      <c r="R58">
        <v>199</v>
      </c>
      <c r="S58" s="24">
        <f t="shared" si="10"/>
        <v>199.66666666666666</v>
      </c>
      <c r="T58">
        <v>121</v>
      </c>
      <c r="U58">
        <v>120</v>
      </c>
      <c r="V58">
        <v>121</v>
      </c>
      <c r="W58" s="24">
        <f t="shared" si="11"/>
        <v>120.66666666666667</v>
      </c>
      <c r="X58" s="36">
        <v>7.37</v>
      </c>
      <c r="Y58">
        <v>7.33</v>
      </c>
      <c r="Z58">
        <v>7.33</v>
      </c>
      <c r="AA58" s="24">
        <f t="shared" si="12"/>
        <v>7.3433333333333337</v>
      </c>
      <c r="AB58">
        <v>38.03</v>
      </c>
      <c r="AC58">
        <v>38.119999999999997</v>
      </c>
      <c r="AD58">
        <v>38.39</v>
      </c>
      <c r="AE58" s="24">
        <f t="shared" si="13"/>
        <v>38.18</v>
      </c>
      <c r="AF58" s="37">
        <v>65.94</v>
      </c>
      <c r="AG58" s="37">
        <v>65.34</v>
      </c>
      <c r="AH58" s="37">
        <v>65.72</v>
      </c>
      <c r="AI58" s="24">
        <f t="shared" si="14"/>
        <v>65.666666666666671</v>
      </c>
      <c r="AS58" t="s">
        <v>70</v>
      </c>
      <c r="AT58">
        <v>8</v>
      </c>
      <c r="AU58">
        <v>0</v>
      </c>
      <c r="AX58">
        <v>42.29</v>
      </c>
      <c r="AY58">
        <v>42.13</v>
      </c>
      <c r="AZ58">
        <v>41.9</v>
      </c>
      <c r="BA58" s="24">
        <f t="shared" si="15"/>
        <v>42.106666666666662</v>
      </c>
      <c r="BB58">
        <v>30.17</v>
      </c>
      <c r="BC58">
        <v>30.95</v>
      </c>
      <c r="BD58">
        <v>30.57</v>
      </c>
      <c r="BE58" s="24">
        <f t="shared" si="16"/>
        <v>30.563333333333333</v>
      </c>
      <c r="BF58">
        <v>66.91</v>
      </c>
      <c r="BG58">
        <v>66.260000000000005</v>
      </c>
      <c r="BH58">
        <v>66.319999999999993</v>
      </c>
      <c r="BI58" s="24">
        <f t="shared" si="17"/>
        <v>66.49666666666667</v>
      </c>
      <c r="BM58" t="s">
        <v>238</v>
      </c>
      <c r="BV58" t="s">
        <v>238</v>
      </c>
    </row>
    <row r="59" spans="1:74" x14ac:dyDescent="0.25">
      <c r="A59" t="s">
        <v>57</v>
      </c>
      <c r="B59" s="111" t="s">
        <v>1053</v>
      </c>
      <c r="C59" t="s">
        <v>49</v>
      </c>
      <c r="D59" t="s">
        <v>208</v>
      </c>
      <c r="E59">
        <v>1003</v>
      </c>
      <c r="H59" s="169" t="s">
        <v>230</v>
      </c>
      <c r="I59" t="s">
        <v>231</v>
      </c>
      <c r="K59" s="33">
        <v>2</v>
      </c>
      <c r="L59" s="10" t="s">
        <v>64</v>
      </c>
      <c r="M59">
        <v>751</v>
      </c>
      <c r="N59">
        <v>98</v>
      </c>
      <c r="O59" s="9">
        <f t="shared" si="18"/>
        <v>653</v>
      </c>
      <c r="P59">
        <v>240</v>
      </c>
      <c r="Q59">
        <v>239</v>
      </c>
      <c r="R59">
        <v>239</v>
      </c>
      <c r="S59" s="24">
        <f t="shared" si="10"/>
        <v>239.33333333333334</v>
      </c>
      <c r="T59">
        <v>135</v>
      </c>
      <c r="U59">
        <v>134</v>
      </c>
      <c r="V59">
        <v>134</v>
      </c>
      <c r="W59" s="24">
        <f t="shared" si="11"/>
        <v>134.33333333333334</v>
      </c>
      <c r="X59" s="36">
        <v>8.8699999999999992</v>
      </c>
      <c r="Y59">
        <v>9.41</v>
      </c>
      <c r="Z59">
        <v>8</v>
      </c>
      <c r="AA59" s="24">
        <f t="shared" si="12"/>
        <v>8.76</v>
      </c>
      <c r="AB59">
        <v>44.08</v>
      </c>
      <c r="AC59">
        <v>44.13</v>
      </c>
      <c r="AD59">
        <v>44.13</v>
      </c>
      <c r="AE59" s="24">
        <f t="shared" si="13"/>
        <v>44.113333333333337</v>
      </c>
      <c r="AF59" s="37">
        <v>80.09</v>
      </c>
      <c r="AG59" s="37">
        <v>79.930000000000007</v>
      </c>
      <c r="AH59" s="37">
        <v>80.13</v>
      </c>
      <c r="AI59" s="24">
        <f t="shared" si="14"/>
        <v>80.05</v>
      </c>
      <c r="AS59" t="s">
        <v>65</v>
      </c>
      <c r="AT59">
        <v>8</v>
      </c>
      <c r="AU59">
        <v>3</v>
      </c>
      <c r="AX59">
        <v>51.03</v>
      </c>
      <c r="AY59">
        <v>50.74</v>
      </c>
      <c r="AZ59">
        <v>50.92</v>
      </c>
      <c r="BA59" s="24">
        <f t="shared" si="15"/>
        <v>50.896666666666668</v>
      </c>
      <c r="BB59">
        <v>35.409999999999997</v>
      </c>
      <c r="BC59">
        <v>36.130000000000003</v>
      </c>
      <c r="BD59">
        <v>34.61</v>
      </c>
      <c r="BE59" s="24">
        <f t="shared" si="16"/>
        <v>35.383333333333333</v>
      </c>
      <c r="BF59">
        <v>74.28</v>
      </c>
      <c r="BG59">
        <v>74.72</v>
      </c>
      <c r="BH59">
        <v>74.39</v>
      </c>
      <c r="BI59" s="24">
        <f t="shared" si="17"/>
        <v>74.463333333333324</v>
      </c>
      <c r="BV59" t="s">
        <v>238</v>
      </c>
    </row>
    <row r="60" spans="1:74" x14ac:dyDescent="0.25">
      <c r="A60" t="s">
        <v>57</v>
      </c>
      <c r="B60" s="111" t="s">
        <v>1054</v>
      </c>
      <c r="C60" t="s">
        <v>49</v>
      </c>
      <c r="D60" t="s">
        <v>208</v>
      </c>
      <c r="E60">
        <v>1004</v>
      </c>
      <c r="H60" s="169" t="s">
        <v>230</v>
      </c>
      <c r="I60" t="s">
        <v>232</v>
      </c>
      <c r="K60" s="33">
        <v>3</v>
      </c>
      <c r="L60" s="10" t="s">
        <v>50</v>
      </c>
      <c r="M60">
        <v>1251</v>
      </c>
      <c r="N60">
        <v>97</v>
      </c>
      <c r="O60" s="9">
        <f t="shared" si="18"/>
        <v>1154</v>
      </c>
      <c r="P60">
        <v>290</v>
      </c>
      <c r="Q60">
        <v>289</v>
      </c>
      <c r="R60">
        <v>289</v>
      </c>
      <c r="S60" s="24">
        <f t="shared" si="10"/>
        <v>289.33333333333331</v>
      </c>
      <c r="T60">
        <v>0</v>
      </c>
      <c r="U60">
        <v>0</v>
      </c>
      <c r="V60">
        <v>0</v>
      </c>
      <c r="W60" s="24">
        <f t="shared" si="11"/>
        <v>0</v>
      </c>
      <c r="X60" s="36">
        <v>0</v>
      </c>
      <c r="Y60">
        <v>0</v>
      </c>
      <c r="Z60">
        <v>0</v>
      </c>
      <c r="AA60" s="24">
        <f t="shared" si="12"/>
        <v>0</v>
      </c>
      <c r="AB60">
        <v>51.72</v>
      </c>
      <c r="AC60">
        <v>51.2</v>
      </c>
      <c r="AD60">
        <v>50.88</v>
      </c>
      <c r="AE60" s="24">
        <f t="shared" si="13"/>
        <v>51.266666666666673</v>
      </c>
      <c r="AF60" s="37">
        <v>97.08</v>
      </c>
      <c r="AG60" s="37">
        <v>98.85</v>
      </c>
      <c r="AH60" s="37">
        <v>97.4</v>
      </c>
      <c r="AI60" s="24">
        <f t="shared" si="14"/>
        <v>97.776666666666685</v>
      </c>
      <c r="AX60">
        <v>62.29</v>
      </c>
      <c r="AY60">
        <v>62.26</v>
      </c>
      <c r="AZ60">
        <v>62.74</v>
      </c>
      <c r="BA60" s="24">
        <f t="shared" si="15"/>
        <v>62.43</v>
      </c>
      <c r="BB60">
        <v>37.82</v>
      </c>
      <c r="BC60">
        <v>37.64</v>
      </c>
      <c r="BD60">
        <v>37.51</v>
      </c>
      <c r="BE60" s="24">
        <f t="shared" si="16"/>
        <v>37.656666666666666</v>
      </c>
      <c r="BF60">
        <v>84.34</v>
      </c>
      <c r="BG60">
        <v>84.4</v>
      </c>
      <c r="BH60">
        <v>84.59</v>
      </c>
      <c r="BI60" s="24">
        <f t="shared" si="17"/>
        <v>84.443333333333342</v>
      </c>
      <c r="BV60" t="s">
        <v>238</v>
      </c>
    </row>
    <row r="61" spans="1:74" x14ac:dyDescent="0.25">
      <c r="A61" t="s">
        <v>57</v>
      </c>
      <c r="B61" s="111" t="s">
        <v>1019</v>
      </c>
      <c r="C61" t="s">
        <v>207</v>
      </c>
      <c r="D61" t="s">
        <v>208</v>
      </c>
      <c r="E61">
        <v>1138</v>
      </c>
      <c r="H61" s="169" t="s">
        <v>230</v>
      </c>
      <c r="I61" t="s">
        <v>233</v>
      </c>
      <c r="K61" s="33">
        <v>2</v>
      </c>
      <c r="L61" s="10" t="s">
        <v>64</v>
      </c>
      <c r="M61">
        <v>709</v>
      </c>
      <c r="N61">
        <v>96</v>
      </c>
      <c r="O61" s="9">
        <f t="shared" si="18"/>
        <v>613</v>
      </c>
      <c r="P61">
        <v>222</v>
      </c>
      <c r="Q61">
        <v>222</v>
      </c>
      <c r="R61">
        <v>222</v>
      </c>
      <c r="S61" s="24">
        <f t="shared" si="10"/>
        <v>222</v>
      </c>
      <c r="T61">
        <v>145</v>
      </c>
      <c r="U61">
        <v>145</v>
      </c>
      <c r="V61">
        <v>145</v>
      </c>
      <c r="W61" s="24">
        <f t="shared" si="11"/>
        <v>145</v>
      </c>
      <c r="X61" s="36">
        <v>9.6300000000000008</v>
      </c>
      <c r="Y61">
        <v>9.43</v>
      </c>
      <c r="Z61">
        <v>10</v>
      </c>
      <c r="AA61" s="24">
        <f t="shared" si="12"/>
        <v>9.6866666666666674</v>
      </c>
      <c r="AB61">
        <v>42.21</v>
      </c>
      <c r="AC61">
        <v>41.92</v>
      </c>
      <c r="AD61">
        <v>41.9</v>
      </c>
      <c r="AE61" s="24">
        <f t="shared" si="13"/>
        <v>42.01</v>
      </c>
      <c r="AF61" s="37">
        <v>79.52</v>
      </c>
      <c r="AG61" s="37">
        <v>80.069999999999993</v>
      </c>
      <c r="AH61" s="37">
        <v>79.459999999999994</v>
      </c>
      <c r="AI61" s="24">
        <f t="shared" si="14"/>
        <v>79.683333333333323</v>
      </c>
      <c r="AS61" t="s">
        <v>65</v>
      </c>
      <c r="AT61">
        <v>8</v>
      </c>
      <c r="AU61">
        <v>4</v>
      </c>
      <c r="AX61">
        <v>50.28</v>
      </c>
      <c r="AY61">
        <v>49.67</v>
      </c>
      <c r="AZ61">
        <v>49.91</v>
      </c>
      <c r="BA61" s="24">
        <f t="shared" si="15"/>
        <v>49.95333333333334</v>
      </c>
      <c r="BB61">
        <v>30.17</v>
      </c>
      <c r="BC61">
        <v>31.09</v>
      </c>
      <c r="BD61">
        <v>31.54</v>
      </c>
      <c r="BE61" s="24">
        <f t="shared" si="16"/>
        <v>30.933333333333337</v>
      </c>
      <c r="BF61">
        <v>74.290000000000006</v>
      </c>
      <c r="BG61">
        <v>75.02</v>
      </c>
      <c r="BH61">
        <v>75.37</v>
      </c>
      <c r="BI61" s="24">
        <f t="shared" si="17"/>
        <v>74.893333333333331</v>
      </c>
      <c r="BO61" s="12"/>
      <c r="BP61"/>
      <c r="BQ61"/>
      <c r="BR61"/>
      <c r="BS61"/>
      <c r="BT61" s="12"/>
      <c r="BV61" t="s">
        <v>238</v>
      </c>
    </row>
    <row r="62" spans="1:74" x14ac:dyDescent="0.25">
      <c r="A62" t="s">
        <v>57</v>
      </c>
      <c r="B62" s="111" t="s">
        <v>1055</v>
      </c>
      <c r="C62" t="s">
        <v>49</v>
      </c>
      <c r="D62" t="s">
        <v>208</v>
      </c>
      <c r="E62">
        <v>1006</v>
      </c>
      <c r="H62" s="169" t="s">
        <v>235</v>
      </c>
      <c r="I62" t="s">
        <v>234</v>
      </c>
      <c r="K62" s="33">
        <v>2</v>
      </c>
      <c r="L62" s="10" t="s">
        <v>64</v>
      </c>
      <c r="M62">
        <v>744</v>
      </c>
      <c r="N62">
        <v>96</v>
      </c>
      <c r="O62" s="9">
        <f t="shared" si="18"/>
        <v>648</v>
      </c>
      <c r="P62">
        <v>248</v>
      </c>
      <c r="Q62">
        <v>246</v>
      </c>
      <c r="R62">
        <v>246</v>
      </c>
      <c r="S62" s="24">
        <f t="shared" si="10"/>
        <v>246.66666666666666</v>
      </c>
      <c r="T62">
        <v>146</v>
      </c>
      <c r="U62">
        <v>145</v>
      </c>
      <c r="V62">
        <v>146</v>
      </c>
      <c r="W62" s="24">
        <f t="shared" si="11"/>
        <v>145.66666666666666</v>
      </c>
      <c r="X62" s="36">
        <v>8.36</v>
      </c>
      <c r="Y62">
        <v>8.19</v>
      </c>
      <c r="Z62">
        <v>8.66</v>
      </c>
      <c r="AA62" s="24">
        <f t="shared" si="12"/>
        <v>8.4033333333333324</v>
      </c>
      <c r="AB62">
        <v>43.67</v>
      </c>
      <c r="AC62">
        <v>43.51</v>
      </c>
      <c r="AD62">
        <v>43.35</v>
      </c>
      <c r="AE62" s="24">
        <f t="shared" si="13"/>
        <v>43.51</v>
      </c>
      <c r="AF62" s="37">
        <v>81.58</v>
      </c>
      <c r="AG62" s="37">
        <v>81.489999999999995</v>
      </c>
      <c r="AH62" s="37">
        <v>80.27</v>
      </c>
      <c r="AI62" s="24">
        <f t="shared" si="14"/>
        <v>81.11333333333333</v>
      </c>
      <c r="AS62" t="s">
        <v>65</v>
      </c>
      <c r="AT62">
        <v>8</v>
      </c>
      <c r="AU62">
        <v>8</v>
      </c>
      <c r="AX62">
        <v>50.91</v>
      </c>
      <c r="AY62">
        <v>50.55</v>
      </c>
      <c r="AZ62">
        <v>50.57</v>
      </c>
      <c r="BA62" s="24">
        <f t="shared" si="15"/>
        <v>50.676666666666669</v>
      </c>
      <c r="BB62">
        <v>33.46</v>
      </c>
      <c r="BC62">
        <v>33.83</v>
      </c>
      <c r="BD62">
        <v>33.42</v>
      </c>
      <c r="BE62" s="24">
        <f t="shared" si="16"/>
        <v>33.57</v>
      </c>
      <c r="BF62">
        <v>76.78</v>
      </c>
      <c r="BG62">
        <v>77.19</v>
      </c>
      <c r="BH62">
        <v>76.77</v>
      </c>
      <c r="BI62" s="24">
        <f t="shared" si="17"/>
        <v>76.913333333333341</v>
      </c>
      <c r="BO62" s="12"/>
      <c r="BP62"/>
      <c r="BQ62"/>
      <c r="BR62"/>
      <c r="BS62"/>
      <c r="BT62" s="12"/>
      <c r="BV62" t="s">
        <v>238</v>
      </c>
    </row>
    <row r="63" spans="1:74" x14ac:dyDescent="0.25">
      <c r="A63" t="s">
        <v>57</v>
      </c>
      <c r="B63" s="111" t="s">
        <v>1020</v>
      </c>
      <c r="C63" t="s">
        <v>207</v>
      </c>
      <c r="D63" t="s">
        <v>208</v>
      </c>
      <c r="E63">
        <v>1139</v>
      </c>
      <c r="H63" s="169" t="s">
        <v>235</v>
      </c>
      <c r="I63" t="s">
        <v>236</v>
      </c>
      <c r="K63" s="33">
        <v>3</v>
      </c>
      <c r="L63" s="10" t="s">
        <v>50</v>
      </c>
      <c r="M63">
        <v>1036</v>
      </c>
      <c r="N63">
        <v>94</v>
      </c>
      <c r="O63" s="9">
        <f t="shared" si="18"/>
        <v>942</v>
      </c>
      <c r="P63">
        <v>267</v>
      </c>
      <c r="Q63">
        <v>267</v>
      </c>
      <c r="R63">
        <v>268</v>
      </c>
      <c r="S63" s="24">
        <f t="shared" si="10"/>
        <v>267.33333333333331</v>
      </c>
      <c r="T63">
        <v>158</v>
      </c>
      <c r="U63">
        <v>158</v>
      </c>
      <c r="V63">
        <v>158</v>
      </c>
      <c r="W63" s="24">
        <f t="shared" si="11"/>
        <v>158</v>
      </c>
      <c r="X63" s="36">
        <v>11.37</v>
      </c>
      <c r="Y63">
        <v>10.35</v>
      </c>
      <c r="Z63">
        <v>10.87</v>
      </c>
      <c r="AA63" s="24">
        <f t="shared" si="12"/>
        <v>10.863333333333332</v>
      </c>
      <c r="AB63">
        <v>46.35</v>
      </c>
      <c r="AC63">
        <v>46.9</v>
      </c>
      <c r="AD63">
        <v>46.92</v>
      </c>
      <c r="AE63" s="24">
        <f t="shared" si="13"/>
        <v>46.723333333333336</v>
      </c>
      <c r="AF63" s="37">
        <v>89.82</v>
      </c>
      <c r="AG63" s="37">
        <v>89.87</v>
      </c>
      <c r="AH63" s="37">
        <v>89.67</v>
      </c>
      <c r="AI63" s="24">
        <f t="shared" si="14"/>
        <v>89.786666666666676</v>
      </c>
      <c r="AX63">
        <v>57.54</v>
      </c>
      <c r="AY63">
        <v>57.72</v>
      </c>
      <c r="AZ63">
        <v>57.47</v>
      </c>
      <c r="BA63" s="24">
        <f t="shared" si="15"/>
        <v>57.576666666666661</v>
      </c>
      <c r="BB63">
        <v>36.28</v>
      </c>
      <c r="BC63">
        <v>36.39</v>
      </c>
      <c r="BD63">
        <v>36.07</v>
      </c>
      <c r="BE63" s="24">
        <f t="shared" si="16"/>
        <v>36.24666666666667</v>
      </c>
      <c r="BF63">
        <v>79.83</v>
      </c>
      <c r="BG63">
        <v>79.53</v>
      </c>
      <c r="BH63">
        <v>79.44</v>
      </c>
      <c r="BI63" s="24">
        <f t="shared" si="17"/>
        <v>79.600000000000009</v>
      </c>
      <c r="BO63"/>
      <c r="BP63"/>
      <c r="BQ63"/>
      <c r="BR63"/>
      <c r="BS63"/>
      <c r="BT63"/>
      <c r="BV63" t="s">
        <v>238</v>
      </c>
    </row>
    <row r="64" spans="1:74" x14ac:dyDescent="0.25">
      <c r="A64" t="s">
        <v>57</v>
      </c>
      <c r="B64" s="111" t="s">
        <v>1056</v>
      </c>
      <c r="C64" t="s">
        <v>49</v>
      </c>
      <c r="D64" t="s">
        <v>208</v>
      </c>
      <c r="E64">
        <v>1007</v>
      </c>
      <c r="H64" s="169" t="s">
        <v>237</v>
      </c>
      <c r="I64" t="s">
        <v>231</v>
      </c>
      <c r="K64" s="33">
        <v>1</v>
      </c>
      <c r="L64" s="10" t="s">
        <v>64</v>
      </c>
      <c r="M64">
        <v>656</v>
      </c>
      <c r="N64">
        <v>97</v>
      </c>
      <c r="O64" s="9">
        <f t="shared" si="18"/>
        <v>559</v>
      </c>
      <c r="P64">
        <v>233</v>
      </c>
      <c r="Q64">
        <v>232</v>
      </c>
      <c r="R64">
        <v>232</v>
      </c>
      <c r="S64" s="24">
        <f t="shared" si="10"/>
        <v>232.33333333333334</v>
      </c>
      <c r="T64">
        <v>142</v>
      </c>
      <c r="U64">
        <v>141</v>
      </c>
      <c r="V64">
        <v>141</v>
      </c>
      <c r="W64" s="24">
        <f t="shared" si="11"/>
        <v>141.33333333333334</v>
      </c>
      <c r="X64" s="36">
        <v>7.42</v>
      </c>
      <c r="Y64">
        <v>8.07</v>
      </c>
      <c r="Z64">
        <v>8.01</v>
      </c>
      <c r="AA64" s="24">
        <f t="shared" si="12"/>
        <v>7.833333333333333</v>
      </c>
      <c r="AB64">
        <v>40.450000000000003</v>
      </c>
      <c r="AC64">
        <v>40.57</v>
      </c>
      <c r="AD64">
        <v>40.75</v>
      </c>
      <c r="AE64" s="24">
        <f t="shared" si="13"/>
        <v>40.590000000000003</v>
      </c>
      <c r="AF64" s="37">
        <v>74.58</v>
      </c>
      <c r="AG64">
        <v>74.22</v>
      </c>
      <c r="AH64" s="37">
        <v>74.290000000000006</v>
      </c>
      <c r="AI64" s="24">
        <f t="shared" si="14"/>
        <v>74.363333333333344</v>
      </c>
      <c r="AS64" t="s">
        <v>65</v>
      </c>
      <c r="AT64">
        <v>8</v>
      </c>
      <c r="AU64">
        <v>0</v>
      </c>
      <c r="AX64">
        <v>46.12</v>
      </c>
      <c r="AY64">
        <v>46.08</v>
      </c>
      <c r="AZ64">
        <v>46.19</v>
      </c>
      <c r="BA64" s="24">
        <f t="shared" si="15"/>
        <v>46.129999999999995</v>
      </c>
      <c r="BB64">
        <v>29.87</v>
      </c>
      <c r="BC64">
        <v>30.16</v>
      </c>
      <c r="BD64">
        <v>30.82</v>
      </c>
      <c r="BE64" s="24">
        <f t="shared" si="16"/>
        <v>30.283333333333331</v>
      </c>
      <c r="BF64">
        <v>72.62</v>
      </c>
      <c r="BG64">
        <v>72.37</v>
      </c>
      <c r="BH64">
        <v>72.25</v>
      </c>
      <c r="BI64" s="24">
        <f t="shared" si="17"/>
        <v>72.413333333333341</v>
      </c>
      <c r="BM64" t="s">
        <v>238</v>
      </c>
      <c r="BO64" s="12"/>
      <c r="BP64"/>
      <c r="BQ64"/>
      <c r="BR64"/>
      <c r="BS64"/>
      <c r="BT64" s="12"/>
      <c r="BV64" t="s">
        <v>238</v>
      </c>
    </row>
    <row r="65" spans="1:74" x14ac:dyDescent="0.25">
      <c r="A65" t="s">
        <v>57</v>
      </c>
      <c r="B65" s="111" t="s">
        <v>1057</v>
      </c>
      <c r="C65" t="s">
        <v>49</v>
      </c>
      <c r="D65" t="s">
        <v>208</v>
      </c>
      <c r="E65">
        <v>1009</v>
      </c>
      <c r="H65" s="169" t="s">
        <v>254</v>
      </c>
      <c r="I65" t="s">
        <v>255</v>
      </c>
      <c r="K65" s="33">
        <v>1</v>
      </c>
      <c r="L65" s="10" t="s">
        <v>50</v>
      </c>
      <c r="M65">
        <v>798</v>
      </c>
      <c r="N65">
        <v>98</v>
      </c>
      <c r="O65" s="9">
        <f t="shared" ref="O65:O96" si="19">M65-N65</f>
        <v>700</v>
      </c>
      <c r="P65">
        <v>242</v>
      </c>
      <c r="Q65">
        <v>243</v>
      </c>
      <c r="R65">
        <v>243</v>
      </c>
      <c r="S65" s="24">
        <f t="shared" si="10"/>
        <v>242.66666666666666</v>
      </c>
      <c r="T65">
        <v>165</v>
      </c>
      <c r="U65">
        <v>166</v>
      </c>
      <c r="V65">
        <v>165</v>
      </c>
      <c r="W65" s="24">
        <f t="shared" si="11"/>
        <v>165.33333333333334</v>
      </c>
      <c r="X65" s="36">
        <v>10.37</v>
      </c>
      <c r="Y65">
        <v>10.28</v>
      </c>
      <c r="Z65">
        <v>10.18</v>
      </c>
      <c r="AA65" s="24">
        <f t="shared" si="12"/>
        <v>10.276666666666666</v>
      </c>
      <c r="AB65">
        <v>47.09</v>
      </c>
      <c r="AC65">
        <v>47.04</v>
      </c>
      <c r="AD65">
        <v>47.11</v>
      </c>
      <c r="AE65" s="24">
        <f t="shared" si="13"/>
        <v>47.080000000000005</v>
      </c>
      <c r="AF65" s="37">
        <v>83.62</v>
      </c>
      <c r="AG65" s="37">
        <v>83.56</v>
      </c>
      <c r="AH65" s="37">
        <v>83.13</v>
      </c>
      <c r="AI65" s="24">
        <f t="shared" si="14"/>
        <v>83.436666666666667</v>
      </c>
      <c r="AX65">
        <v>51.4</v>
      </c>
      <c r="AY65">
        <v>51.74</v>
      </c>
      <c r="AZ65">
        <v>51.74</v>
      </c>
      <c r="BA65" s="24">
        <f t="shared" si="15"/>
        <v>51.626666666666665</v>
      </c>
      <c r="BB65">
        <v>32.54</v>
      </c>
      <c r="BC65">
        <v>32.97</v>
      </c>
      <c r="BD65">
        <v>33.06</v>
      </c>
      <c r="BE65" s="24">
        <f t="shared" si="16"/>
        <v>32.856666666666662</v>
      </c>
      <c r="BF65">
        <v>81.09</v>
      </c>
      <c r="BG65">
        <v>80.98</v>
      </c>
      <c r="BH65">
        <v>80.77</v>
      </c>
      <c r="BI65" s="24">
        <f t="shared" si="17"/>
        <v>80.946666666666658</v>
      </c>
      <c r="BJ65" t="s">
        <v>51</v>
      </c>
      <c r="BK65" t="s">
        <v>51</v>
      </c>
      <c r="BO65" s="12"/>
      <c r="BP65"/>
      <c r="BQ65"/>
      <c r="BR65"/>
      <c r="BS65"/>
      <c r="BT65" s="12"/>
      <c r="BV65" t="s">
        <v>238</v>
      </c>
    </row>
    <row r="66" spans="1:74" x14ac:dyDescent="0.25">
      <c r="A66" t="s">
        <v>57</v>
      </c>
      <c r="B66" s="111" t="s">
        <v>1058</v>
      </c>
      <c r="C66" t="s">
        <v>49</v>
      </c>
      <c r="D66" t="s">
        <v>208</v>
      </c>
      <c r="E66">
        <v>1012</v>
      </c>
      <c r="H66" s="169" t="s">
        <v>267</v>
      </c>
      <c r="I66" t="s">
        <v>266</v>
      </c>
      <c r="K66" s="33">
        <v>1</v>
      </c>
      <c r="L66" s="10" t="s">
        <v>50</v>
      </c>
      <c r="M66">
        <v>572</v>
      </c>
      <c r="N66">
        <v>90</v>
      </c>
      <c r="O66" s="9">
        <f t="shared" si="19"/>
        <v>482</v>
      </c>
      <c r="P66">
        <v>204</v>
      </c>
      <c r="Q66">
        <v>203</v>
      </c>
      <c r="R66">
        <v>203</v>
      </c>
      <c r="S66" s="24">
        <f t="shared" si="10"/>
        <v>203.33333333333334</v>
      </c>
      <c r="T66">
        <v>135</v>
      </c>
      <c r="U66">
        <v>136</v>
      </c>
      <c r="V66">
        <v>135</v>
      </c>
      <c r="W66" s="24">
        <f t="shared" si="11"/>
        <v>135.33333333333334</v>
      </c>
      <c r="X66" s="36">
        <v>8.49</v>
      </c>
      <c r="Y66">
        <v>8.5399999999999991</v>
      </c>
      <c r="Z66">
        <v>8.5299999999999994</v>
      </c>
      <c r="AA66" s="24">
        <f t="shared" si="12"/>
        <v>8.5200000000000014</v>
      </c>
      <c r="AB66">
        <v>40.65</v>
      </c>
      <c r="AC66">
        <v>40.54</v>
      </c>
      <c r="AD66">
        <v>40.35</v>
      </c>
      <c r="AE66" s="24">
        <f t="shared" si="13"/>
        <v>40.513333333333328</v>
      </c>
      <c r="AF66" s="37">
        <v>72.06</v>
      </c>
      <c r="AG66" s="37">
        <v>71.599999999999994</v>
      </c>
      <c r="AH66" s="37">
        <v>71.31</v>
      </c>
      <c r="AI66" s="24">
        <f t="shared" si="14"/>
        <v>71.656666666666666</v>
      </c>
      <c r="AX66">
        <v>43.93</v>
      </c>
      <c r="AY66">
        <v>43.47</v>
      </c>
      <c r="AZ66">
        <v>43.53</v>
      </c>
      <c r="BA66" s="24">
        <f t="shared" si="15"/>
        <v>43.643333333333338</v>
      </c>
      <c r="BB66">
        <v>30.56</v>
      </c>
      <c r="BC66">
        <v>30.62</v>
      </c>
      <c r="BD66">
        <v>30.61</v>
      </c>
      <c r="BE66" s="24">
        <f t="shared" si="16"/>
        <v>30.596666666666664</v>
      </c>
      <c r="BF66">
        <v>71.819999999999993</v>
      </c>
      <c r="BG66">
        <v>71.930000000000007</v>
      </c>
      <c r="BH66">
        <v>71.48</v>
      </c>
      <c r="BI66" s="24">
        <f t="shared" si="17"/>
        <v>71.743333333333339</v>
      </c>
      <c r="BJ66" t="s">
        <v>51</v>
      </c>
      <c r="BK66" t="s">
        <v>51</v>
      </c>
      <c r="BO66" s="12"/>
      <c r="BP66"/>
      <c r="BQ66"/>
      <c r="BR66"/>
      <c r="BS66"/>
      <c r="BT66" s="12"/>
      <c r="BV66" t="s">
        <v>238</v>
      </c>
    </row>
    <row r="67" spans="1:74" x14ac:dyDescent="0.25">
      <c r="A67" t="s">
        <v>57</v>
      </c>
      <c r="B67" s="111" t="s">
        <v>1059</v>
      </c>
      <c r="C67" t="s">
        <v>49</v>
      </c>
      <c r="D67" t="s">
        <v>208</v>
      </c>
      <c r="E67">
        <v>1014</v>
      </c>
      <c r="H67" s="169" t="s">
        <v>268</v>
      </c>
      <c r="I67" t="s">
        <v>229</v>
      </c>
      <c r="K67" s="33" t="s">
        <v>66</v>
      </c>
      <c r="L67" s="10" t="s">
        <v>64</v>
      </c>
      <c r="M67">
        <v>756</v>
      </c>
      <c r="N67">
        <v>96</v>
      </c>
      <c r="O67" s="9">
        <f t="shared" si="19"/>
        <v>660</v>
      </c>
      <c r="P67">
        <v>231</v>
      </c>
      <c r="Q67">
        <v>232</v>
      </c>
      <c r="R67">
        <v>232</v>
      </c>
      <c r="S67" s="24">
        <f t="shared" si="10"/>
        <v>231.66666666666666</v>
      </c>
      <c r="T67">
        <v>146</v>
      </c>
      <c r="U67">
        <v>146</v>
      </c>
      <c r="V67">
        <v>146</v>
      </c>
      <c r="W67" s="24">
        <f t="shared" si="11"/>
        <v>146</v>
      </c>
      <c r="X67" s="36">
        <v>7.53</v>
      </c>
      <c r="Y67">
        <v>7.85</v>
      </c>
      <c r="Z67">
        <v>8</v>
      </c>
      <c r="AA67" s="24">
        <f t="shared" si="12"/>
        <v>7.793333333333333</v>
      </c>
      <c r="AB67">
        <v>44.4</v>
      </c>
      <c r="AC67">
        <v>44.43</v>
      </c>
      <c r="AD67">
        <v>44.34</v>
      </c>
      <c r="AE67" s="24">
        <f t="shared" si="13"/>
        <v>44.390000000000008</v>
      </c>
      <c r="AF67" s="37">
        <v>81.569999999999993</v>
      </c>
      <c r="AG67" s="37">
        <v>81.48</v>
      </c>
      <c r="AH67" s="37">
        <v>81.37</v>
      </c>
      <c r="AI67" s="24">
        <f t="shared" si="14"/>
        <v>81.473333333333343</v>
      </c>
      <c r="AS67" t="s">
        <v>65</v>
      </c>
      <c r="AT67">
        <v>8</v>
      </c>
      <c r="AU67">
        <v>2</v>
      </c>
      <c r="AX67">
        <v>52.29</v>
      </c>
      <c r="AY67">
        <v>52.06</v>
      </c>
      <c r="AZ67">
        <v>52.14</v>
      </c>
      <c r="BA67" s="24">
        <f t="shared" si="15"/>
        <v>52.163333333333334</v>
      </c>
      <c r="BB67">
        <v>33.590000000000003</v>
      </c>
      <c r="BC67">
        <v>32.99</v>
      </c>
      <c r="BD67">
        <v>33.67</v>
      </c>
      <c r="BE67" s="24">
        <f t="shared" si="16"/>
        <v>33.416666666666671</v>
      </c>
      <c r="BF67">
        <v>76.87</v>
      </c>
      <c r="BG67">
        <v>76.849999999999994</v>
      </c>
      <c r="BH67">
        <v>76.8</v>
      </c>
      <c r="BI67" s="24">
        <f t="shared" si="17"/>
        <v>76.839999999999989</v>
      </c>
      <c r="BJ67" t="s">
        <v>51</v>
      </c>
      <c r="BK67" t="s">
        <v>51</v>
      </c>
      <c r="BO67" s="12"/>
      <c r="BP67"/>
      <c r="BQ67"/>
      <c r="BR67"/>
      <c r="BS67"/>
      <c r="BT67" s="12"/>
      <c r="BV67" t="s">
        <v>238</v>
      </c>
    </row>
    <row r="68" spans="1:74" x14ac:dyDescent="0.25">
      <c r="A68" t="s">
        <v>57</v>
      </c>
      <c r="B68" s="111" t="s">
        <v>1060</v>
      </c>
      <c r="C68" t="s">
        <v>49</v>
      </c>
      <c r="D68" t="s">
        <v>208</v>
      </c>
      <c r="E68">
        <v>1016</v>
      </c>
      <c r="H68" s="169" t="s">
        <v>269</v>
      </c>
      <c r="I68" t="s">
        <v>74</v>
      </c>
      <c r="K68" s="33">
        <v>1</v>
      </c>
      <c r="L68" s="10" t="s">
        <v>64</v>
      </c>
      <c r="M68">
        <v>546</v>
      </c>
      <c r="N68">
        <v>97</v>
      </c>
      <c r="O68" s="9">
        <f t="shared" si="19"/>
        <v>449</v>
      </c>
      <c r="P68">
        <v>194</v>
      </c>
      <c r="Q68">
        <v>195</v>
      </c>
      <c r="R68">
        <v>194</v>
      </c>
      <c r="S68" s="24">
        <f t="shared" si="10"/>
        <v>194.33333333333334</v>
      </c>
      <c r="T68">
        <v>126</v>
      </c>
      <c r="U68">
        <v>126</v>
      </c>
      <c r="V68">
        <v>126</v>
      </c>
      <c r="W68" s="24">
        <f t="shared" si="11"/>
        <v>126</v>
      </c>
      <c r="X68" s="36">
        <v>8.4</v>
      </c>
      <c r="Y68">
        <v>8.11</v>
      </c>
      <c r="Z68">
        <v>7.94</v>
      </c>
      <c r="AA68" s="24">
        <f t="shared" si="12"/>
        <v>8.15</v>
      </c>
      <c r="AB68">
        <v>38.04</v>
      </c>
      <c r="AC68">
        <v>38.51</v>
      </c>
      <c r="AD68">
        <v>38.130000000000003</v>
      </c>
      <c r="AE68" s="24">
        <f t="shared" si="13"/>
        <v>38.226666666666667</v>
      </c>
      <c r="AF68" s="37">
        <v>69.02</v>
      </c>
      <c r="AG68" s="37">
        <v>69.61</v>
      </c>
      <c r="AH68" s="37">
        <v>69.05</v>
      </c>
      <c r="AI68" s="24">
        <f t="shared" si="14"/>
        <v>69.226666666666674</v>
      </c>
      <c r="AS68" t="s">
        <v>65</v>
      </c>
      <c r="AT68">
        <v>8</v>
      </c>
      <c r="AU68">
        <v>0</v>
      </c>
      <c r="AX68">
        <v>45.86</v>
      </c>
      <c r="AY68">
        <v>45.12</v>
      </c>
      <c r="AZ68">
        <v>45.24</v>
      </c>
      <c r="BA68" s="24">
        <f t="shared" si="15"/>
        <v>45.406666666666666</v>
      </c>
      <c r="BB68">
        <v>31.04</v>
      </c>
      <c r="BC68">
        <v>32</v>
      </c>
      <c r="BD68">
        <v>31.55</v>
      </c>
      <c r="BE68" s="24">
        <f t="shared" si="16"/>
        <v>31.53</v>
      </c>
      <c r="BF68">
        <v>71.62</v>
      </c>
      <c r="BG68">
        <v>71.2</v>
      </c>
      <c r="BH68">
        <v>71.73</v>
      </c>
      <c r="BI68" s="24">
        <f t="shared" si="17"/>
        <v>71.516666666666666</v>
      </c>
      <c r="BJ68" t="s">
        <v>51</v>
      </c>
      <c r="BK68" t="s">
        <v>51</v>
      </c>
      <c r="BO68" s="12"/>
      <c r="BP68"/>
      <c r="BQ68"/>
      <c r="BR68"/>
      <c r="BS68"/>
      <c r="BT68" s="12"/>
      <c r="BV68" t="s">
        <v>238</v>
      </c>
    </row>
    <row r="69" spans="1:74" x14ac:dyDescent="0.25">
      <c r="A69" t="s">
        <v>57</v>
      </c>
      <c r="B69" s="111" t="s">
        <v>1061</v>
      </c>
      <c r="C69" t="s">
        <v>49</v>
      </c>
      <c r="D69" t="s">
        <v>208</v>
      </c>
      <c r="E69">
        <v>1017</v>
      </c>
      <c r="H69" s="169" t="s">
        <v>270</v>
      </c>
      <c r="I69" t="s">
        <v>271</v>
      </c>
      <c r="K69" s="33">
        <v>3</v>
      </c>
      <c r="L69" s="10" t="s">
        <v>50</v>
      </c>
      <c r="M69">
        <v>1046</v>
      </c>
      <c r="N69">
        <v>98</v>
      </c>
      <c r="O69" s="9">
        <f t="shared" si="19"/>
        <v>948</v>
      </c>
      <c r="P69">
        <v>253</v>
      </c>
      <c r="Q69">
        <v>253</v>
      </c>
      <c r="R69">
        <v>253</v>
      </c>
      <c r="S69" s="24">
        <f t="shared" si="10"/>
        <v>253</v>
      </c>
      <c r="T69">
        <v>156</v>
      </c>
      <c r="U69">
        <v>156</v>
      </c>
      <c r="V69">
        <v>156</v>
      </c>
      <c r="W69" s="24">
        <f t="shared" si="11"/>
        <v>156</v>
      </c>
      <c r="X69" s="36">
        <v>11.21</v>
      </c>
      <c r="Y69">
        <v>11.64</v>
      </c>
      <c r="Z69">
        <v>11.37</v>
      </c>
      <c r="AA69" s="24">
        <f t="shared" si="12"/>
        <v>11.406666666666666</v>
      </c>
      <c r="AB69" s="37">
        <v>49.09</v>
      </c>
      <c r="AC69" s="37">
        <v>49.1</v>
      </c>
      <c r="AD69" s="37">
        <v>48.89</v>
      </c>
      <c r="AE69" s="24">
        <f t="shared" si="13"/>
        <v>49.026666666666664</v>
      </c>
      <c r="AF69" s="37">
        <v>90.94</v>
      </c>
      <c r="AG69" s="37">
        <v>90.8</v>
      </c>
      <c r="AH69" s="37">
        <v>90.95</v>
      </c>
      <c r="AI69" s="24">
        <f t="shared" si="14"/>
        <v>90.896666666666661</v>
      </c>
      <c r="AJ69" s="12">
        <v>21.46</v>
      </c>
      <c r="AK69" s="12">
        <v>20.88</v>
      </c>
      <c r="AL69" s="12">
        <v>20.95</v>
      </c>
      <c r="AM69" s="9">
        <f>AVERAGE(AJ69:AL69)</f>
        <v>21.096666666666668</v>
      </c>
      <c r="AN69" s="35">
        <v>26.28</v>
      </c>
      <c r="AO69" s="35">
        <v>26.07</v>
      </c>
      <c r="AP69" s="35">
        <v>26.84</v>
      </c>
      <c r="AQ69" s="9">
        <f>AVERAGE(AN69:AP69)</f>
        <v>26.396666666666665</v>
      </c>
      <c r="AX69" s="37">
        <v>57.76</v>
      </c>
      <c r="AY69" s="37">
        <v>57.56</v>
      </c>
      <c r="AZ69" s="37">
        <v>57.03</v>
      </c>
      <c r="BA69" s="24">
        <f t="shared" si="15"/>
        <v>57.449999999999996</v>
      </c>
      <c r="BB69" s="37">
        <v>34.409999999999997</v>
      </c>
      <c r="BC69" s="37">
        <v>34.32</v>
      </c>
      <c r="BD69" s="37">
        <v>34.54</v>
      </c>
      <c r="BE69" s="24">
        <f t="shared" si="16"/>
        <v>34.423333333333325</v>
      </c>
      <c r="BF69" s="37">
        <v>85.4</v>
      </c>
      <c r="BG69" s="37">
        <v>85.85</v>
      </c>
      <c r="BH69" s="37">
        <v>85.68</v>
      </c>
      <c r="BI69" s="24">
        <f t="shared" si="17"/>
        <v>85.643333333333331</v>
      </c>
      <c r="BO69"/>
      <c r="BP69"/>
      <c r="BQ69"/>
      <c r="BR69"/>
      <c r="BS69"/>
      <c r="BT69"/>
      <c r="BV69" s="94" t="s">
        <v>238</v>
      </c>
    </row>
    <row r="70" spans="1:74" x14ac:dyDescent="0.25">
      <c r="A70" t="s">
        <v>57</v>
      </c>
      <c r="B70" s="111" t="s">
        <v>1028</v>
      </c>
      <c r="C70" t="s">
        <v>207</v>
      </c>
      <c r="D70" t="s">
        <v>208</v>
      </c>
      <c r="E70">
        <v>1169</v>
      </c>
      <c r="H70" s="169" t="s">
        <v>280</v>
      </c>
      <c r="I70" t="s">
        <v>281</v>
      </c>
      <c r="K70" s="33" t="s">
        <v>82</v>
      </c>
      <c r="L70" s="10" t="s">
        <v>64</v>
      </c>
      <c r="M70">
        <v>936</v>
      </c>
      <c r="N70">
        <v>98</v>
      </c>
      <c r="O70" s="9">
        <f t="shared" si="19"/>
        <v>838</v>
      </c>
      <c r="P70">
        <v>276</v>
      </c>
      <c r="Q70">
        <v>277</v>
      </c>
      <c r="R70">
        <v>278</v>
      </c>
      <c r="S70" s="24">
        <f t="shared" si="10"/>
        <v>277</v>
      </c>
      <c r="T70">
        <v>132</v>
      </c>
      <c r="U70">
        <v>132</v>
      </c>
      <c r="V70">
        <v>132</v>
      </c>
      <c r="W70" s="24">
        <f t="shared" si="11"/>
        <v>132</v>
      </c>
      <c r="X70" s="36">
        <v>10.039999999999999</v>
      </c>
      <c r="Y70">
        <v>10.38</v>
      </c>
      <c r="Z70">
        <v>10.42</v>
      </c>
      <c r="AA70" s="24">
        <f t="shared" si="12"/>
        <v>10.280000000000001</v>
      </c>
      <c r="AB70">
        <v>45.06</v>
      </c>
      <c r="AC70">
        <v>45.6</v>
      </c>
      <c r="AD70">
        <v>45.09</v>
      </c>
      <c r="AE70" s="24">
        <f t="shared" si="13"/>
        <v>45.25</v>
      </c>
      <c r="AF70" s="37">
        <v>87.96</v>
      </c>
      <c r="AG70" s="37">
        <v>88.14</v>
      </c>
      <c r="AH70" s="37">
        <v>88.04</v>
      </c>
      <c r="AI70" s="24">
        <f t="shared" si="14"/>
        <v>88.046666666666667</v>
      </c>
      <c r="AS70" t="s">
        <v>65</v>
      </c>
      <c r="AT70">
        <v>8</v>
      </c>
      <c r="AU70">
        <v>4</v>
      </c>
      <c r="AX70">
        <v>54</v>
      </c>
      <c r="AY70">
        <v>54.35</v>
      </c>
      <c r="AZ70">
        <v>54.01</v>
      </c>
      <c r="BA70" s="24">
        <f t="shared" si="15"/>
        <v>54.12</v>
      </c>
      <c r="BB70">
        <v>33.299999999999997</v>
      </c>
      <c r="BC70">
        <v>34.090000000000003</v>
      </c>
      <c r="BD70">
        <v>34.549999999999997</v>
      </c>
      <c r="BE70" s="24">
        <f t="shared" si="16"/>
        <v>33.979999999999997</v>
      </c>
      <c r="BF70">
        <v>82.1</v>
      </c>
      <c r="BG70">
        <v>82.64</v>
      </c>
      <c r="BH70">
        <v>82.16</v>
      </c>
      <c r="BI70" s="24">
        <f t="shared" si="17"/>
        <v>82.3</v>
      </c>
      <c r="BJ70" t="s">
        <v>51</v>
      </c>
      <c r="BK70" t="s">
        <v>51</v>
      </c>
      <c r="BO70" s="12"/>
      <c r="BP70"/>
      <c r="BQ70"/>
      <c r="BR70"/>
      <c r="BS70"/>
      <c r="BT70" s="12"/>
      <c r="BV70" t="s">
        <v>238</v>
      </c>
    </row>
    <row r="71" spans="1:74" x14ac:dyDescent="0.25">
      <c r="A71" t="s">
        <v>57</v>
      </c>
      <c r="B71" s="111" t="s">
        <v>1062</v>
      </c>
      <c r="C71" t="s">
        <v>49</v>
      </c>
      <c r="D71" t="s">
        <v>208</v>
      </c>
      <c r="E71">
        <v>1019</v>
      </c>
      <c r="H71" s="169" t="s">
        <v>280</v>
      </c>
      <c r="I71" t="s">
        <v>84</v>
      </c>
      <c r="K71" s="33">
        <v>2</v>
      </c>
      <c r="L71" s="10" t="s">
        <v>50</v>
      </c>
      <c r="M71">
        <v>829</v>
      </c>
      <c r="N71">
        <v>90</v>
      </c>
      <c r="O71" s="9">
        <f t="shared" si="19"/>
        <v>739</v>
      </c>
      <c r="P71">
        <v>230</v>
      </c>
      <c r="Q71">
        <v>229</v>
      </c>
      <c r="R71">
        <v>229</v>
      </c>
      <c r="S71" s="24">
        <f t="shared" si="10"/>
        <v>229.33333333333334</v>
      </c>
      <c r="T71">
        <v>156</v>
      </c>
      <c r="U71">
        <v>155</v>
      </c>
      <c r="V71">
        <v>155</v>
      </c>
      <c r="W71" s="24">
        <f t="shared" si="11"/>
        <v>155.33333333333334</v>
      </c>
      <c r="X71" s="36">
        <v>10.11</v>
      </c>
      <c r="Y71">
        <v>10.08</v>
      </c>
      <c r="Z71">
        <v>9.73</v>
      </c>
      <c r="AA71" s="24">
        <f t="shared" si="12"/>
        <v>9.9733333333333327</v>
      </c>
      <c r="AB71">
        <v>47.57</v>
      </c>
      <c r="AC71">
        <v>47.14</v>
      </c>
      <c r="AD71">
        <v>47.5</v>
      </c>
      <c r="AE71" s="24">
        <f t="shared" si="13"/>
        <v>47.403333333333336</v>
      </c>
      <c r="AF71" s="37">
        <v>86.55</v>
      </c>
      <c r="AG71" s="37">
        <v>86.41</v>
      </c>
      <c r="AH71" s="37">
        <v>86.65</v>
      </c>
      <c r="AI71" s="24">
        <f t="shared" si="14"/>
        <v>86.536666666666676</v>
      </c>
      <c r="AJ71" s="12">
        <v>21.97</v>
      </c>
      <c r="AK71" s="12">
        <v>21.8</v>
      </c>
      <c r="AL71" s="12">
        <v>21.19</v>
      </c>
      <c r="AM71" s="9">
        <f>AVERAGE(AJ71:AL71)</f>
        <v>21.653333333333332</v>
      </c>
      <c r="AN71" s="35">
        <v>27.95</v>
      </c>
      <c r="AO71" s="35">
        <v>27.81</v>
      </c>
      <c r="AP71" s="35">
        <v>28.38</v>
      </c>
      <c r="AQ71" s="9">
        <f>AVERAGE(AN71:AP71)</f>
        <v>28.046666666666667</v>
      </c>
      <c r="AX71">
        <v>51.87</v>
      </c>
      <c r="AY71">
        <v>52.23</v>
      </c>
      <c r="AZ71">
        <v>52.56</v>
      </c>
      <c r="BA71" s="24">
        <f t="shared" si="15"/>
        <v>52.22</v>
      </c>
      <c r="BB71">
        <v>32.75</v>
      </c>
      <c r="BC71">
        <v>32.69</v>
      </c>
      <c r="BD71">
        <v>33.19</v>
      </c>
      <c r="BE71" s="24">
        <f t="shared" si="16"/>
        <v>32.876666666666665</v>
      </c>
      <c r="BF71">
        <v>76.88</v>
      </c>
      <c r="BG71">
        <v>78.349999999999994</v>
      </c>
      <c r="BH71">
        <v>78.8</v>
      </c>
      <c r="BI71" s="24">
        <f t="shared" si="17"/>
        <v>78.009999999999991</v>
      </c>
      <c r="BJ71" t="s">
        <v>51</v>
      </c>
      <c r="BK71" t="s">
        <v>51</v>
      </c>
      <c r="BO71" s="12"/>
      <c r="BP71"/>
      <c r="BQ71"/>
      <c r="BR71"/>
      <c r="BS71"/>
      <c r="BT71" s="12"/>
      <c r="BV71" t="s">
        <v>238</v>
      </c>
    </row>
    <row r="72" spans="1:74" x14ac:dyDescent="0.25">
      <c r="A72" t="s">
        <v>57</v>
      </c>
      <c r="B72" s="111" t="s">
        <v>282</v>
      </c>
      <c r="C72" t="s">
        <v>207</v>
      </c>
      <c r="D72" t="s">
        <v>208</v>
      </c>
      <c r="E72">
        <v>1171</v>
      </c>
      <c r="H72" s="169" t="s">
        <v>284</v>
      </c>
      <c r="I72" t="s">
        <v>283</v>
      </c>
      <c r="K72" s="33">
        <v>4</v>
      </c>
      <c r="L72" s="10" t="s">
        <v>64</v>
      </c>
      <c r="M72">
        <v>928</v>
      </c>
      <c r="N72">
        <v>98</v>
      </c>
      <c r="O72" s="9">
        <f t="shared" si="19"/>
        <v>830</v>
      </c>
      <c r="P72">
        <v>258</v>
      </c>
      <c r="Q72">
        <v>257</v>
      </c>
      <c r="R72">
        <v>257</v>
      </c>
      <c r="S72" s="24">
        <f t="shared" si="10"/>
        <v>257.33333333333331</v>
      </c>
      <c r="T72">
        <v>75</v>
      </c>
      <c r="U72">
        <v>75</v>
      </c>
      <c r="V72">
        <v>75</v>
      </c>
      <c r="W72" s="24">
        <f t="shared" si="11"/>
        <v>75</v>
      </c>
      <c r="X72" s="36">
        <v>9.8800000000000008</v>
      </c>
      <c r="Y72">
        <v>9.25</v>
      </c>
      <c r="Z72">
        <v>10.09</v>
      </c>
      <c r="AA72" s="24">
        <f t="shared" si="12"/>
        <v>9.74</v>
      </c>
      <c r="AB72">
        <v>44.77</v>
      </c>
      <c r="AC72">
        <v>44.74</v>
      </c>
      <c r="AD72">
        <v>44.79</v>
      </c>
      <c r="AE72" s="24">
        <f t="shared" si="13"/>
        <v>44.766666666666673</v>
      </c>
      <c r="AF72" s="37">
        <v>84.37</v>
      </c>
      <c r="AG72" s="37">
        <v>84.27</v>
      </c>
      <c r="AH72" s="37">
        <v>84.55</v>
      </c>
      <c r="AI72" s="24">
        <f t="shared" si="14"/>
        <v>84.396666666666661</v>
      </c>
      <c r="AS72" t="s">
        <v>65</v>
      </c>
      <c r="AT72">
        <v>8</v>
      </c>
      <c r="AU72">
        <v>5</v>
      </c>
      <c r="AX72">
        <v>52.34</v>
      </c>
      <c r="AY72">
        <v>52.77</v>
      </c>
      <c r="AZ72">
        <v>52.69</v>
      </c>
      <c r="BA72" s="24">
        <f t="shared" si="15"/>
        <v>52.6</v>
      </c>
      <c r="BB72">
        <v>35.200000000000003</v>
      </c>
      <c r="BC72">
        <v>35.380000000000003</v>
      </c>
      <c r="BD72">
        <v>35.840000000000003</v>
      </c>
      <c r="BE72" s="24">
        <f t="shared" si="16"/>
        <v>35.473333333333336</v>
      </c>
      <c r="BF72">
        <v>77.400000000000006</v>
      </c>
      <c r="BG72">
        <v>77.59</v>
      </c>
      <c r="BH72">
        <v>77.260000000000005</v>
      </c>
      <c r="BI72" s="24">
        <f t="shared" si="17"/>
        <v>77.416666666666671</v>
      </c>
      <c r="BJ72" t="s">
        <v>51</v>
      </c>
      <c r="BK72" t="s">
        <v>51</v>
      </c>
      <c r="BN72" s="12"/>
      <c r="BO72"/>
      <c r="BP72"/>
      <c r="BQ72"/>
      <c r="BR72"/>
      <c r="BT72"/>
      <c r="BV72" t="s">
        <v>238</v>
      </c>
    </row>
    <row r="73" spans="1:74" x14ac:dyDescent="0.25">
      <c r="A73" t="s">
        <v>57</v>
      </c>
      <c r="B73" s="111" t="s">
        <v>285</v>
      </c>
      <c r="C73" t="s">
        <v>207</v>
      </c>
      <c r="D73" t="s">
        <v>208</v>
      </c>
      <c r="E73">
        <v>1170</v>
      </c>
      <c r="H73" s="169" t="s">
        <v>284</v>
      </c>
      <c r="I73" t="s">
        <v>286</v>
      </c>
      <c r="K73" s="33">
        <v>3</v>
      </c>
      <c r="L73" s="10" t="s">
        <v>50</v>
      </c>
      <c r="M73">
        <v>1060</v>
      </c>
      <c r="N73">
        <v>96</v>
      </c>
      <c r="O73" s="9">
        <f t="shared" si="19"/>
        <v>964</v>
      </c>
      <c r="P73">
        <v>255</v>
      </c>
      <c r="Q73">
        <v>255</v>
      </c>
      <c r="R73">
        <v>255</v>
      </c>
      <c r="S73" s="24">
        <f t="shared" si="10"/>
        <v>255</v>
      </c>
      <c r="T73">
        <v>162</v>
      </c>
      <c r="U73">
        <v>162</v>
      </c>
      <c r="V73">
        <v>162</v>
      </c>
      <c r="W73" s="24">
        <f t="shared" si="11"/>
        <v>162</v>
      </c>
      <c r="X73" s="36">
        <v>12.22</v>
      </c>
      <c r="Y73">
        <v>12.1</v>
      </c>
      <c r="Z73">
        <v>11.91</v>
      </c>
      <c r="AA73" s="24">
        <f t="shared" si="12"/>
        <v>12.076666666666668</v>
      </c>
      <c r="AB73">
        <v>49.46</v>
      </c>
      <c r="AC73">
        <v>49.39</v>
      </c>
      <c r="AD73">
        <v>49.58</v>
      </c>
      <c r="AE73" s="24">
        <f t="shared" si="13"/>
        <v>49.476666666666667</v>
      </c>
      <c r="AF73" s="37">
        <v>94.35</v>
      </c>
      <c r="AG73" s="37">
        <v>94.55</v>
      </c>
      <c r="AH73" s="37">
        <v>94.37</v>
      </c>
      <c r="AI73" s="24">
        <f t="shared" si="14"/>
        <v>94.423333333333332</v>
      </c>
      <c r="AJ73" s="12">
        <v>21.57</v>
      </c>
      <c r="AK73" s="12">
        <v>20.47</v>
      </c>
      <c r="AL73" s="12">
        <v>20.59</v>
      </c>
      <c r="AM73" s="9">
        <f>AVERAGE(AJ73:AL73)</f>
        <v>20.876666666666665</v>
      </c>
      <c r="AN73" s="35">
        <v>26.17</v>
      </c>
      <c r="AO73" s="35">
        <v>25.57</v>
      </c>
      <c r="AP73" s="35">
        <v>25.11</v>
      </c>
      <c r="AQ73" s="9">
        <f>AVERAGE(AN73:AP73)</f>
        <v>25.616666666666664</v>
      </c>
      <c r="AX73">
        <v>59.95</v>
      </c>
      <c r="AY73">
        <v>59.97</v>
      </c>
      <c r="AZ73">
        <v>59.99</v>
      </c>
      <c r="BA73" s="24">
        <f t="shared" si="15"/>
        <v>59.97</v>
      </c>
      <c r="BB73">
        <v>34.64</v>
      </c>
      <c r="BC73">
        <v>34.42</v>
      </c>
      <c r="BD73">
        <v>34.94</v>
      </c>
      <c r="BE73" s="24">
        <f t="shared" si="16"/>
        <v>34.666666666666664</v>
      </c>
      <c r="BF73">
        <v>81.41</v>
      </c>
      <c r="BG73">
        <v>81.569999999999993</v>
      </c>
      <c r="BH73">
        <v>81.84</v>
      </c>
      <c r="BI73" s="24">
        <f t="shared" si="17"/>
        <v>81.606666666666669</v>
      </c>
      <c r="BJ73" t="s">
        <v>51</v>
      </c>
      <c r="BK73" t="s">
        <v>51</v>
      </c>
      <c r="BO73" s="12"/>
      <c r="BP73"/>
      <c r="BQ73"/>
      <c r="BR73"/>
      <c r="BS73"/>
      <c r="BT73" s="12"/>
      <c r="BV73" t="s">
        <v>238</v>
      </c>
    </row>
    <row r="74" spans="1:74" s="176" customFormat="1" x14ac:dyDescent="0.25">
      <c r="A74" s="213" t="s">
        <v>1105</v>
      </c>
      <c r="B74" s="214"/>
      <c r="J74" s="177"/>
      <c r="K74" s="178"/>
      <c r="L74" s="179"/>
      <c r="O74" s="177">
        <f t="shared" si="19"/>
        <v>0</v>
      </c>
      <c r="S74" s="180"/>
      <c r="W74" s="180"/>
      <c r="X74" s="181"/>
      <c r="AA74" s="180"/>
      <c r="AE74" s="180"/>
      <c r="AI74" s="180"/>
      <c r="AJ74" s="182"/>
      <c r="AK74" s="182"/>
      <c r="AL74" s="182"/>
      <c r="AM74" s="177"/>
      <c r="AN74" s="182"/>
      <c r="AO74" s="182"/>
      <c r="AP74" s="182"/>
      <c r="AQ74" s="177"/>
      <c r="AR74" s="179"/>
      <c r="AW74" s="177"/>
      <c r="BA74" s="180"/>
      <c r="BE74" s="180"/>
      <c r="BI74" s="180"/>
      <c r="BO74" s="177"/>
      <c r="BP74" s="182"/>
      <c r="BQ74" s="182"/>
      <c r="BR74" s="182"/>
      <c r="BS74" s="182"/>
      <c r="BT74" s="177"/>
      <c r="BV74" s="213"/>
    </row>
    <row r="75" spans="1:74" x14ac:dyDescent="0.25">
      <c r="A75" t="s">
        <v>57</v>
      </c>
      <c r="B75" s="97" t="s">
        <v>1025</v>
      </c>
      <c r="C75" t="s">
        <v>207</v>
      </c>
      <c r="D75" t="s">
        <v>393</v>
      </c>
      <c r="E75">
        <v>1066</v>
      </c>
      <c r="H75" s="169" t="s">
        <v>392</v>
      </c>
      <c r="I75" t="s">
        <v>79</v>
      </c>
      <c r="K75" s="33">
        <v>2</v>
      </c>
      <c r="L75" s="10" t="s">
        <v>50</v>
      </c>
      <c r="M75">
        <v>989</v>
      </c>
      <c r="N75">
        <v>92</v>
      </c>
      <c r="O75" s="9">
        <f t="shared" si="19"/>
        <v>897</v>
      </c>
      <c r="P75">
        <v>269</v>
      </c>
      <c r="Q75">
        <v>268</v>
      </c>
      <c r="R75">
        <v>269</v>
      </c>
      <c r="S75" s="24">
        <f t="shared" ref="S75:S107" si="20">AVERAGE(P75:R75)</f>
        <v>268.66666666666669</v>
      </c>
      <c r="T75">
        <v>145</v>
      </c>
      <c r="U75">
        <v>146</v>
      </c>
      <c r="V75">
        <v>145</v>
      </c>
      <c r="W75" s="24">
        <f t="shared" ref="W75:W107" si="21">AVERAGE(T75:V75)</f>
        <v>145.33333333333334</v>
      </c>
      <c r="X75" s="36">
        <v>10.64</v>
      </c>
      <c r="Y75">
        <v>10.63</v>
      </c>
      <c r="Z75">
        <v>10.79</v>
      </c>
      <c r="AA75" s="24">
        <f t="shared" ref="AA75:AA107" si="22">AVERAGE(X75:Z75)</f>
        <v>10.686666666666667</v>
      </c>
      <c r="AB75">
        <v>47.38</v>
      </c>
      <c r="AC75">
        <v>47.36</v>
      </c>
      <c r="AD75">
        <v>47.45</v>
      </c>
      <c r="AE75" s="24">
        <f t="shared" ref="AE75:AE107" si="23">AVERAGE(AB75:AD75)</f>
        <v>47.396666666666668</v>
      </c>
      <c r="AF75">
        <v>89.19</v>
      </c>
      <c r="AG75">
        <v>88.85</v>
      </c>
      <c r="AH75">
        <v>88.92</v>
      </c>
      <c r="AI75" s="24">
        <f t="shared" ref="AI75:AI107" si="24">AVERAGE(AF75:AH75)</f>
        <v>88.986666666666665</v>
      </c>
      <c r="AJ75" s="12">
        <v>20.84</v>
      </c>
      <c r="AK75" s="35">
        <v>19.14</v>
      </c>
      <c r="AL75" s="35">
        <v>20.079999999999998</v>
      </c>
      <c r="AM75" s="24">
        <f>AVERAGE(AJ75:AL75)</f>
        <v>20.02</v>
      </c>
      <c r="AN75" s="35">
        <v>29.62</v>
      </c>
      <c r="AO75" s="35">
        <v>29.2</v>
      </c>
      <c r="AP75" s="35">
        <v>29.38</v>
      </c>
      <c r="AQ75" s="24">
        <f>AVERAGE(AN75:AP75)</f>
        <v>29.400000000000002</v>
      </c>
      <c r="AX75">
        <v>57.94</v>
      </c>
      <c r="AY75">
        <v>57.71</v>
      </c>
      <c r="AZ75">
        <v>57.79</v>
      </c>
      <c r="BA75" s="24">
        <f t="shared" ref="BA75:BA107" si="25">AVERAGE(AX75:AZ75)</f>
        <v>57.813333333333333</v>
      </c>
      <c r="BB75">
        <v>34.9</v>
      </c>
      <c r="BC75">
        <v>34.96</v>
      </c>
      <c r="BD75">
        <v>35.020000000000003</v>
      </c>
      <c r="BE75" s="24">
        <f t="shared" ref="BE75:BE107" si="26">AVERAGE(BB75:BD75)</f>
        <v>34.96</v>
      </c>
      <c r="BF75">
        <v>81.66</v>
      </c>
      <c r="BG75">
        <v>81.75</v>
      </c>
      <c r="BH75">
        <v>81.760000000000005</v>
      </c>
      <c r="BI75" s="24">
        <f t="shared" ref="BI75:BI107" si="27">AVERAGE(BF75:BH75)</f>
        <v>81.723333333333343</v>
      </c>
      <c r="BJ75" t="s">
        <v>52</v>
      </c>
      <c r="BK75" t="s">
        <v>51</v>
      </c>
      <c r="BL75" t="s">
        <v>52</v>
      </c>
      <c r="BM75" t="s">
        <v>52</v>
      </c>
      <c r="BN75" t="s">
        <v>52</v>
      </c>
      <c r="BO75" s="9" t="s">
        <v>52</v>
      </c>
      <c r="BV75" s="97"/>
    </row>
    <row r="76" spans="1:74" x14ac:dyDescent="0.25">
      <c r="A76" t="s">
        <v>57</v>
      </c>
      <c r="B76" s="97" t="s">
        <v>1063</v>
      </c>
      <c r="C76" t="s">
        <v>49</v>
      </c>
      <c r="D76" t="s">
        <v>393</v>
      </c>
      <c r="E76">
        <v>1038</v>
      </c>
      <c r="H76" s="169" t="s">
        <v>392</v>
      </c>
      <c r="I76" t="s">
        <v>394</v>
      </c>
      <c r="K76" s="33">
        <v>3</v>
      </c>
      <c r="L76" s="10" t="s">
        <v>64</v>
      </c>
      <c r="M76">
        <v>796</v>
      </c>
      <c r="N76">
        <v>98</v>
      </c>
      <c r="O76" s="9">
        <f t="shared" si="19"/>
        <v>698</v>
      </c>
      <c r="P76">
        <v>239</v>
      </c>
      <c r="Q76">
        <v>238</v>
      </c>
      <c r="R76">
        <v>240</v>
      </c>
      <c r="S76" s="24">
        <f t="shared" si="20"/>
        <v>239</v>
      </c>
      <c r="T76">
        <v>144</v>
      </c>
      <c r="U76">
        <v>144</v>
      </c>
      <c r="V76">
        <v>144</v>
      </c>
      <c r="W76" s="24">
        <f t="shared" si="21"/>
        <v>144</v>
      </c>
      <c r="X76" s="36">
        <v>9.26</v>
      </c>
      <c r="Y76">
        <v>9.4499999999999993</v>
      </c>
      <c r="Z76">
        <v>9.2200000000000006</v>
      </c>
      <c r="AA76" s="24">
        <f t="shared" si="22"/>
        <v>9.31</v>
      </c>
      <c r="AB76" s="37">
        <v>44.58</v>
      </c>
      <c r="AC76" s="37">
        <v>44.37</v>
      </c>
      <c r="AD76" s="37">
        <v>44.47</v>
      </c>
      <c r="AE76" s="24">
        <f t="shared" si="23"/>
        <v>44.473333333333329</v>
      </c>
      <c r="AF76" s="37">
        <v>84.25</v>
      </c>
      <c r="AG76" s="37">
        <v>84.21</v>
      </c>
      <c r="AH76" s="37">
        <v>84.35</v>
      </c>
      <c r="AI76" s="24">
        <f t="shared" si="24"/>
        <v>84.27</v>
      </c>
      <c r="AS76" t="s">
        <v>65</v>
      </c>
      <c r="AT76">
        <v>8</v>
      </c>
      <c r="AU76">
        <v>2</v>
      </c>
      <c r="AX76">
        <v>52.17</v>
      </c>
      <c r="AY76">
        <v>52.4</v>
      </c>
      <c r="AZ76">
        <v>52.6</v>
      </c>
      <c r="BA76" s="24">
        <f t="shared" si="25"/>
        <v>52.389999999999993</v>
      </c>
      <c r="BB76">
        <v>33.72</v>
      </c>
      <c r="BC76">
        <v>33.43</v>
      </c>
      <c r="BD76">
        <v>33.479999999999997</v>
      </c>
      <c r="BE76" s="24">
        <f t="shared" si="26"/>
        <v>33.543333333333329</v>
      </c>
      <c r="BF76">
        <v>78.39</v>
      </c>
      <c r="BG76">
        <v>78.900000000000006</v>
      </c>
      <c r="BH76">
        <v>78.62</v>
      </c>
      <c r="BI76" s="24">
        <f t="shared" si="27"/>
        <v>78.63666666666667</v>
      </c>
      <c r="BJ76" t="s">
        <v>51</v>
      </c>
      <c r="BK76" t="s">
        <v>51</v>
      </c>
      <c r="BL76" t="s">
        <v>52</v>
      </c>
      <c r="BM76" t="s">
        <v>52</v>
      </c>
      <c r="BN76" t="s">
        <v>52</v>
      </c>
      <c r="BO76" s="9" t="s">
        <v>52</v>
      </c>
      <c r="BV76" s="97"/>
    </row>
    <row r="77" spans="1:74" x14ac:dyDescent="0.25">
      <c r="A77" t="s">
        <v>57</v>
      </c>
      <c r="B77" s="97" t="s">
        <v>1064</v>
      </c>
      <c r="C77" t="s">
        <v>49</v>
      </c>
      <c r="D77" t="s">
        <v>393</v>
      </c>
      <c r="E77">
        <v>1039</v>
      </c>
      <c r="H77" s="169" t="s">
        <v>392</v>
      </c>
      <c r="I77" t="s">
        <v>395</v>
      </c>
      <c r="K77" s="33">
        <v>2</v>
      </c>
      <c r="L77" s="10" t="s">
        <v>64</v>
      </c>
      <c r="M77">
        <v>669</v>
      </c>
      <c r="N77">
        <v>97</v>
      </c>
      <c r="O77" s="9">
        <f t="shared" si="19"/>
        <v>572</v>
      </c>
      <c r="P77">
        <v>236</v>
      </c>
      <c r="Q77">
        <v>236</v>
      </c>
      <c r="R77">
        <v>235</v>
      </c>
      <c r="S77" s="24">
        <f t="shared" si="20"/>
        <v>235.66666666666666</v>
      </c>
      <c r="T77">
        <v>0</v>
      </c>
      <c r="U77">
        <v>0</v>
      </c>
      <c r="W77" s="24">
        <f t="shared" si="21"/>
        <v>0</v>
      </c>
      <c r="X77" s="36">
        <v>0</v>
      </c>
      <c r="Y77">
        <v>0</v>
      </c>
      <c r="Z77">
        <v>0</v>
      </c>
      <c r="AA77" s="24">
        <f t="shared" si="22"/>
        <v>0</v>
      </c>
      <c r="AB77">
        <v>43.65</v>
      </c>
      <c r="AC77">
        <v>43.87</v>
      </c>
      <c r="AD77">
        <v>43.63</v>
      </c>
      <c r="AE77" s="24">
        <f t="shared" si="23"/>
        <v>43.716666666666669</v>
      </c>
      <c r="AF77">
        <v>78.84</v>
      </c>
      <c r="AG77">
        <v>78.48</v>
      </c>
      <c r="AH77">
        <v>78.45</v>
      </c>
      <c r="AI77" s="24">
        <f t="shared" si="24"/>
        <v>78.589999999999989</v>
      </c>
      <c r="AS77" t="s">
        <v>65</v>
      </c>
      <c r="AT77">
        <v>8</v>
      </c>
      <c r="AU77">
        <v>0</v>
      </c>
      <c r="AX77">
        <v>50.6</v>
      </c>
      <c r="AY77">
        <v>50.6</v>
      </c>
      <c r="AZ77">
        <v>50.33</v>
      </c>
      <c r="BA77" s="24">
        <f t="shared" si="25"/>
        <v>50.51</v>
      </c>
      <c r="BB77">
        <v>31.01</v>
      </c>
      <c r="BC77">
        <v>31.06</v>
      </c>
      <c r="BD77">
        <v>31.24</v>
      </c>
      <c r="BE77" s="24">
        <f t="shared" si="26"/>
        <v>31.103333333333335</v>
      </c>
      <c r="BF77">
        <v>74.75</v>
      </c>
      <c r="BG77">
        <v>74.62</v>
      </c>
      <c r="BH77">
        <v>74.12</v>
      </c>
      <c r="BI77" s="24">
        <f t="shared" si="27"/>
        <v>74.49666666666667</v>
      </c>
      <c r="BJ77" t="s">
        <v>51</v>
      </c>
      <c r="BK77" t="s">
        <v>51</v>
      </c>
      <c r="BL77" t="s">
        <v>52</v>
      </c>
      <c r="BM77" t="s">
        <v>52</v>
      </c>
      <c r="BN77" t="s">
        <v>52</v>
      </c>
      <c r="BO77" s="9" t="s">
        <v>52</v>
      </c>
      <c r="BV77" s="97"/>
    </row>
    <row r="78" spans="1:74" x14ac:dyDescent="0.25">
      <c r="A78" t="s">
        <v>57</v>
      </c>
      <c r="B78" s="97" t="s">
        <v>1065</v>
      </c>
      <c r="C78" t="s">
        <v>49</v>
      </c>
      <c r="D78" t="s">
        <v>393</v>
      </c>
      <c r="E78">
        <v>1040</v>
      </c>
      <c r="H78" s="169" t="s">
        <v>392</v>
      </c>
      <c r="I78" t="s">
        <v>74</v>
      </c>
      <c r="K78" s="33">
        <v>1</v>
      </c>
      <c r="L78" s="10" t="s">
        <v>50</v>
      </c>
      <c r="M78">
        <v>494</v>
      </c>
      <c r="N78">
        <v>97</v>
      </c>
      <c r="O78" s="9">
        <f t="shared" si="19"/>
        <v>397</v>
      </c>
      <c r="P78">
        <v>195</v>
      </c>
      <c r="Q78">
        <v>195</v>
      </c>
      <c r="R78">
        <v>194</v>
      </c>
      <c r="S78" s="24">
        <f t="shared" si="20"/>
        <v>194.66666666666666</v>
      </c>
      <c r="T78">
        <v>118</v>
      </c>
      <c r="U78">
        <v>119</v>
      </c>
      <c r="V78">
        <v>118</v>
      </c>
      <c r="W78" s="24">
        <f t="shared" si="21"/>
        <v>118.33333333333333</v>
      </c>
      <c r="X78" s="36">
        <v>7.31</v>
      </c>
      <c r="Y78">
        <v>7.09</v>
      </c>
      <c r="Z78">
        <v>7.06</v>
      </c>
      <c r="AA78" s="24">
        <f t="shared" si="22"/>
        <v>7.1533333333333324</v>
      </c>
      <c r="AB78" s="37">
        <v>39.31</v>
      </c>
      <c r="AC78" s="37">
        <v>38.6</v>
      </c>
      <c r="AD78" s="37">
        <v>38.68</v>
      </c>
      <c r="AE78" s="24">
        <f t="shared" si="23"/>
        <v>38.863333333333337</v>
      </c>
      <c r="AF78" s="37">
        <v>64.77</v>
      </c>
      <c r="AG78" s="37">
        <v>64.77</v>
      </c>
      <c r="AH78" s="37">
        <v>64.69</v>
      </c>
      <c r="AI78" s="24">
        <f t="shared" si="24"/>
        <v>64.743333333333325</v>
      </c>
      <c r="AJ78" s="37">
        <v>10.02</v>
      </c>
      <c r="AK78" s="37">
        <v>10.53</v>
      </c>
      <c r="AL78" s="37">
        <v>10.039999999999999</v>
      </c>
      <c r="AM78" s="24">
        <f>AVERAGE(AJ78:AL78)</f>
        <v>10.196666666666665</v>
      </c>
      <c r="AN78" s="37">
        <v>16.059999999999999</v>
      </c>
      <c r="AO78" s="37">
        <v>15.87</v>
      </c>
      <c r="AP78" s="37">
        <v>15.97</v>
      </c>
      <c r="AQ78" s="24">
        <f>AVERAGE(AN78:AP78)</f>
        <v>15.966666666666667</v>
      </c>
      <c r="AX78">
        <v>42.06</v>
      </c>
      <c r="AY78">
        <v>42.18</v>
      </c>
      <c r="AZ78">
        <v>42.12</v>
      </c>
      <c r="BA78" s="24">
        <f t="shared" si="25"/>
        <v>42.120000000000005</v>
      </c>
      <c r="BB78">
        <v>29.96</v>
      </c>
      <c r="BC78">
        <v>30.06</v>
      </c>
      <c r="BD78">
        <v>29.47</v>
      </c>
      <c r="BE78" s="24">
        <f t="shared" si="26"/>
        <v>29.83</v>
      </c>
      <c r="BF78">
        <v>67.930000000000007</v>
      </c>
      <c r="BG78">
        <v>68.099999999999994</v>
      </c>
      <c r="BH78">
        <v>67.87</v>
      </c>
      <c r="BI78" s="24">
        <f t="shared" si="27"/>
        <v>67.966666666666669</v>
      </c>
      <c r="BJ78" t="s">
        <v>51</v>
      </c>
      <c r="BK78" t="s">
        <v>51</v>
      </c>
      <c r="BL78" t="s">
        <v>52</v>
      </c>
      <c r="BM78" t="s">
        <v>52</v>
      </c>
      <c r="BN78" t="s">
        <v>52</v>
      </c>
      <c r="BO78" s="9" t="s">
        <v>52</v>
      </c>
      <c r="BV78" s="97"/>
    </row>
    <row r="79" spans="1:74" x14ac:dyDescent="0.25">
      <c r="A79" t="s">
        <v>57</v>
      </c>
      <c r="B79" s="111" t="s">
        <v>1043</v>
      </c>
      <c r="C79" t="s">
        <v>207</v>
      </c>
      <c r="D79" t="s">
        <v>393</v>
      </c>
      <c r="E79">
        <v>1192</v>
      </c>
      <c r="H79" s="205" t="s">
        <v>512</v>
      </c>
      <c r="I79" t="s">
        <v>220</v>
      </c>
      <c r="K79" s="33">
        <v>1</v>
      </c>
      <c r="L79" s="10" t="s">
        <v>50</v>
      </c>
      <c r="M79">
        <v>659</v>
      </c>
      <c r="N79">
        <v>95</v>
      </c>
      <c r="O79" s="9">
        <f t="shared" si="19"/>
        <v>564</v>
      </c>
      <c r="P79">
        <v>201</v>
      </c>
      <c r="Q79">
        <v>200</v>
      </c>
      <c r="R79">
        <v>200</v>
      </c>
      <c r="S79" s="24">
        <f t="shared" si="20"/>
        <v>200.33333333333334</v>
      </c>
      <c r="T79">
        <v>143</v>
      </c>
      <c r="U79">
        <v>143</v>
      </c>
      <c r="V79">
        <v>142</v>
      </c>
      <c r="W79" s="24">
        <f t="shared" si="21"/>
        <v>142.66666666666666</v>
      </c>
      <c r="X79" s="36">
        <v>9.08</v>
      </c>
      <c r="Y79">
        <v>8.81</v>
      </c>
      <c r="Z79">
        <v>9.0399999999999991</v>
      </c>
      <c r="AA79" s="24">
        <f t="shared" si="22"/>
        <v>8.9766666666666666</v>
      </c>
      <c r="AB79" s="37">
        <v>43.11</v>
      </c>
      <c r="AC79" s="37">
        <v>43.76</v>
      </c>
      <c r="AD79" s="37">
        <v>43.49</v>
      </c>
      <c r="AE79" s="24">
        <f t="shared" si="23"/>
        <v>43.45333333333334</v>
      </c>
      <c r="AF79" s="37">
        <v>74.599999999999994</v>
      </c>
      <c r="AG79" s="37">
        <v>74.239999999999995</v>
      </c>
      <c r="AH79" s="37">
        <v>74.5</v>
      </c>
      <c r="AI79" s="24">
        <f t="shared" si="24"/>
        <v>74.446666666666658</v>
      </c>
      <c r="AJ79" s="37">
        <v>20.47</v>
      </c>
      <c r="AK79" s="37">
        <v>20.68</v>
      </c>
      <c r="AL79" s="37">
        <v>20.48</v>
      </c>
      <c r="AM79" s="24">
        <f>AVERAGE(AJ79:AL79)</f>
        <v>20.543333333333333</v>
      </c>
      <c r="AN79" s="37">
        <v>30.28</v>
      </c>
      <c r="AO79" s="37">
        <v>30.17</v>
      </c>
      <c r="AP79" s="37">
        <v>30.28</v>
      </c>
      <c r="AQ79" s="24">
        <f>AVERAGE(AN79:AP79)</f>
        <v>30.243333333333336</v>
      </c>
      <c r="AX79">
        <v>50.61</v>
      </c>
      <c r="AY79">
        <v>49.47</v>
      </c>
      <c r="AZ79">
        <v>49.71</v>
      </c>
      <c r="BA79" s="24">
        <f t="shared" si="25"/>
        <v>49.93</v>
      </c>
      <c r="BB79">
        <v>33.51</v>
      </c>
      <c r="BC79">
        <v>32.9</v>
      </c>
      <c r="BD79">
        <v>32.950000000000003</v>
      </c>
      <c r="BE79" s="24">
        <f t="shared" si="26"/>
        <v>33.119999999999997</v>
      </c>
      <c r="BF79">
        <v>79.319999999999993</v>
      </c>
      <c r="BG79">
        <v>79.150000000000006</v>
      </c>
      <c r="BH79">
        <v>79.099999999999994</v>
      </c>
      <c r="BI79" s="24">
        <f t="shared" si="27"/>
        <v>79.19</v>
      </c>
      <c r="BJ79" t="s">
        <v>52</v>
      </c>
      <c r="BK79" t="s">
        <v>51</v>
      </c>
      <c r="BL79" t="s">
        <v>52</v>
      </c>
      <c r="BM79" t="s">
        <v>52</v>
      </c>
      <c r="BN79" t="s">
        <v>52</v>
      </c>
      <c r="BO79" s="9" t="s">
        <v>51</v>
      </c>
    </row>
    <row r="80" spans="1:74" x14ac:dyDescent="0.25">
      <c r="A80" t="s">
        <v>57</v>
      </c>
      <c r="B80" s="111" t="s">
        <v>1037</v>
      </c>
      <c r="C80" t="s">
        <v>207</v>
      </c>
      <c r="D80" t="s">
        <v>393</v>
      </c>
      <c r="E80">
        <v>1180</v>
      </c>
      <c r="H80" s="169" t="s">
        <v>512</v>
      </c>
      <c r="I80" t="s">
        <v>97</v>
      </c>
      <c r="K80" s="33">
        <v>2</v>
      </c>
      <c r="L80" s="10" t="s">
        <v>64</v>
      </c>
      <c r="M80">
        <v>938</v>
      </c>
      <c r="N80">
        <v>97</v>
      </c>
      <c r="O80" s="9">
        <f t="shared" si="19"/>
        <v>841</v>
      </c>
      <c r="P80" s="35">
        <v>250</v>
      </c>
      <c r="Q80" s="35">
        <v>251</v>
      </c>
      <c r="R80" s="35">
        <v>250</v>
      </c>
      <c r="S80" s="24">
        <f t="shared" si="20"/>
        <v>250.33333333333334</v>
      </c>
      <c r="T80" s="35">
        <v>35</v>
      </c>
      <c r="U80" s="35">
        <v>34</v>
      </c>
      <c r="V80" s="35">
        <v>35</v>
      </c>
      <c r="W80" s="24">
        <f t="shared" si="21"/>
        <v>34.666666666666664</v>
      </c>
      <c r="X80" s="36">
        <v>9.06</v>
      </c>
      <c r="Y80" s="35">
        <v>9.24</v>
      </c>
      <c r="Z80" s="35">
        <v>9.24</v>
      </c>
      <c r="AA80" s="24">
        <f t="shared" si="22"/>
        <v>9.18</v>
      </c>
      <c r="AB80" s="37">
        <v>46.91</v>
      </c>
      <c r="AC80" s="37">
        <v>46.96</v>
      </c>
      <c r="AD80" s="37">
        <v>47.09</v>
      </c>
      <c r="AE80" s="24">
        <f t="shared" si="23"/>
        <v>46.986666666666672</v>
      </c>
      <c r="AF80" s="37">
        <v>83.64</v>
      </c>
      <c r="AG80" s="37">
        <v>83.27</v>
      </c>
      <c r="AH80" s="37">
        <v>82.72</v>
      </c>
      <c r="AI80" s="24">
        <f t="shared" si="24"/>
        <v>83.21</v>
      </c>
      <c r="AS80" t="s">
        <v>65</v>
      </c>
      <c r="AT80">
        <v>8</v>
      </c>
      <c r="AU80">
        <v>3</v>
      </c>
      <c r="AV80">
        <v>2</v>
      </c>
      <c r="AW80" s="9">
        <v>5.61</v>
      </c>
      <c r="AX80">
        <v>56.24</v>
      </c>
      <c r="AY80">
        <v>55.96</v>
      </c>
      <c r="AZ80">
        <v>55.31</v>
      </c>
      <c r="BA80" s="24">
        <f t="shared" si="25"/>
        <v>55.836666666666666</v>
      </c>
      <c r="BB80">
        <v>32.1</v>
      </c>
      <c r="BC80">
        <v>32.44</v>
      </c>
      <c r="BD80">
        <v>32.64</v>
      </c>
      <c r="BE80" s="24">
        <f t="shared" si="26"/>
        <v>32.393333333333331</v>
      </c>
      <c r="BF80">
        <v>83.33</v>
      </c>
      <c r="BG80">
        <v>83.32</v>
      </c>
      <c r="BH80">
        <v>83.29</v>
      </c>
      <c r="BI80" s="24">
        <f t="shared" si="27"/>
        <v>83.313333333333333</v>
      </c>
      <c r="BJ80" t="s">
        <v>52</v>
      </c>
      <c r="BK80" t="s">
        <v>51</v>
      </c>
      <c r="BL80" t="s">
        <v>52</v>
      </c>
      <c r="BM80" t="s">
        <v>52</v>
      </c>
      <c r="BN80" t="s">
        <v>52</v>
      </c>
      <c r="BO80" s="9" t="s">
        <v>51</v>
      </c>
    </row>
    <row r="81" spans="1:73" x14ac:dyDescent="0.25">
      <c r="A81" t="s">
        <v>57</v>
      </c>
      <c r="B81" s="111" t="s">
        <v>1049</v>
      </c>
      <c r="C81" t="s">
        <v>207</v>
      </c>
      <c r="D81" t="s">
        <v>393</v>
      </c>
      <c r="E81">
        <v>1198</v>
      </c>
      <c r="H81" s="169" t="s">
        <v>512</v>
      </c>
      <c r="I81" t="s">
        <v>94</v>
      </c>
      <c r="K81" s="33">
        <v>2</v>
      </c>
      <c r="L81" s="10" t="s">
        <v>64</v>
      </c>
      <c r="M81">
        <v>954</v>
      </c>
      <c r="N81">
        <v>97</v>
      </c>
      <c r="O81" s="9">
        <f t="shared" si="19"/>
        <v>857</v>
      </c>
      <c r="P81" s="35">
        <v>236</v>
      </c>
      <c r="Q81" s="35">
        <v>234</v>
      </c>
      <c r="R81" s="35">
        <v>235</v>
      </c>
      <c r="S81" s="24">
        <f t="shared" si="20"/>
        <v>235</v>
      </c>
      <c r="T81" s="35">
        <v>163</v>
      </c>
      <c r="U81" s="35">
        <v>162</v>
      </c>
      <c r="V81" s="35">
        <v>162</v>
      </c>
      <c r="W81" s="24">
        <f t="shared" si="21"/>
        <v>162.33333333333334</v>
      </c>
      <c r="X81" s="36">
        <v>11.25</v>
      </c>
      <c r="Y81" s="35">
        <v>11.51</v>
      </c>
      <c r="Z81" s="35">
        <v>11.08</v>
      </c>
      <c r="AA81" s="24">
        <f t="shared" si="22"/>
        <v>11.28</v>
      </c>
      <c r="AB81" s="37">
        <v>48.69</v>
      </c>
      <c r="AC81" s="37">
        <v>49.43</v>
      </c>
      <c r="AD81" s="37">
        <v>49.1</v>
      </c>
      <c r="AE81" s="24">
        <f t="shared" si="23"/>
        <v>49.073333333333331</v>
      </c>
      <c r="AF81" s="37">
        <v>88.67</v>
      </c>
      <c r="AG81" s="37">
        <v>88.35</v>
      </c>
      <c r="AH81" s="37">
        <v>88.44</v>
      </c>
      <c r="AI81" s="24">
        <f t="shared" si="24"/>
        <v>88.486666666666665</v>
      </c>
      <c r="AS81" t="s">
        <v>65</v>
      </c>
      <c r="AT81">
        <v>8</v>
      </c>
      <c r="AU81">
        <v>8</v>
      </c>
      <c r="AV81">
        <v>1</v>
      </c>
      <c r="AW81" s="9">
        <v>3.58</v>
      </c>
      <c r="AX81">
        <v>52.41</v>
      </c>
      <c r="AY81">
        <v>51.89</v>
      </c>
      <c r="AZ81">
        <v>52.43</v>
      </c>
      <c r="BA81" s="24">
        <f t="shared" si="25"/>
        <v>52.243333333333332</v>
      </c>
      <c r="BB81">
        <v>35.42</v>
      </c>
      <c r="BC81">
        <v>35.520000000000003</v>
      </c>
      <c r="BD81">
        <v>35.86</v>
      </c>
      <c r="BE81" s="24">
        <f t="shared" si="26"/>
        <v>35.6</v>
      </c>
      <c r="BF81">
        <v>81.94</v>
      </c>
      <c r="BG81">
        <v>81.760000000000005</v>
      </c>
      <c r="BH81">
        <v>81.67</v>
      </c>
      <c r="BI81" s="24">
        <f t="shared" si="27"/>
        <v>81.790000000000006</v>
      </c>
      <c r="BJ81" t="s">
        <v>52</v>
      </c>
      <c r="BK81" t="s">
        <v>51</v>
      </c>
      <c r="BL81" t="s">
        <v>52</v>
      </c>
      <c r="BM81" t="s">
        <v>52</v>
      </c>
      <c r="BN81" t="s">
        <v>52</v>
      </c>
      <c r="BO81" s="9" t="s">
        <v>51</v>
      </c>
    </row>
    <row r="82" spans="1:73" x14ac:dyDescent="0.25">
      <c r="A82" t="s">
        <v>57</v>
      </c>
      <c r="B82" s="111" t="s">
        <v>1021</v>
      </c>
      <c r="C82" t="s">
        <v>207</v>
      </c>
      <c r="D82" t="s">
        <v>393</v>
      </c>
      <c r="E82">
        <v>1143</v>
      </c>
      <c r="H82" s="169" t="s">
        <v>514</v>
      </c>
      <c r="I82" t="s">
        <v>547</v>
      </c>
      <c r="K82" s="33">
        <v>1</v>
      </c>
      <c r="L82" s="10" t="s">
        <v>64</v>
      </c>
      <c r="M82">
        <v>578</v>
      </c>
      <c r="N82">
        <v>99</v>
      </c>
      <c r="O82" s="9">
        <f t="shared" si="19"/>
        <v>479</v>
      </c>
      <c r="P82" s="35">
        <v>206</v>
      </c>
      <c r="Q82" s="35">
        <v>204</v>
      </c>
      <c r="R82" s="35">
        <v>201</v>
      </c>
      <c r="S82" s="24">
        <f t="shared" si="20"/>
        <v>203.66666666666666</v>
      </c>
      <c r="T82" s="35">
        <v>129</v>
      </c>
      <c r="U82" s="35">
        <v>129</v>
      </c>
      <c r="V82" s="35">
        <v>127</v>
      </c>
      <c r="W82" s="24">
        <f t="shared" si="21"/>
        <v>128.33333333333334</v>
      </c>
      <c r="X82" s="36">
        <v>8.0500000000000007</v>
      </c>
      <c r="Y82" s="35">
        <v>7.99</v>
      </c>
      <c r="Z82" s="35">
        <v>7.98</v>
      </c>
      <c r="AA82" s="24">
        <f t="shared" si="22"/>
        <v>8.0066666666666659</v>
      </c>
      <c r="AB82" s="37">
        <v>40.200000000000003</v>
      </c>
      <c r="AC82" s="37">
        <v>40.299999999999997</v>
      </c>
      <c r="AD82" s="37">
        <v>40.42</v>
      </c>
      <c r="AE82" s="24">
        <f t="shared" si="23"/>
        <v>40.306666666666665</v>
      </c>
      <c r="AF82" s="37">
        <v>69.84</v>
      </c>
      <c r="AG82" s="37">
        <v>69.150000000000006</v>
      </c>
      <c r="AH82" s="37">
        <v>70.06</v>
      </c>
      <c r="AI82" s="24">
        <f t="shared" si="24"/>
        <v>69.683333333333337</v>
      </c>
      <c r="AT82">
        <v>8</v>
      </c>
      <c r="AU82">
        <v>0</v>
      </c>
      <c r="AV82">
        <v>0</v>
      </c>
      <c r="AX82" s="35">
        <v>45.59</v>
      </c>
      <c r="AY82" s="35">
        <v>45.07</v>
      </c>
      <c r="AZ82" s="35">
        <v>44.94</v>
      </c>
      <c r="BA82" s="24">
        <f t="shared" si="25"/>
        <v>45.199999999999996</v>
      </c>
      <c r="BB82" s="35">
        <v>31.46</v>
      </c>
      <c r="BC82" s="35">
        <v>31.44</v>
      </c>
      <c r="BD82" s="35">
        <v>30.87</v>
      </c>
      <c r="BE82" s="24">
        <f t="shared" si="26"/>
        <v>31.256666666666671</v>
      </c>
      <c r="BF82" s="35">
        <v>73.95</v>
      </c>
      <c r="BG82" s="35">
        <v>73.739999999999995</v>
      </c>
      <c r="BH82" s="35">
        <v>73.72</v>
      </c>
      <c r="BI82" s="24">
        <f t="shared" si="27"/>
        <v>73.803333333333327</v>
      </c>
      <c r="BJ82" t="s">
        <v>52</v>
      </c>
      <c r="BK82" t="s">
        <v>51</v>
      </c>
      <c r="BL82" t="s">
        <v>52</v>
      </c>
      <c r="BM82" t="s">
        <v>52</v>
      </c>
      <c r="BN82" t="s">
        <v>52</v>
      </c>
      <c r="BO82" s="9" t="s">
        <v>51</v>
      </c>
      <c r="BS82" s="9"/>
      <c r="BT82" s="12"/>
    </row>
    <row r="83" spans="1:73" x14ac:dyDescent="0.25">
      <c r="A83" t="s">
        <v>57</v>
      </c>
      <c r="B83" s="111" t="s">
        <v>1020</v>
      </c>
      <c r="C83" t="s">
        <v>207</v>
      </c>
      <c r="D83" t="s">
        <v>393</v>
      </c>
      <c r="E83">
        <v>1139</v>
      </c>
      <c r="H83" s="169" t="s">
        <v>546</v>
      </c>
      <c r="I83" t="s">
        <v>545</v>
      </c>
      <c r="K83" s="33">
        <v>2</v>
      </c>
      <c r="L83" s="10" t="s">
        <v>50</v>
      </c>
      <c r="M83">
        <v>1023</v>
      </c>
      <c r="N83">
        <v>98</v>
      </c>
      <c r="O83" s="9">
        <f t="shared" si="19"/>
        <v>925</v>
      </c>
      <c r="P83" s="35">
        <v>261</v>
      </c>
      <c r="Q83" s="35">
        <v>261</v>
      </c>
      <c r="R83" s="35">
        <v>260</v>
      </c>
      <c r="S83" s="24">
        <f t="shared" si="20"/>
        <v>260.66666666666669</v>
      </c>
      <c r="T83" s="35">
        <v>160</v>
      </c>
      <c r="U83" s="35">
        <v>160</v>
      </c>
      <c r="V83" s="35">
        <v>159</v>
      </c>
      <c r="W83" s="24">
        <f t="shared" si="21"/>
        <v>159.66666666666666</v>
      </c>
      <c r="X83" s="36">
        <v>10.36</v>
      </c>
      <c r="Y83" s="35">
        <v>11.02</v>
      </c>
      <c r="Z83" s="35">
        <v>11.16</v>
      </c>
      <c r="AA83" s="24">
        <f t="shared" si="22"/>
        <v>10.846666666666666</v>
      </c>
      <c r="AB83" s="37">
        <v>48.04</v>
      </c>
      <c r="AC83" s="37">
        <v>48.05</v>
      </c>
      <c r="AD83" s="37">
        <v>48.12</v>
      </c>
      <c r="AE83" s="24">
        <f t="shared" si="23"/>
        <v>48.07</v>
      </c>
      <c r="AF83" s="37">
        <v>87.51</v>
      </c>
      <c r="AG83" s="37">
        <v>87.75</v>
      </c>
      <c r="AH83" s="37">
        <v>87.46</v>
      </c>
      <c r="AI83" s="24">
        <f t="shared" si="24"/>
        <v>87.573333333333323</v>
      </c>
      <c r="AJ83" s="37">
        <v>22.78</v>
      </c>
      <c r="AK83" s="37">
        <v>21.94</v>
      </c>
      <c r="AL83" s="37">
        <v>21.93</v>
      </c>
      <c r="AM83" s="24">
        <f>AVERAGE(AJ83:AL83)</f>
        <v>22.216666666666669</v>
      </c>
      <c r="AN83" s="37">
        <v>31.7</v>
      </c>
      <c r="AO83" s="37">
        <v>31.19</v>
      </c>
      <c r="AP83" s="37">
        <v>31.05</v>
      </c>
      <c r="AQ83" s="24">
        <f>AVERAGE(AN83:AP83)</f>
        <v>31.313333333333333</v>
      </c>
      <c r="AX83" s="35">
        <v>57.2</v>
      </c>
      <c r="AY83" s="35">
        <v>57.96</v>
      </c>
      <c r="AZ83" s="35">
        <v>57.79</v>
      </c>
      <c r="BA83" s="24">
        <f t="shared" si="25"/>
        <v>57.65</v>
      </c>
      <c r="BB83" s="35">
        <v>35.340000000000003</v>
      </c>
      <c r="BC83" s="35">
        <v>34.840000000000003</v>
      </c>
      <c r="BD83" s="35">
        <v>34.82</v>
      </c>
      <c r="BE83" s="24">
        <f t="shared" si="26"/>
        <v>35</v>
      </c>
      <c r="BF83" s="35">
        <v>84.69</v>
      </c>
      <c r="BG83" s="35">
        <v>85.03</v>
      </c>
      <c r="BH83" s="35">
        <v>84.45</v>
      </c>
      <c r="BI83" s="24">
        <f t="shared" si="27"/>
        <v>84.723333333333343</v>
      </c>
      <c r="BJ83" t="s">
        <v>52</v>
      </c>
      <c r="BK83" t="s">
        <v>51</v>
      </c>
      <c r="BL83" t="s">
        <v>52</v>
      </c>
      <c r="BM83" t="s">
        <v>52</v>
      </c>
      <c r="BN83" t="s">
        <v>52</v>
      </c>
      <c r="BO83" s="9" t="s">
        <v>51</v>
      </c>
      <c r="BS83" s="9"/>
      <c r="BT83"/>
    </row>
    <row r="84" spans="1:73" x14ac:dyDescent="0.25">
      <c r="A84" t="s">
        <v>57</v>
      </c>
      <c r="B84" s="111" t="s">
        <v>1057</v>
      </c>
      <c r="C84" t="s">
        <v>207</v>
      </c>
      <c r="D84" t="s">
        <v>393</v>
      </c>
      <c r="E84">
        <v>1009</v>
      </c>
      <c r="H84" s="169" t="s">
        <v>527</v>
      </c>
      <c r="I84" t="s">
        <v>528</v>
      </c>
      <c r="K84" s="33">
        <v>1</v>
      </c>
      <c r="L84" s="10" t="s">
        <v>50</v>
      </c>
      <c r="M84">
        <v>792</v>
      </c>
      <c r="N84">
        <v>98</v>
      </c>
      <c r="O84" s="9">
        <f t="shared" si="19"/>
        <v>694</v>
      </c>
      <c r="P84" s="35">
        <v>245</v>
      </c>
      <c r="Q84" s="35">
        <v>246</v>
      </c>
      <c r="R84" s="35">
        <v>246</v>
      </c>
      <c r="S84" s="24">
        <f t="shared" si="20"/>
        <v>245.66666666666666</v>
      </c>
      <c r="T84" s="35">
        <v>166</v>
      </c>
      <c r="U84" s="35">
        <v>166</v>
      </c>
      <c r="V84" s="35">
        <v>166</v>
      </c>
      <c r="W84" s="24">
        <f t="shared" si="21"/>
        <v>166</v>
      </c>
      <c r="X84" s="36">
        <v>8.7899999999999991</v>
      </c>
      <c r="Y84" s="35">
        <v>9.44</v>
      </c>
      <c r="Z84" s="35">
        <v>8.84</v>
      </c>
      <c r="AA84" s="24">
        <f t="shared" si="22"/>
        <v>9.0233333333333317</v>
      </c>
      <c r="AB84" s="37">
        <v>46.36</v>
      </c>
      <c r="AC84" s="37">
        <v>46.78</v>
      </c>
      <c r="AD84" s="37">
        <v>46.83</v>
      </c>
      <c r="AE84" s="24">
        <f t="shared" si="23"/>
        <v>46.656666666666666</v>
      </c>
      <c r="AF84" s="37">
        <v>82.04</v>
      </c>
      <c r="AG84" s="37">
        <v>81.790000000000006</v>
      </c>
      <c r="AH84" s="37">
        <v>81.900000000000006</v>
      </c>
      <c r="AI84" s="24">
        <f t="shared" si="24"/>
        <v>81.910000000000011</v>
      </c>
      <c r="AJ84" s="37">
        <v>24.08</v>
      </c>
      <c r="AK84" s="37">
        <v>23.2</v>
      </c>
      <c r="AL84" s="37">
        <v>22.66</v>
      </c>
      <c r="AM84" s="24">
        <f>AVERAGE(AJ84:AL84)</f>
        <v>23.313333333333333</v>
      </c>
      <c r="AN84" s="37">
        <v>30.2</v>
      </c>
      <c r="AO84" s="37">
        <v>29.06</v>
      </c>
      <c r="AP84" s="37">
        <v>29.89</v>
      </c>
      <c r="AQ84" s="24">
        <f>AVERAGE(AN84:AP84)</f>
        <v>29.716666666666669</v>
      </c>
      <c r="AX84">
        <v>52.84</v>
      </c>
      <c r="AY84">
        <v>51.92</v>
      </c>
      <c r="AZ84">
        <v>51.89</v>
      </c>
      <c r="BA84" s="24">
        <f t="shared" si="25"/>
        <v>52.216666666666669</v>
      </c>
      <c r="BB84">
        <v>33.590000000000003</v>
      </c>
      <c r="BC84">
        <v>33.69</v>
      </c>
      <c r="BD84">
        <v>33.65</v>
      </c>
      <c r="BE84" s="24">
        <f t="shared" si="26"/>
        <v>33.643333333333338</v>
      </c>
      <c r="BF84">
        <v>77.7</v>
      </c>
      <c r="BG84">
        <v>77.760000000000005</v>
      </c>
      <c r="BH84">
        <v>77.569999999999993</v>
      </c>
      <c r="BI84" s="24">
        <f t="shared" si="27"/>
        <v>77.676666666666662</v>
      </c>
      <c r="BJ84" t="s">
        <v>52</v>
      </c>
      <c r="BK84" t="s">
        <v>51</v>
      </c>
      <c r="BL84" t="s">
        <v>52</v>
      </c>
      <c r="BM84" t="s">
        <v>52</v>
      </c>
      <c r="BN84" t="s">
        <v>52</v>
      </c>
      <c r="BO84" s="9" t="s">
        <v>51</v>
      </c>
    </row>
    <row r="85" spans="1:73" x14ac:dyDescent="0.25">
      <c r="A85" t="s">
        <v>57</v>
      </c>
      <c r="B85" s="111" t="s">
        <v>1054</v>
      </c>
      <c r="C85" t="s">
        <v>207</v>
      </c>
      <c r="D85" t="s">
        <v>393</v>
      </c>
      <c r="E85">
        <v>1004</v>
      </c>
      <c r="H85" s="169" t="s">
        <v>527</v>
      </c>
      <c r="I85" t="s">
        <v>529</v>
      </c>
      <c r="K85" s="33">
        <v>3</v>
      </c>
      <c r="L85" s="10" t="s">
        <v>50</v>
      </c>
      <c r="M85">
        <v>1187</v>
      </c>
      <c r="N85">
        <v>94</v>
      </c>
      <c r="O85" s="9">
        <f t="shared" si="19"/>
        <v>1093</v>
      </c>
      <c r="P85" s="35">
        <v>283</v>
      </c>
      <c r="Q85" s="35">
        <v>285</v>
      </c>
      <c r="R85" s="35">
        <v>285</v>
      </c>
      <c r="S85" s="24">
        <f t="shared" si="20"/>
        <v>284.33333333333331</v>
      </c>
      <c r="T85">
        <v>0</v>
      </c>
      <c r="U85">
        <v>0</v>
      </c>
      <c r="V85">
        <v>0</v>
      </c>
      <c r="W85" s="24">
        <f t="shared" si="21"/>
        <v>0</v>
      </c>
      <c r="X85" s="36">
        <v>0</v>
      </c>
      <c r="Y85">
        <v>0</v>
      </c>
      <c r="Z85">
        <v>0</v>
      </c>
      <c r="AA85" s="24">
        <f t="shared" si="22"/>
        <v>0</v>
      </c>
      <c r="AB85" s="37">
        <v>51.78</v>
      </c>
      <c r="AC85" s="37">
        <v>51.99</v>
      </c>
      <c r="AD85" s="37">
        <v>51.83</v>
      </c>
      <c r="AE85" s="24">
        <f t="shared" si="23"/>
        <v>51.866666666666674</v>
      </c>
      <c r="AF85" s="37">
        <v>97.75</v>
      </c>
      <c r="AG85" s="37">
        <v>97.73</v>
      </c>
      <c r="AH85" s="37">
        <v>97.69</v>
      </c>
      <c r="AI85" s="24">
        <f t="shared" si="24"/>
        <v>97.723333333333343</v>
      </c>
      <c r="AJ85" s="37">
        <v>22.06</v>
      </c>
      <c r="AK85" s="37">
        <v>21.66</v>
      </c>
      <c r="AL85" s="37">
        <v>22.46</v>
      </c>
      <c r="AM85" s="24">
        <f>AVERAGE(AJ85:AL85)</f>
        <v>22.060000000000002</v>
      </c>
      <c r="AN85" s="37">
        <v>29.23</v>
      </c>
      <c r="AO85" s="37">
        <v>28.22</v>
      </c>
      <c r="AP85" s="37">
        <v>29.17</v>
      </c>
      <c r="AQ85" s="24">
        <f>AVERAGE(AN85:AP85)</f>
        <v>28.873333333333335</v>
      </c>
      <c r="AX85">
        <v>62.26</v>
      </c>
      <c r="AY85">
        <v>62.06</v>
      </c>
      <c r="AZ85">
        <v>62.88</v>
      </c>
      <c r="BA85" s="24">
        <f t="shared" si="25"/>
        <v>62.4</v>
      </c>
      <c r="BB85">
        <v>35.81</v>
      </c>
      <c r="BC85">
        <v>35.97</v>
      </c>
      <c r="BD85">
        <v>35.69</v>
      </c>
      <c r="BE85" s="24">
        <f t="shared" si="26"/>
        <v>35.823333333333331</v>
      </c>
      <c r="BF85">
        <v>82.84</v>
      </c>
      <c r="BG85">
        <v>82.75</v>
      </c>
      <c r="BH85">
        <v>82.79</v>
      </c>
      <c r="BI85" s="24">
        <f t="shared" si="27"/>
        <v>82.793333333333337</v>
      </c>
      <c r="BJ85" t="s">
        <v>52</v>
      </c>
      <c r="BK85" t="s">
        <v>51</v>
      </c>
      <c r="BL85" t="s">
        <v>52</v>
      </c>
      <c r="BM85" t="s">
        <v>52</v>
      </c>
      <c r="BN85" t="s">
        <v>52</v>
      </c>
      <c r="BO85" s="9" t="s">
        <v>51</v>
      </c>
      <c r="BU85" t="s">
        <v>530</v>
      </c>
    </row>
    <row r="86" spans="1:73" x14ac:dyDescent="0.25">
      <c r="A86" t="s">
        <v>57</v>
      </c>
      <c r="B86" s="111" t="s">
        <v>1055</v>
      </c>
      <c r="C86" t="s">
        <v>207</v>
      </c>
      <c r="D86" t="s">
        <v>393</v>
      </c>
      <c r="E86">
        <v>1006</v>
      </c>
      <c r="H86" s="169" t="s">
        <v>527</v>
      </c>
      <c r="I86" t="s">
        <v>531</v>
      </c>
      <c r="K86" s="33">
        <v>1</v>
      </c>
      <c r="L86" s="10" t="s">
        <v>64</v>
      </c>
      <c r="M86">
        <v>753</v>
      </c>
      <c r="N86">
        <v>95</v>
      </c>
      <c r="O86" s="9">
        <f t="shared" si="19"/>
        <v>658</v>
      </c>
      <c r="P86" s="35">
        <v>235</v>
      </c>
      <c r="Q86" s="35">
        <v>234</v>
      </c>
      <c r="R86" s="35">
        <v>234</v>
      </c>
      <c r="S86" s="24">
        <f t="shared" si="20"/>
        <v>234.33333333333334</v>
      </c>
      <c r="T86" s="35">
        <v>140</v>
      </c>
      <c r="U86" s="35">
        <v>140</v>
      </c>
      <c r="V86" s="35">
        <v>140</v>
      </c>
      <c r="W86" s="24">
        <f t="shared" si="21"/>
        <v>140</v>
      </c>
      <c r="X86" s="36">
        <v>8.1199999999999992</v>
      </c>
      <c r="Y86" s="35">
        <v>8.25</v>
      </c>
      <c r="Z86" s="35">
        <v>8.36</v>
      </c>
      <c r="AA86" s="24">
        <f t="shared" si="22"/>
        <v>8.2433333333333323</v>
      </c>
      <c r="AB86" s="37">
        <v>44.11</v>
      </c>
      <c r="AC86" s="37">
        <v>43.82</v>
      </c>
      <c r="AD86" s="37">
        <v>43.36</v>
      </c>
      <c r="AE86" s="24">
        <f t="shared" si="23"/>
        <v>43.763333333333343</v>
      </c>
      <c r="AF86" s="37">
        <v>79.959999999999994</v>
      </c>
      <c r="AG86" s="37">
        <v>79.72</v>
      </c>
      <c r="AH86" s="37">
        <v>79.7</v>
      </c>
      <c r="AI86" s="24">
        <f t="shared" si="24"/>
        <v>79.793333333333337</v>
      </c>
      <c r="AS86" t="s">
        <v>65</v>
      </c>
      <c r="AT86">
        <v>8</v>
      </c>
      <c r="AU86">
        <v>2</v>
      </c>
      <c r="AV86">
        <v>2</v>
      </c>
      <c r="AW86" s="9">
        <v>4.2</v>
      </c>
      <c r="AX86" s="35">
        <v>50.8</v>
      </c>
      <c r="AY86" s="35">
        <v>50.74</v>
      </c>
      <c r="AZ86" s="35">
        <v>50.98</v>
      </c>
      <c r="BA86" s="24">
        <f t="shared" si="25"/>
        <v>50.839999999999996</v>
      </c>
      <c r="BB86" s="35">
        <v>31.34</v>
      </c>
      <c r="BC86" s="35">
        <v>31.11</v>
      </c>
      <c r="BD86" s="35">
        <v>31.08</v>
      </c>
      <c r="BE86" s="24">
        <f t="shared" si="26"/>
        <v>31.176666666666666</v>
      </c>
      <c r="BF86" s="35">
        <v>75.22</v>
      </c>
      <c r="BG86" s="35">
        <v>75.13</v>
      </c>
      <c r="BH86" s="35">
        <v>75.7</v>
      </c>
      <c r="BI86" s="24">
        <f t="shared" si="27"/>
        <v>75.350000000000009</v>
      </c>
      <c r="BJ86" t="s">
        <v>52</v>
      </c>
      <c r="BK86" t="s">
        <v>51</v>
      </c>
      <c r="BL86" t="s">
        <v>52</v>
      </c>
      <c r="BM86" t="s">
        <v>52</v>
      </c>
      <c r="BN86" t="s">
        <v>52</v>
      </c>
      <c r="BO86" s="9" t="s">
        <v>51</v>
      </c>
    </row>
    <row r="87" spans="1:73" x14ac:dyDescent="0.25">
      <c r="A87" t="s">
        <v>57</v>
      </c>
      <c r="B87" s="111" t="s">
        <v>1056</v>
      </c>
      <c r="C87" t="s">
        <v>207</v>
      </c>
      <c r="D87" t="s">
        <v>393</v>
      </c>
      <c r="E87">
        <v>1007</v>
      </c>
      <c r="H87" s="169" t="s">
        <v>537</v>
      </c>
      <c r="I87" t="s">
        <v>266</v>
      </c>
      <c r="K87" s="33">
        <v>1</v>
      </c>
      <c r="L87" s="10" t="s">
        <v>64</v>
      </c>
      <c r="M87">
        <v>675</v>
      </c>
      <c r="N87">
        <v>96</v>
      </c>
      <c r="O87" s="9">
        <f t="shared" si="19"/>
        <v>579</v>
      </c>
      <c r="P87" s="35">
        <v>212</v>
      </c>
      <c r="Q87" s="35">
        <v>212</v>
      </c>
      <c r="R87" s="35">
        <v>213</v>
      </c>
      <c r="S87" s="24">
        <f t="shared" si="20"/>
        <v>212.33333333333334</v>
      </c>
      <c r="T87" s="35">
        <v>142</v>
      </c>
      <c r="U87" s="35">
        <v>140</v>
      </c>
      <c r="V87" s="35">
        <v>140</v>
      </c>
      <c r="W87" s="24">
        <f t="shared" si="21"/>
        <v>140.66666666666666</v>
      </c>
      <c r="X87" s="36">
        <v>8.51</v>
      </c>
      <c r="Y87" s="35">
        <v>8.6199999999999992</v>
      </c>
      <c r="Z87" s="35">
        <v>8.74</v>
      </c>
      <c r="AA87" s="24">
        <f t="shared" si="22"/>
        <v>8.6233333333333331</v>
      </c>
      <c r="AB87" s="37">
        <v>41.73</v>
      </c>
      <c r="AC87" s="37">
        <v>41.77</v>
      </c>
      <c r="AD87" s="37">
        <v>41.73</v>
      </c>
      <c r="AE87" s="24">
        <f t="shared" si="23"/>
        <v>41.743333333333332</v>
      </c>
      <c r="AF87" s="37">
        <v>75.37</v>
      </c>
      <c r="AG87" s="37">
        <v>75.19</v>
      </c>
      <c r="AH87" s="37">
        <v>75.349999999999994</v>
      </c>
      <c r="AI87" s="24">
        <f t="shared" si="24"/>
        <v>75.303333333333327</v>
      </c>
      <c r="AS87" t="s">
        <v>65</v>
      </c>
      <c r="AT87">
        <v>8</v>
      </c>
      <c r="AU87">
        <v>2</v>
      </c>
      <c r="AV87">
        <v>2</v>
      </c>
      <c r="AW87" s="9">
        <v>4.17</v>
      </c>
      <c r="AX87" s="35">
        <v>46.81</v>
      </c>
      <c r="AY87" s="35">
        <v>46.61</v>
      </c>
      <c r="AZ87" s="35">
        <v>46.87</v>
      </c>
      <c r="BA87" s="24">
        <f t="shared" si="25"/>
        <v>46.763333333333328</v>
      </c>
      <c r="BB87" s="35">
        <v>30.05</v>
      </c>
      <c r="BC87" s="35">
        <v>30.58</v>
      </c>
      <c r="BD87" s="35">
        <v>30.32</v>
      </c>
      <c r="BE87" s="24">
        <f t="shared" si="26"/>
        <v>30.316666666666663</v>
      </c>
      <c r="BF87" s="35">
        <v>70.88</v>
      </c>
      <c r="BG87" s="35">
        <v>70.900000000000006</v>
      </c>
      <c r="BH87" s="35">
        <v>70.78</v>
      </c>
      <c r="BI87" s="24">
        <f t="shared" si="27"/>
        <v>70.853333333333339</v>
      </c>
      <c r="BJ87" t="s">
        <v>52</v>
      </c>
      <c r="BK87" t="s">
        <v>51</v>
      </c>
      <c r="BL87" t="s">
        <v>52</v>
      </c>
      <c r="BM87" t="s">
        <v>52</v>
      </c>
      <c r="BN87" t="s">
        <v>52</v>
      </c>
      <c r="BO87" s="9" t="s">
        <v>51</v>
      </c>
    </row>
    <row r="88" spans="1:73" x14ac:dyDescent="0.25">
      <c r="A88" t="s">
        <v>57</v>
      </c>
      <c r="B88" s="111" t="s">
        <v>1053</v>
      </c>
      <c r="C88" t="s">
        <v>207</v>
      </c>
      <c r="D88" t="s">
        <v>393</v>
      </c>
      <c r="E88">
        <v>1003</v>
      </c>
      <c r="H88" s="169" t="s">
        <v>537</v>
      </c>
      <c r="I88" t="s">
        <v>538</v>
      </c>
      <c r="K88" s="33">
        <v>2</v>
      </c>
      <c r="L88" s="10" t="s">
        <v>64</v>
      </c>
      <c r="M88">
        <v>746</v>
      </c>
      <c r="N88">
        <v>94</v>
      </c>
      <c r="O88" s="9">
        <f t="shared" si="19"/>
        <v>652</v>
      </c>
      <c r="P88" s="35">
        <v>240</v>
      </c>
      <c r="Q88" s="35">
        <v>242</v>
      </c>
      <c r="R88" s="35">
        <v>242</v>
      </c>
      <c r="S88" s="24">
        <f t="shared" si="20"/>
        <v>241.33333333333334</v>
      </c>
      <c r="T88" s="35">
        <v>136</v>
      </c>
      <c r="U88" s="35">
        <v>136</v>
      </c>
      <c r="V88" s="35">
        <v>136</v>
      </c>
      <c r="W88" s="24">
        <f t="shared" si="21"/>
        <v>136</v>
      </c>
      <c r="X88" s="36">
        <v>8.57</v>
      </c>
      <c r="Y88" s="35">
        <v>8.58</v>
      </c>
      <c r="Z88" s="35">
        <v>8.43</v>
      </c>
      <c r="AA88" s="24">
        <f t="shared" si="22"/>
        <v>8.5266666666666655</v>
      </c>
      <c r="AB88" s="37">
        <v>42.88</v>
      </c>
      <c r="AC88" s="37">
        <v>42.89</v>
      </c>
      <c r="AD88" s="37">
        <v>42.63</v>
      </c>
      <c r="AE88" s="24">
        <f t="shared" si="23"/>
        <v>42.800000000000004</v>
      </c>
      <c r="AF88" s="37">
        <v>82.18</v>
      </c>
      <c r="AG88" s="37">
        <v>82.1</v>
      </c>
      <c r="AH88" s="37">
        <v>82.18</v>
      </c>
      <c r="AI88" s="24">
        <f t="shared" si="24"/>
        <v>82.153333333333336</v>
      </c>
      <c r="AS88" t="s">
        <v>65</v>
      </c>
      <c r="AT88">
        <v>8</v>
      </c>
      <c r="AU88">
        <v>2</v>
      </c>
      <c r="AV88">
        <v>2</v>
      </c>
      <c r="AW88" s="9">
        <v>5.29</v>
      </c>
      <c r="AX88" s="35">
        <v>51.21</v>
      </c>
      <c r="AY88" s="35">
        <v>51.82</v>
      </c>
      <c r="AZ88" s="35">
        <v>51.1</v>
      </c>
      <c r="BA88" s="24">
        <f t="shared" si="25"/>
        <v>51.376666666666665</v>
      </c>
      <c r="BB88" s="35">
        <v>30.47</v>
      </c>
      <c r="BC88" s="35">
        <v>31</v>
      </c>
      <c r="BD88" s="35">
        <v>31.28</v>
      </c>
      <c r="BE88" s="24">
        <f t="shared" si="26"/>
        <v>30.916666666666668</v>
      </c>
      <c r="BF88" s="35">
        <v>76.989999999999995</v>
      </c>
      <c r="BG88" s="35">
        <v>76.88</v>
      </c>
      <c r="BH88" s="35">
        <v>76.84</v>
      </c>
      <c r="BI88" s="24">
        <f t="shared" si="27"/>
        <v>76.903333333333336</v>
      </c>
      <c r="BJ88" t="s">
        <v>52</v>
      </c>
      <c r="BK88" t="s">
        <v>51</v>
      </c>
      <c r="BL88" t="s">
        <v>52</v>
      </c>
      <c r="BM88" t="s">
        <v>52</v>
      </c>
      <c r="BN88" t="s">
        <v>52</v>
      </c>
      <c r="BO88" s="9" t="s">
        <v>51</v>
      </c>
      <c r="BU88" t="s">
        <v>539</v>
      </c>
    </row>
    <row r="89" spans="1:73" x14ac:dyDescent="0.25">
      <c r="A89" t="s">
        <v>57</v>
      </c>
      <c r="B89" s="111" t="s">
        <v>282</v>
      </c>
      <c r="C89" t="s">
        <v>207</v>
      </c>
      <c r="D89" t="s">
        <v>393</v>
      </c>
      <c r="E89">
        <v>1171</v>
      </c>
      <c r="H89" s="169" t="s">
        <v>540</v>
      </c>
      <c r="I89" t="s">
        <v>283</v>
      </c>
      <c r="K89" s="33">
        <v>1</v>
      </c>
      <c r="L89" s="10" t="s">
        <v>64</v>
      </c>
      <c r="M89">
        <v>902</v>
      </c>
      <c r="N89">
        <v>95</v>
      </c>
      <c r="O89" s="9">
        <f t="shared" si="19"/>
        <v>807</v>
      </c>
      <c r="P89" s="35">
        <v>243</v>
      </c>
      <c r="Q89" s="35">
        <v>243</v>
      </c>
      <c r="R89" s="35">
        <v>243</v>
      </c>
      <c r="S89" s="24">
        <f t="shared" si="20"/>
        <v>243</v>
      </c>
      <c r="T89" s="35">
        <v>69</v>
      </c>
      <c r="U89" s="35">
        <v>69</v>
      </c>
      <c r="V89" s="35">
        <v>69</v>
      </c>
      <c r="W89" s="24">
        <f t="shared" si="21"/>
        <v>69</v>
      </c>
      <c r="X89" s="36">
        <v>9.76</v>
      </c>
      <c r="Y89" s="35">
        <v>9.39</v>
      </c>
      <c r="Z89" s="35">
        <v>9.07</v>
      </c>
      <c r="AA89" s="24">
        <f t="shared" si="22"/>
        <v>9.4066666666666663</v>
      </c>
      <c r="AB89" s="37">
        <v>44.19</v>
      </c>
      <c r="AC89" s="37">
        <v>44.4</v>
      </c>
      <c r="AD89" s="37">
        <v>44.16</v>
      </c>
      <c r="AE89" s="24">
        <f t="shared" si="23"/>
        <v>44.25</v>
      </c>
      <c r="AF89" s="37">
        <v>87.06</v>
      </c>
      <c r="AG89" s="37">
        <v>87.31</v>
      </c>
      <c r="AH89" s="37">
        <v>86.91</v>
      </c>
      <c r="AI89" s="24">
        <f t="shared" si="24"/>
        <v>87.09333333333332</v>
      </c>
      <c r="AS89" t="s">
        <v>65</v>
      </c>
      <c r="AT89">
        <v>8</v>
      </c>
      <c r="AU89">
        <v>2</v>
      </c>
      <c r="AV89">
        <v>2</v>
      </c>
      <c r="AW89" s="9">
        <v>7.02</v>
      </c>
      <c r="AX89" s="35">
        <v>51.5</v>
      </c>
      <c r="AY89" s="35">
        <v>51.74</v>
      </c>
      <c r="AZ89" s="35">
        <v>52.28</v>
      </c>
      <c r="BA89" s="24">
        <f t="shared" si="25"/>
        <v>51.84</v>
      </c>
      <c r="BB89" s="35">
        <v>34.08</v>
      </c>
      <c r="BC89" s="35">
        <v>34.39</v>
      </c>
      <c r="BD89" s="35">
        <v>34.44</v>
      </c>
      <c r="BE89" s="24">
        <f t="shared" si="26"/>
        <v>34.303333333333335</v>
      </c>
      <c r="BF89" s="35">
        <v>79.77</v>
      </c>
      <c r="BG89" s="35">
        <v>79.37</v>
      </c>
      <c r="BH89" s="35">
        <v>79.180000000000007</v>
      </c>
      <c r="BI89" s="24">
        <f t="shared" si="27"/>
        <v>79.44</v>
      </c>
      <c r="BJ89" t="s">
        <v>52</v>
      </c>
      <c r="BK89" t="s">
        <v>51</v>
      </c>
      <c r="BL89" t="s">
        <v>52</v>
      </c>
      <c r="BM89" t="s">
        <v>52</v>
      </c>
      <c r="BN89" t="s">
        <v>52</v>
      </c>
      <c r="BO89" s="9" t="s">
        <v>51</v>
      </c>
      <c r="BU89" t="s">
        <v>542</v>
      </c>
    </row>
    <row r="90" spans="1:73" x14ac:dyDescent="0.25">
      <c r="A90" t="s">
        <v>57</v>
      </c>
      <c r="B90" s="111" t="s">
        <v>1061</v>
      </c>
      <c r="C90" t="s">
        <v>207</v>
      </c>
      <c r="D90" t="s">
        <v>393</v>
      </c>
      <c r="E90">
        <v>1017</v>
      </c>
      <c r="H90" s="169" t="s">
        <v>554</v>
      </c>
      <c r="I90" t="s">
        <v>271</v>
      </c>
      <c r="K90" s="33">
        <v>3</v>
      </c>
      <c r="L90" s="10" t="s">
        <v>50</v>
      </c>
      <c r="M90">
        <v>1076</v>
      </c>
      <c r="N90">
        <v>96</v>
      </c>
      <c r="O90" s="9">
        <f t="shared" si="19"/>
        <v>980</v>
      </c>
      <c r="P90" s="35">
        <v>273</v>
      </c>
      <c r="Q90" s="35">
        <v>271</v>
      </c>
      <c r="R90" s="35">
        <v>273</v>
      </c>
      <c r="S90" s="24">
        <f t="shared" si="20"/>
        <v>272.33333333333331</v>
      </c>
      <c r="T90" s="35">
        <v>158</v>
      </c>
      <c r="U90" s="35">
        <v>159</v>
      </c>
      <c r="V90" s="35">
        <v>159</v>
      </c>
      <c r="W90" s="24">
        <f t="shared" si="21"/>
        <v>158.66666666666666</v>
      </c>
      <c r="X90" s="36">
        <v>11.32</v>
      </c>
      <c r="Y90" s="35">
        <v>11.32</v>
      </c>
      <c r="Z90" s="35">
        <v>11.38</v>
      </c>
      <c r="AA90" s="24">
        <f t="shared" si="22"/>
        <v>11.340000000000002</v>
      </c>
      <c r="AB90" s="37">
        <v>49.92</v>
      </c>
      <c r="AC90" s="37">
        <v>49.8</v>
      </c>
      <c r="AD90" s="37">
        <v>49.89</v>
      </c>
      <c r="AE90" s="24">
        <f t="shared" si="23"/>
        <v>49.870000000000005</v>
      </c>
      <c r="AF90" s="37">
        <v>91.43</v>
      </c>
      <c r="AG90" s="37">
        <v>19.47</v>
      </c>
      <c r="AH90" s="37">
        <v>91.36</v>
      </c>
      <c r="AI90" s="24">
        <f t="shared" si="24"/>
        <v>67.42</v>
      </c>
      <c r="AJ90" s="37">
        <v>21.95</v>
      </c>
      <c r="AK90" s="37">
        <v>21.77</v>
      </c>
      <c r="AL90" s="37">
        <v>21.66</v>
      </c>
      <c r="AM90" s="24">
        <f>AVERAGE(AJ90:AL90)</f>
        <v>21.793333333333333</v>
      </c>
      <c r="AN90" s="37">
        <v>26.66</v>
      </c>
      <c r="AO90" s="37">
        <v>26.6</v>
      </c>
      <c r="AP90" s="37">
        <v>26.5</v>
      </c>
      <c r="AQ90" s="24">
        <f>AVERAGE(AN90:AP90)</f>
        <v>26.58666666666667</v>
      </c>
      <c r="AX90" s="35">
        <v>57.97</v>
      </c>
      <c r="AY90" s="35">
        <v>57.5</v>
      </c>
      <c r="AZ90" s="35">
        <v>57.54</v>
      </c>
      <c r="BA90" s="24">
        <f t="shared" si="25"/>
        <v>57.669999999999995</v>
      </c>
      <c r="BB90" s="35">
        <v>35.43</v>
      </c>
      <c r="BC90" s="35">
        <v>35.46</v>
      </c>
      <c r="BD90" s="35">
        <v>35.17</v>
      </c>
      <c r="BE90" s="24">
        <f t="shared" si="26"/>
        <v>35.353333333333332</v>
      </c>
      <c r="BF90" s="35">
        <v>84.64</v>
      </c>
      <c r="BG90" s="35">
        <v>84.79</v>
      </c>
      <c r="BH90" s="35">
        <v>84.61</v>
      </c>
      <c r="BI90" s="24">
        <f t="shared" si="27"/>
        <v>84.68</v>
      </c>
      <c r="BJ90" t="s">
        <v>52</v>
      </c>
      <c r="BK90" t="s">
        <v>51</v>
      </c>
      <c r="BL90" t="s">
        <v>52</v>
      </c>
      <c r="BM90" t="s">
        <v>52</v>
      </c>
      <c r="BN90" t="s">
        <v>52</v>
      </c>
      <c r="BO90" s="9" t="s">
        <v>51</v>
      </c>
    </row>
    <row r="91" spans="1:73" x14ac:dyDescent="0.25">
      <c r="A91" t="s">
        <v>57</v>
      </c>
      <c r="B91" s="111" t="s">
        <v>1022</v>
      </c>
      <c r="C91" t="s">
        <v>207</v>
      </c>
      <c r="D91" t="s">
        <v>393</v>
      </c>
      <c r="E91">
        <v>1160</v>
      </c>
      <c r="H91" s="170" t="s">
        <v>568</v>
      </c>
      <c r="I91" t="s">
        <v>71</v>
      </c>
      <c r="K91" s="33">
        <v>1</v>
      </c>
      <c r="L91" s="10" t="s">
        <v>64</v>
      </c>
      <c r="M91">
        <v>695</v>
      </c>
      <c r="N91">
        <v>99</v>
      </c>
      <c r="O91" s="9">
        <f t="shared" si="19"/>
        <v>596</v>
      </c>
      <c r="P91" s="35">
        <v>213</v>
      </c>
      <c r="Q91" s="35">
        <v>213</v>
      </c>
      <c r="R91" s="35">
        <v>214</v>
      </c>
      <c r="S91" s="24">
        <f t="shared" si="20"/>
        <v>213.33333333333334</v>
      </c>
      <c r="T91" s="35">
        <v>13</v>
      </c>
      <c r="U91" s="35">
        <v>13</v>
      </c>
      <c r="V91" s="35">
        <v>13</v>
      </c>
      <c r="W91" s="24">
        <f t="shared" si="21"/>
        <v>13</v>
      </c>
      <c r="X91" s="36">
        <v>9.1999999999999993</v>
      </c>
      <c r="Y91" s="35">
        <v>9.18</v>
      </c>
      <c r="Z91" s="35">
        <v>9.1300000000000008</v>
      </c>
      <c r="AA91" s="24">
        <f t="shared" si="22"/>
        <v>9.17</v>
      </c>
      <c r="AB91" s="37">
        <v>42.89</v>
      </c>
      <c r="AC91" s="37">
        <v>43.1</v>
      </c>
      <c r="AD91" s="37">
        <v>42.73</v>
      </c>
      <c r="AE91" s="24">
        <f t="shared" si="23"/>
        <v>42.906666666666666</v>
      </c>
      <c r="AF91" s="37">
        <v>76.66</v>
      </c>
      <c r="AG91" s="37">
        <v>76.33</v>
      </c>
      <c r="AH91" s="37">
        <v>76.55</v>
      </c>
      <c r="AI91" s="24">
        <f t="shared" si="24"/>
        <v>76.513333333333335</v>
      </c>
      <c r="AS91" t="s">
        <v>65</v>
      </c>
      <c r="AT91">
        <v>8</v>
      </c>
      <c r="AU91">
        <v>0</v>
      </c>
      <c r="AV91">
        <v>0</v>
      </c>
      <c r="AW91" s="9">
        <v>0</v>
      </c>
      <c r="AX91" s="35">
        <v>48.14</v>
      </c>
      <c r="AY91" s="35">
        <v>47.87</v>
      </c>
      <c r="AZ91" s="35">
        <v>47.98</v>
      </c>
      <c r="BA91" s="24">
        <f t="shared" si="25"/>
        <v>47.996666666666663</v>
      </c>
      <c r="BB91" s="35">
        <v>30.35</v>
      </c>
      <c r="BC91" s="35">
        <v>30.25</v>
      </c>
      <c r="BD91" s="35">
        <v>30.44</v>
      </c>
      <c r="BE91" s="24">
        <f t="shared" si="26"/>
        <v>30.346666666666668</v>
      </c>
      <c r="BF91" s="35">
        <v>71.55</v>
      </c>
      <c r="BG91" s="35">
        <v>71.55</v>
      </c>
      <c r="BH91" s="35">
        <v>71.45</v>
      </c>
      <c r="BI91" s="24">
        <f t="shared" si="27"/>
        <v>71.516666666666666</v>
      </c>
      <c r="BJ91" t="s">
        <v>52</v>
      </c>
      <c r="BK91" t="s">
        <v>51</v>
      </c>
      <c r="BL91" t="s">
        <v>52</v>
      </c>
      <c r="BM91" t="s">
        <v>52</v>
      </c>
      <c r="BN91" t="s">
        <v>52</v>
      </c>
      <c r="BO91" s="9" t="s">
        <v>51</v>
      </c>
    </row>
    <row r="92" spans="1:73" x14ac:dyDescent="0.25">
      <c r="A92" t="s">
        <v>57</v>
      </c>
      <c r="B92" s="111" t="s">
        <v>1019</v>
      </c>
      <c r="C92" t="s">
        <v>207</v>
      </c>
      <c r="D92" t="s">
        <v>393</v>
      </c>
      <c r="E92">
        <v>1038</v>
      </c>
      <c r="H92" s="170" t="s">
        <v>568</v>
      </c>
      <c r="I92" t="s">
        <v>569</v>
      </c>
      <c r="K92" s="33">
        <v>3</v>
      </c>
      <c r="L92" s="10" t="s">
        <v>64</v>
      </c>
      <c r="M92">
        <v>863</v>
      </c>
      <c r="N92">
        <v>93</v>
      </c>
      <c r="O92" s="9">
        <f t="shared" si="19"/>
        <v>770</v>
      </c>
      <c r="P92" s="35">
        <v>256</v>
      </c>
      <c r="Q92" s="35">
        <v>257</v>
      </c>
      <c r="R92" s="35">
        <v>258</v>
      </c>
      <c r="S92" s="24">
        <f t="shared" si="20"/>
        <v>257</v>
      </c>
      <c r="T92" s="35">
        <v>154</v>
      </c>
      <c r="U92" s="35">
        <v>154</v>
      </c>
      <c r="V92" s="35">
        <v>154</v>
      </c>
      <c r="W92" s="24">
        <f t="shared" si="21"/>
        <v>154</v>
      </c>
      <c r="X92" s="36">
        <v>8.98</v>
      </c>
      <c r="Y92" s="35">
        <v>8.89</v>
      </c>
      <c r="Z92" s="35">
        <v>8.6999999999999993</v>
      </c>
      <c r="AA92" s="24">
        <f t="shared" si="22"/>
        <v>8.8566666666666674</v>
      </c>
      <c r="AB92" s="37">
        <v>44.02</v>
      </c>
      <c r="AC92" s="37">
        <v>44.12</v>
      </c>
      <c r="AD92" s="37">
        <v>44.05</v>
      </c>
      <c r="AE92" s="24">
        <f t="shared" si="23"/>
        <v>44.063333333333333</v>
      </c>
      <c r="AF92" s="37">
        <v>82.75</v>
      </c>
      <c r="AG92" s="37">
        <v>82.77</v>
      </c>
      <c r="AH92" s="37">
        <v>82.67</v>
      </c>
      <c r="AI92" s="24">
        <f t="shared" si="24"/>
        <v>82.73</v>
      </c>
      <c r="AS92" t="s">
        <v>65</v>
      </c>
      <c r="AT92">
        <v>8</v>
      </c>
      <c r="AU92">
        <v>8</v>
      </c>
      <c r="AV92">
        <v>2</v>
      </c>
      <c r="AW92" s="9">
        <v>4.93</v>
      </c>
      <c r="AX92" s="35">
        <v>53.43</v>
      </c>
      <c r="AY92" s="35">
        <v>53.28</v>
      </c>
      <c r="AZ92" s="35">
        <v>53.28</v>
      </c>
      <c r="BA92" s="24">
        <f t="shared" si="25"/>
        <v>53.330000000000005</v>
      </c>
      <c r="BB92" s="35">
        <v>34.200000000000003</v>
      </c>
      <c r="BC92" s="35">
        <v>34.229999999999997</v>
      </c>
      <c r="BD92" s="35">
        <v>33.92</v>
      </c>
      <c r="BE92" s="24">
        <f t="shared" si="26"/>
        <v>34.116666666666667</v>
      </c>
      <c r="BF92" s="35">
        <v>78.099999999999994</v>
      </c>
      <c r="BG92" s="35">
        <v>78.62</v>
      </c>
      <c r="BH92" s="35">
        <v>78.180000000000007</v>
      </c>
      <c r="BI92" s="24">
        <f t="shared" si="27"/>
        <v>78.3</v>
      </c>
      <c r="BJ92" t="s">
        <v>52</v>
      </c>
      <c r="BK92" t="s">
        <v>51</v>
      </c>
      <c r="BL92" t="s">
        <v>52</v>
      </c>
      <c r="BM92" t="s">
        <v>52</v>
      </c>
      <c r="BN92" t="s">
        <v>52</v>
      </c>
      <c r="BO92" s="9" t="s">
        <v>51</v>
      </c>
    </row>
    <row r="93" spans="1:73" x14ac:dyDescent="0.25">
      <c r="A93" t="s">
        <v>57</v>
      </c>
      <c r="B93" s="111" t="s">
        <v>1025</v>
      </c>
      <c r="C93" t="s">
        <v>207</v>
      </c>
      <c r="D93" t="s">
        <v>393</v>
      </c>
      <c r="E93">
        <v>1166</v>
      </c>
      <c r="H93" s="170" t="s">
        <v>568</v>
      </c>
      <c r="I93" t="s">
        <v>80</v>
      </c>
      <c r="K93" s="33">
        <v>3</v>
      </c>
      <c r="L93" s="10" t="s">
        <v>50</v>
      </c>
      <c r="M93">
        <v>1166</v>
      </c>
      <c r="N93">
        <v>95</v>
      </c>
      <c r="O93" s="9">
        <f t="shared" si="19"/>
        <v>1071</v>
      </c>
      <c r="P93" s="35">
        <v>276</v>
      </c>
      <c r="Q93" s="35">
        <v>276</v>
      </c>
      <c r="R93" s="35">
        <v>275</v>
      </c>
      <c r="S93" s="24">
        <f t="shared" si="20"/>
        <v>275.66666666666669</v>
      </c>
      <c r="T93" s="35">
        <v>157</v>
      </c>
      <c r="U93" s="35">
        <v>157</v>
      </c>
      <c r="V93" s="35">
        <v>156</v>
      </c>
      <c r="W93" s="24">
        <f t="shared" si="21"/>
        <v>156.66666666666666</v>
      </c>
      <c r="X93" s="36">
        <v>11.78</v>
      </c>
      <c r="Y93" s="35">
        <v>11.52</v>
      </c>
      <c r="Z93" s="35">
        <v>11.06</v>
      </c>
      <c r="AA93" s="24">
        <f t="shared" si="22"/>
        <v>11.453333333333333</v>
      </c>
      <c r="AB93" s="35">
        <v>47.59</v>
      </c>
      <c r="AC93" s="35">
        <v>47.65</v>
      </c>
      <c r="AD93" s="35">
        <v>46.04</v>
      </c>
      <c r="AE93" s="24">
        <f t="shared" si="23"/>
        <v>47.093333333333334</v>
      </c>
      <c r="AF93" s="37">
        <v>88.2</v>
      </c>
      <c r="AG93" s="37">
        <v>88.66</v>
      </c>
      <c r="AH93" s="37">
        <v>88.42</v>
      </c>
      <c r="AI93" s="24">
        <f t="shared" si="24"/>
        <v>88.426666666666677</v>
      </c>
      <c r="AJ93" s="37">
        <v>21.33</v>
      </c>
      <c r="AK93" s="37">
        <v>21.83</v>
      </c>
      <c r="AL93" s="37">
        <v>21.22</v>
      </c>
      <c r="AM93" s="24">
        <f>AVERAGE(AJ93:AL93)</f>
        <v>21.459999999999997</v>
      </c>
      <c r="AN93" s="37">
        <v>30.49</v>
      </c>
      <c r="AO93" s="37">
        <v>31.41</v>
      </c>
      <c r="AP93" s="37">
        <v>31.34</v>
      </c>
      <c r="AQ93" s="24">
        <f>AVERAGE(AN93:AP93)</f>
        <v>31.08</v>
      </c>
      <c r="AX93" s="35">
        <v>57.85</v>
      </c>
      <c r="AY93" s="35">
        <v>57.85</v>
      </c>
      <c r="AZ93" s="35">
        <v>57.83</v>
      </c>
      <c r="BA93" s="24">
        <f t="shared" si="25"/>
        <v>57.843333333333334</v>
      </c>
      <c r="BB93" s="35">
        <v>37.03</v>
      </c>
      <c r="BC93" s="35">
        <v>37.229999999999997</v>
      </c>
      <c r="BD93" s="35">
        <v>37.56</v>
      </c>
      <c r="BE93" s="24">
        <f t="shared" si="26"/>
        <v>37.273333333333333</v>
      </c>
      <c r="BF93" s="35">
        <v>84.12</v>
      </c>
      <c r="BG93" s="35">
        <v>84.25</v>
      </c>
      <c r="BH93" s="35">
        <v>84.26</v>
      </c>
      <c r="BI93" s="24">
        <f t="shared" si="27"/>
        <v>84.21</v>
      </c>
      <c r="BJ93" t="s">
        <v>52</v>
      </c>
      <c r="BK93" t="s">
        <v>51</v>
      </c>
      <c r="BL93" t="s">
        <v>52</v>
      </c>
      <c r="BM93" t="s">
        <v>52</v>
      </c>
      <c r="BN93" t="s">
        <v>52</v>
      </c>
      <c r="BO93" s="9" t="s">
        <v>51</v>
      </c>
    </row>
    <row r="94" spans="1:73" x14ac:dyDescent="0.25">
      <c r="A94" t="s">
        <v>57</v>
      </c>
      <c r="B94" s="111" t="s">
        <v>1060</v>
      </c>
      <c r="C94" t="s">
        <v>207</v>
      </c>
      <c r="D94" t="s">
        <v>393</v>
      </c>
      <c r="E94">
        <v>1016</v>
      </c>
      <c r="H94" s="170" t="s">
        <v>568</v>
      </c>
      <c r="I94" t="s">
        <v>79</v>
      </c>
      <c r="K94" s="33">
        <v>1</v>
      </c>
      <c r="L94" s="10" t="s">
        <v>64</v>
      </c>
      <c r="M94">
        <v>637</v>
      </c>
      <c r="N94">
        <v>98</v>
      </c>
      <c r="O94" s="9">
        <f t="shared" si="19"/>
        <v>539</v>
      </c>
      <c r="P94" s="35">
        <v>220</v>
      </c>
      <c r="Q94" s="35">
        <v>220</v>
      </c>
      <c r="R94" s="35">
        <v>220</v>
      </c>
      <c r="S94" s="24">
        <f t="shared" si="20"/>
        <v>220</v>
      </c>
      <c r="T94" s="35">
        <v>129</v>
      </c>
      <c r="U94" s="35">
        <v>130</v>
      </c>
      <c r="V94" s="35">
        <v>130</v>
      </c>
      <c r="W94" s="24">
        <f t="shared" si="21"/>
        <v>129.66666666666666</v>
      </c>
      <c r="X94" s="36">
        <v>8.67</v>
      </c>
      <c r="Y94" s="35">
        <v>8.73</v>
      </c>
      <c r="Z94" s="35">
        <v>8.5299999999999994</v>
      </c>
      <c r="AA94" s="24">
        <f t="shared" si="22"/>
        <v>8.6433333333333326</v>
      </c>
      <c r="AB94" s="37">
        <v>39.92</v>
      </c>
      <c r="AC94" s="37">
        <v>40.07</v>
      </c>
      <c r="AD94" s="37">
        <v>39.99</v>
      </c>
      <c r="AE94" s="24">
        <f t="shared" si="23"/>
        <v>39.993333333333339</v>
      </c>
      <c r="AF94" s="37">
        <v>73.319999999999993</v>
      </c>
      <c r="AG94" s="37">
        <v>73.2</v>
      </c>
      <c r="AH94" s="37">
        <v>37.369999999999997</v>
      </c>
      <c r="AI94" s="24">
        <f t="shared" si="24"/>
        <v>61.29666666666666</v>
      </c>
      <c r="AS94" t="s">
        <v>65</v>
      </c>
      <c r="AT94">
        <v>8</v>
      </c>
      <c r="AU94">
        <v>5</v>
      </c>
      <c r="AV94">
        <v>0</v>
      </c>
      <c r="AW94" s="9">
        <v>0</v>
      </c>
      <c r="AX94" s="35">
        <v>47.47</v>
      </c>
      <c r="AY94" s="35">
        <v>47.47</v>
      </c>
      <c r="AZ94" s="35">
        <v>47</v>
      </c>
      <c r="BA94" s="24">
        <f t="shared" si="25"/>
        <v>47.313333333333333</v>
      </c>
      <c r="BB94" s="35">
        <v>30.86</v>
      </c>
      <c r="BC94" s="35">
        <v>31.44</v>
      </c>
      <c r="BD94" s="35">
        <v>31.07</v>
      </c>
      <c r="BE94" s="24">
        <f t="shared" si="26"/>
        <v>31.123333333333335</v>
      </c>
      <c r="BF94" s="35">
        <v>74.489999999999995</v>
      </c>
      <c r="BG94" s="35">
        <v>74.400000000000006</v>
      </c>
      <c r="BH94" s="35">
        <v>74.430000000000007</v>
      </c>
      <c r="BI94" s="24">
        <f t="shared" si="27"/>
        <v>74.44</v>
      </c>
      <c r="BJ94" t="s">
        <v>52</v>
      </c>
      <c r="BK94" t="s">
        <v>51</v>
      </c>
      <c r="BL94" t="s">
        <v>52</v>
      </c>
      <c r="BM94" t="s">
        <v>52</v>
      </c>
      <c r="BN94" t="s">
        <v>52</v>
      </c>
      <c r="BO94" s="9" t="s">
        <v>51</v>
      </c>
    </row>
    <row r="95" spans="1:73" x14ac:dyDescent="0.25">
      <c r="A95" t="s">
        <v>57</v>
      </c>
      <c r="B95" s="111" t="s">
        <v>587</v>
      </c>
      <c r="C95" t="s">
        <v>49</v>
      </c>
      <c r="D95" t="s">
        <v>393</v>
      </c>
      <c r="E95">
        <v>1942</v>
      </c>
      <c r="H95" s="170" t="s">
        <v>582</v>
      </c>
      <c r="I95" t="s">
        <v>80</v>
      </c>
      <c r="K95" s="112">
        <v>1</v>
      </c>
      <c r="L95" s="10" t="s">
        <v>50</v>
      </c>
      <c r="M95">
        <v>519</v>
      </c>
      <c r="N95">
        <v>96</v>
      </c>
      <c r="O95" s="9">
        <f t="shared" si="19"/>
        <v>423</v>
      </c>
      <c r="P95" s="35">
        <v>198</v>
      </c>
      <c r="Q95" s="35">
        <v>198</v>
      </c>
      <c r="R95" s="35">
        <v>199</v>
      </c>
      <c r="S95" s="24">
        <f t="shared" si="20"/>
        <v>198.33333333333334</v>
      </c>
      <c r="T95" s="35">
        <v>106</v>
      </c>
      <c r="U95" s="35">
        <v>107</v>
      </c>
      <c r="V95" s="35">
        <v>106</v>
      </c>
      <c r="W95" s="24">
        <f t="shared" si="21"/>
        <v>106.33333333333333</v>
      </c>
      <c r="X95" s="36">
        <v>7.55</v>
      </c>
      <c r="Y95" s="35">
        <v>7.17</v>
      </c>
      <c r="Z95" s="35">
        <v>7.31</v>
      </c>
      <c r="AA95" s="24">
        <f t="shared" si="22"/>
        <v>7.3433333333333328</v>
      </c>
      <c r="AB95" s="37">
        <v>40.78</v>
      </c>
      <c r="AC95" s="37">
        <v>40.74</v>
      </c>
      <c r="AD95" s="37">
        <v>40.630000000000003</v>
      </c>
      <c r="AE95" s="24">
        <f t="shared" si="23"/>
        <v>40.716666666666669</v>
      </c>
      <c r="AF95" s="37">
        <v>67.3</v>
      </c>
      <c r="AG95" s="37">
        <v>67.34</v>
      </c>
      <c r="AH95" s="37">
        <v>66.95</v>
      </c>
      <c r="AI95" s="24">
        <f t="shared" si="24"/>
        <v>67.196666666666658</v>
      </c>
      <c r="AJ95" s="37">
        <v>11.97</v>
      </c>
      <c r="AK95" s="37">
        <v>12.12</v>
      </c>
      <c r="AL95" s="37">
        <v>11.67</v>
      </c>
      <c r="AM95" s="24">
        <f>AVERAGE(AJ95:AL95)</f>
        <v>11.92</v>
      </c>
      <c r="AN95" s="37">
        <v>16.079999999999998</v>
      </c>
      <c r="AO95" s="37">
        <v>16.170000000000002</v>
      </c>
      <c r="AP95" s="37">
        <v>16.670000000000002</v>
      </c>
      <c r="AQ95" s="24">
        <f>AVERAGE(AN95:AP95)</f>
        <v>16.306666666666668</v>
      </c>
      <c r="AX95" s="35">
        <v>44.48</v>
      </c>
      <c r="AY95" s="35">
        <v>44.22</v>
      </c>
      <c r="AZ95" s="35">
        <v>44.46</v>
      </c>
      <c r="BA95" s="24">
        <f t="shared" si="25"/>
        <v>44.386666666666663</v>
      </c>
      <c r="BB95" s="35">
        <v>28.42</v>
      </c>
      <c r="BC95" s="35">
        <v>28.88</v>
      </c>
      <c r="BD95" s="35">
        <v>28.35</v>
      </c>
      <c r="BE95" s="24">
        <f t="shared" si="26"/>
        <v>28.55</v>
      </c>
      <c r="BF95" s="35">
        <v>69.459999999999994</v>
      </c>
      <c r="BG95" s="35">
        <v>69.319999999999993</v>
      </c>
      <c r="BH95" s="35">
        <v>69.849999999999994</v>
      </c>
      <c r="BI95" s="24">
        <f t="shared" si="27"/>
        <v>69.543333333333322</v>
      </c>
      <c r="BJ95" t="s">
        <v>51</v>
      </c>
      <c r="BK95" t="s">
        <v>51</v>
      </c>
      <c r="BL95" t="s">
        <v>52</v>
      </c>
      <c r="BM95" t="s">
        <v>52</v>
      </c>
      <c r="BN95" t="s">
        <v>52</v>
      </c>
      <c r="BO95" s="9" t="s">
        <v>51</v>
      </c>
      <c r="BU95" t="s">
        <v>588</v>
      </c>
    </row>
    <row r="96" spans="1:73" x14ac:dyDescent="0.25">
      <c r="A96" t="s">
        <v>57</v>
      </c>
      <c r="B96" s="111" t="s">
        <v>1066</v>
      </c>
      <c r="C96" t="s">
        <v>207</v>
      </c>
      <c r="D96" t="s">
        <v>584</v>
      </c>
      <c r="E96">
        <v>938</v>
      </c>
      <c r="H96" s="170" t="s">
        <v>582</v>
      </c>
      <c r="I96" t="s">
        <v>589</v>
      </c>
      <c r="K96" s="33">
        <v>3</v>
      </c>
      <c r="L96" s="10" t="s">
        <v>64</v>
      </c>
      <c r="M96">
        <v>806</v>
      </c>
      <c r="N96">
        <v>94</v>
      </c>
      <c r="O96" s="9">
        <f t="shared" si="19"/>
        <v>712</v>
      </c>
      <c r="P96" s="35">
        <v>250</v>
      </c>
      <c r="Q96" s="35">
        <v>251</v>
      </c>
      <c r="R96" s="35">
        <v>250</v>
      </c>
      <c r="S96" s="24">
        <f t="shared" si="20"/>
        <v>250.33333333333334</v>
      </c>
      <c r="T96" s="35">
        <v>135</v>
      </c>
      <c r="U96" s="35">
        <v>135</v>
      </c>
      <c r="V96" s="35">
        <v>135</v>
      </c>
      <c r="W96" s="24">
        <f t="shared" si="21"/>
        <v>135</v>
      </c>
      <c r="X96" s="36">
        <v>9.33</v>
      </c>
      <c r="Y96" s="35">
        <v>9.77</v>
      </c>
      <c r="Z96" s="35">
        <v>9.73</v>
      </c>
      <c r="AA96" s="24">
        <f t="shared" si="22"/>
        <v>9.6100000000000012</v>
      </c>
      <c r="AB96" s="37">
        <v>42.59</v>
      </c>
      <c r="AC96" s="37">
        <v>42.72</v>
      </c>
      <c r="AD96" s="37">
        <v>42.67</v>
      </c>
      <c r="AE96" s="24">
        <f t="shared" si="23"/>
        <v>42.660000000000004</v>
      </c>
      <c r="AF96" s="37">
        <v>83.93</v>
      </c>
      <c r="AG96" s="37">
        <v>83.74</v>
      </c>
      <c r="AH96" s="37">
        <v>83.42</v>
      </c>
      <c r="AI96" s="24">
        <f t="shared" si="24"/>
        <v>83.696666666666673</v>
      </c>
      <c r="AM96" s="24"/>
      <c r="AS96" t="s">
        <v>65</v>
      </c>
      <c r="AT96">
        <v>8</v>
      </c>
      <c r="AU96">
        <v>2</v>
      </c>
      <c r="AV96">
        <v>0</v>
      </c>
      <c r="AX96" s="35">
        <v>52.14</v>
      </c>
      <c r="AY96" s="35">
        <v>52.18</v>
      </c>
      <c r="AZ96" s="35">
        <v>52.82</v>
      </c>
      <c r="BA96" s="24">
        <f t="shared" si="25"/>
        <v>52.379999999999995</v>
      </c>
      <c r="BB96" s="35">
        <v>33.17</v>
      </c>
      <c r="BC96" s="35">
        <v>33.58</v>
      </c>
      <c r="BD96" s="35">
        <v>33.909999999999997</v>
      </c>
      <c r="BE96" s="24">
        <f t="shared" si="26"/>
        <v>33.553333333333335</v>
      </c>
      <c r="BF96" s="35">
        <v>78.98</v>
      </c>
      <c r="BG96" s="35">
        <v>78.72</v>
      </c>
      <c r="BH96" s="35">
        <v>78.86</v>
      </c>
      <c r="BI96" s="24">
        <f t="shared" si="27"/>
        <v>78.853333333333339</v>
      </c>
      <c r="BJ96" t="s">
        <v>52</v>
      </c>
      <c r="BK96" t="s">
        <v>51</v>
      </c>
      <c r="BL96" t="s">
        <v>52</v>
      </c>
      <c r="BM96" t="s">
        <v>52</v>
      </c>
      <c r="BN96" t="s">
        <v>52</v>
      </c>
      <c r="BO96" s="9" t="s">
        <v>51</v>
      </c>
      <c r="BU96" t="s">
        <v>590</v>
      </c>
    </row>
    <row r="97" spans="1:73" x14ac:dyDescent="0.25">
      <c r="A97" t="s">
        <v>57</v>
      </c>
      <c r="B97" s="111" t="s">
        <v>1032</v>
      </c>
      <c r="C97" t="s">
        <v>207</v>
      </c>
      <c r="D97" t="s">
        <v>393</v>
      </c>
      <c r="E97">
        <v>1175</v>
      </c>
      <c r="H97" s="170" t="s">
        <v>582</v>
      </c>
      <c r="I97" t="s">
        <v>90</v>
      </c>
      <c r="K97" s="33">
        <v>3</v>
      </c>
      <c r="L97" s="10" t="s">
        <v>64</v>
      </c>
      <c r="M97">
        <v>968</v>
      </c>
      <c r="N97">
        <v>94</v>
      </c>
      <c r="O97" s="9">
        <f t="shared" ref="O97:O107" si="28">M97-N97</f>
        <v>874</v>
      </c>
      <c r="P97" s="35">
        <v>248</v>
      </c>
      <c r="Q97" s="35">
        <v>248</v>
      </c>
      <c r="R97" s="35">
        <v>249</v>
      </c>
      <c r="S97" s="24">
        <f t="shared" si="20"/>
        <v>248.33333333333334</v>
      </c>
      <c r="T97" s="35">
        <v>158</v>
      </c>
      <c r="U97" s="35">
        <v>157</v>
      </c>
      <c r="V97" s="35">
        <v>158</v>
      </c>
      <c r="W97" s="24">
        <f t="shared" si="21"/>
        <v>157.66666666666666</v>
      </c>
      <c r="X97" s="36">
        <v>9.65</v>
      </c>
      <c r="Y97" s="35">
        <v>9.57</v>
      </c>
      <c r="Z97" s="35">
        <v>10.09</v>
      </c>
      <c r="AA97" s="24">
        <f t="shared" si="22"/>
        <v>9.77</v>
      </c>
      <c r="AB97" s="37">
        <v>46.97</v>
      </c>
      <c r="AC97" s="37">
        <v>46.87</v>
      </c>
      <c r="AD97" s="37">
        <v>46.38</v>
      </c>
      <c r="AE97" s="24">
        <f t="shared" si="23"/>
        <v>46.74</v>
      </c>
      <c r="AF97" s="37">
        <v>87.25</v>
      </c>
      <c r="AG97" s="37">
        <v>87.2</v>
      </c>
      <c r="AH97" s="37">
        <v>87.16</v>
      </c>
      <c r="AI97" s="24">
        <f t="shared" si="24"/>
        <v>87.203333333333333</v>
      </c>
      <c r="AS97" t="s">
        <v>65</v>
      </c>
      <c r="AT97">
        <v>8</v>
      </c>
      <c r="AU97">
        <v>2</v>
      </c>
      <c r="AV97">
        <v>2</v>
      </c>
      <c r="AW97" s="9">
        <v>7.95</v>
      </c>
      <c r="AX97" s="35">
        <v>53.87</v>
      </c>
      <c r="AY97" s="35">
        <v>53.85</v>
      </c>
      <c r="AZ97" s="35">
        <v>53.98</v>
      </c>
      <c r="BA97" s="24">
        <f t="shared" si="25"/>
        <v>53.9</v>
      </c>
      <c r="BB97" s="35">
        <v>37.020000000000003</v>
      </c>
      <c r="BC97" s="35">
        <v>36.590000000000003</v>
      </c>
      <c r="BD97" s="35">
        <v>36.92</v>
      </c>
      <c r="BE97" s="24">
        <f t="shared" si="26"/>
        <v>36.843333333333341</v>
      </c>
      <c r="BF97" s="35">
        <v>82.1</v>
      </c>
      <c r="BG97" s="35">
        <v>81.819999999999993</v>
      </c>
      <c r="BH97" s="35">
        <v>82.04</v>
      </c>
      <c r="BI97" s="24">
        <f t="shared" si="27"/>
        <v>81.986666666666665</v>
      </c>
      <c r="BJ97" t="s">
        <v>52</v>
      </c>
      <c r="BK97" t="s">
        <v>51</v>
      </c>
      <c r="BL97" t="s">
        <v>52</v>
      </c>
      <c r="BM97" t="s">
        <v>52</v>
      </c>
      <c r="BN97" t="s">
        <v>52</v>
      </c>
      <c r="BO97" s="9" t="s">
        <v>51</v>
      </c>
    </row>
    <row r="98" spans="1:73" x14ac:dyDescent="0.25">
      <c r="A98" t="s">
        <v>57</v>
      </c>
      <c r="B98" s="111" t="s">
        <v>1047</v>
      </c>
      <c r="C98" t="s">
        <v>207</v>
      </c>
      <c r="D98" t="s">
        <v>393</v>
      </c>
      <c r="E98">
        <v>1196</v>
      </c>
      <c r="H98" s="170" t="s">
        <v>582</v>
      </c>
      <c r="I98" t="s">
        <v>93</v>
      </c>
      <c r="K98" s="33">
        <v>3</v>
      </c>
      <c r="L98" s="10" t="s">
        <v>50</v>
      </c>
      <c r="M98">
        <v>1526</v>
      </c>
      <c r="N98">
        <v>91</v>
      </c>
      <c r="O98" s="9">
        <f t="shared" si="28"/>
        <v>1435</v>
      </c>
      <c r="P98" s="35">
        <v>310</v>
      </c>
      <c r="Q98" s="35">
        <v>312</v>
      </c>
      <c r="R98" s="35">
        <v>311</v>
      </c>
      <c r="S98" s="24">
        <f t="shared" si="20"/>
        <v>311</v>
      </c>
      <c r="T98" s="35">
        <v>174</v>
      </c>
      <c r="U98" s="35">
        <v>173</v>
      </c>
      <c r="V98" s="35">
        <v>173</v>
      </c>
      <c r="W98" s="24">
        <f t="shared" si="21"/>
        <v>173.33333333333334</v>
      </c>
      <c r="X98" s="36">
        <v>12.89</v>
      </c>
      <c r="Y98" s="35">
        <v>13.21</v>
      </c>
      <c r="Z98" s="35">
        <v>13.1</v>
      </c>
      <c r="AA98" s="24">
        <f t="shared" si="22"/>
        <v>13.066666666666668</v>
      </c>
      <c r="AB98" s="99">
        <v>53.15</v>
      </c>
      <c r="AC98" s="99">
        <v>53.04</v>
      </c>
      <c r="AD98" s="99">
        <v>53.11</v>
      </c>
      <c r="AE98" s="24">
        <f t="shared" si="23"/>
        <v>53.1</v>
      </c>
      <c r="AF98" s="37">
        <v>100.09</v>
      </c>
      <c r="AG98" s="37">
        <v>100.24</v>
      </c>
      <c r="AH98" s="37">
        <v>100.28</v>
      </c>
      <c r="AI98" s="24">
        <f t="shared" si="24"/>
        <v>100.20333333333333</v>
      </c>
      <c r="AJ98" s="37">
        <v>23.19</v>
      </c>
      <c r="AK98" s="37">
        <v>22.65</v>
      </c>
      <c r="AL98" s="37">
        <v>22.79</v>
      </c>
      <c r="AM98" s="24">
        <f>AVERAGE(AJ98:AL98)</f>
        <v>22.876666666666665</v>
      </c>
      <c r="AN98" s="37">
        <v>33.200000000000003</v>
      </c>
      <c r="AO98" s="37">
        <v>32.299999999999997</v>
      </c>
      <c r="AP98" s="37">
        <v>32.159999999999997</v>
      </c>
      <c r="AQ98" s="24">
        <f>AVERAGE(AN98:AP98)</f>
        <v>32.553333333333335</v>
      </c>
      <c r="AX98" s="35">
        <v>66.77</v>
      </c>
      <c r="AY98" s="35">
        <v>66.709999999999994</v>
      </c>
      <c r="AZ98" s="35">
        <v>66.23</v>
      </c>
      <c r="BA98" s="24">
        <f t="shared" si="25"/>
        <v>66.569999999999993</v>
      </c>
      <c r="BB98" s="35">
        <v>37.590000000000003</v>
      </c>
      <c r="BC98" s="35">
        <v>37.450000000000003</v>
      </c>
      <c r="BD98" s="35">
        <v>37.49</v>
      </c>
      <c r="BE98" s="24">
        <f t="shared" si="26"/>
        <v>37.51</v>
      </c>
      <c r="BF98" s="35">
        <v>90.19</v>
      </c>
      <c r="BG98" s="35">
        <v>89.53</v>
      </c>
      <c r="BH98" s="35">
        <v>90.05</v>
      </c>
      <c r="BI98" s="24">
        <f t="shared" si="27"/>
        <v>89.923333333333332</v>
      </c>
      <c r="BJ98" t="s">
        <v>52</v>
      </c>
      <c r="BK98" t="s">
        <v>51</v>
      </c>
      <c r="BL98" t="s">
        <v>52</v>
      </c>
      <c r="BM98" t="s">
        <v>52</v>
      </c>
      <c r="BN98" t="s">
        <v>52</v>
      </c>
      <c r="BO98" s="9" t="s">
        <v>51</v>
      </c>
    </row>
    <row r="99" spans="1:73" x14ac:dyDescent="0.25">
      <c r="A99" t="s">
        <v>57</v>
      </c>
      <c r="B99" s="111" t="s">
        <v>604</v>
      </c>
      <c r="C99" t="s">
        <v>49</v>
      </c>
      <c r="D99" t="s">
        <v>393</v>
      </c>
      <c r="E99">
        <v>1099</v>
      </c>
      <c r="H99" s="170" t="s">
        <v>593</v>
      </c>
      <c r="I99" t="s">
        <v>93</v>
      </c>
      <c r="K99" s="33">
        <v>1</v>
      </c>
      <c r="L99" s="10" t="s">
        <v>64</v>
      </c>
      <c r="M99">
        <v>577</v>
      </c>
      <c r="N99">
        <v>95</v>
      </c>
      <c r="O99" s="9">
        <f t="shared" si="28"/>
        <v>482</v>
      </c>
      <c r="P99" s="35">
        <v>205</v>
      </c>
      <c r="Q99" s="35">
        <v>204</v>
      </c>
      <c r="R99" s="35">
        <v>204</v>
      </c>
      <c r="S99" s="24">
        <f t="shared" si="20"/>
        <v>204.33333333333334</v>
      </c>
      <c r="T99" s="35">
        <v>0</v>
      </c>
      <c r="U99" s="35">
        <v>0</v>
      </c>
      <c r="V99" s="35">
        <v>0</v>
      </c>
      <c r="W99" s="24">
        <f t="shared" si="21"/>
        <v>0</v>
      </c>
      <c r="X99" s="35">
        <v>0</v>
      </c>
      <c r="Y99" s="35">
        <v>0</v>
      </c>
      <c r="Z99" s="35">
        <v>0</v>
      </c>
      <c r="AA99" s="24">
        <f t="shared" si="22"/>
        <v>0</v>
      </c>
      <c r="AB99" s="37">
        <v>42.2</v>
      </c>
      <c r="AC99">
        <v>42.44</v>
      </c>
      <c r="AD99" s="37">
        <v>42.22</v>
      </c>
      <c r="AE99" s="24">
        <f t="shared" si="23"/>
        <v>42.286666666666669</v>
      </c>
      <c r="AF99" s="37">
        <v>71.010000000000005</v>
      </c>
      <c r="AG99" s="37">
        <v>70.599999999999994</v>
      </c>
      <c r="AH99" s="37">
        <v>70.16</v>
      </c>
      <c r="AI99" s="24">
        <f t="shared" si="24"/>
        <v>70.59</v>
      </c>
      <c r="AS99" t="s">
        <v>70</v>
      </c>
      <c r="AT99">
        <v>8</v>
      </c>
      <c r="AU99">
        <v>0</v>
      </c>
      <c r="AV99">
        <v>0</v>
      </c>
      <c r="AX99" s="35">
        <v>46.99</v>
      </c>
      <c r="AY99" s="35">
        <v>46.68</v>
      </c>
      <c r="AZ99" s="35">
        <v>46.78</v>
      </c>
      <c r="BA99" s="24">
        <f t="shared" si="25"/>
        <v>46.816666666666663</v>
      </c>
      <c r="BB99" s="35">
        <v>26.69</v>
      </c>
      <c r="BC99" s="35">
        <v>27.02</v>
      </c>
      <c r="BD99" s="35">
        <v>26.5</v>
      </c>
      <c r="BE99" s="24">
        <f t="shared" si="26"/>
        <v>26.736666666666668</v>
      </c>
      <c r="BF99" s="35">
        <v>74.64</v>
      </c>
      <c r="BG99" s="35">
        <v>74.62</v>
      </c>
      <c r="BH99" s="35">
        <v>74.61</v>
      </c>
      <c r="BI99" s="24">
        <f t="shared" si="27"/>
        <v>74.623333333333335</v>
      </c>
      <c r="BJ99" t="s">
        <v>51</v>
      </c>
      <c r="BK99" t="s">
        <v>51</v>
      </c>
      <c r="BL99" t="s">
        <v>52</v>
      </c>
      <c r="BM99" t="s">
        <v>52</v>
      </c>
      <c r="BN99" t="s">
        <v>52</v>
      </c>
      <c r="BO99" s="9" t="s">
        <v>51</v>
      </c>
      <c r="BU99" t="s">
        <v>73</v>
      </c>
    </row>
    <row r="100" spans="1:73" x14ac:dyDescent="0.25">
      <c r="A100" t="s">
        <v>57</v>
      </c>
      <c r="B100" s="111" t="s">
        <v>1045</v>
      </c>
      <c r="C100" t="s">
        <v>207</v>
      </c>
      <c r="D100" t="s">
        <v>393</v>
      </c>
      <c r="E100">
        <v>1194</v>
      </c>
      <c r="H100" s="169" t="s">
        <v>593</v>
      </c>
      <c r="I100" t="s">
        <v>605</v>
      </c>
      <c r="K100" s="33">
        <v>3</v>
      </c>
      <c r="L100" s="10" t="s">
        <v>64</v>
      </c>
      <c r="M100">
        <v>874</v>
      </c>
      <c r="N100">
        <v>95</v>
      </c>
      <c r="O100" s="9">
        <f t="shared" si="28"/>
        <v>779</v>
      </c>
      <c r="P100" s="35">
        <v>240</v>
      </c>
      <c r="Q100" s="35">
        <v>240</v>
      </c>
      <c r="R100" s="35">
        <v>241</v>
      </c>
      <c r="S100" s="24">
        <f t="shared" si="20"/>
        <v>240.33333333333334</v>
      </c>
      <c r="T100" s="35">
        <v>0</v>
      </c>
      <c r="U100" s="35">
        <v>0</v>
      </c>
      <c r="V100" s="35">
        <v>0</v>
      </c>
      <c r="W100" s="24">
        <f t="shared" si="21"/>
        <v>0</v>
      </c>
      <c r="X100" s="35">
        <v>0</v>
      </c>
      <c r="Y100" s="35">
        <v>0</v>
      </c>
      <c r="Z100" s="35">
        <v>0</v>
      </c>
      <c r="AA100" s="24">
        <f t="shared" si="22"/>
        <v>0</v>
      </c>
      <c r="AB100" s="37">
        <v>44.45</v>
      </c>
      <c r="AC100" s="37">
        <v>44.7</v>
      </c>
      <c r="AD100" s="37">
        <v>44.72</v>
      </c>
      <c r="AE100" s="24">
        <f t="shared" si="23"/>
        <v>44.623333333333335</v>
      </c>
      <c r="AF100" s="37">
        <v>84.79</v>
      </c>
      <c r="AG100" s="37">
        <v>84.83</v>
      </c>
      <c r="AH100" s="37">
        <v>84.71</v>
      </c>
      <c r="AI100" s="24">
        <f t="shared" si="24"/>
        <v>84.776666666666657</v>
      </c>
      <c r="AS100" t="s">
        <v>65</v>
      </c>
      <c r="AT100">
        <v>8</v>
      </c>
      <c r="AU100">
        <v>1</v>
      </c>
      <c r="AV100">
        <v>1</v>
      </c>
      <c r="AW100" s="9">
        <v>7.88</v>
      </c>
      <c r="AX100" s="35">
        <v>55.59</v>
      </c>
      <c r="AY100" s="35">
        <v>56.7</v>
      </c>
      <c r="AZ100" s="35">
        <v>56.57</v>
      </c>
      <c r="BA100" s="24">
        <f t="shared" si="25"/>
        <v>56.286666666666669</v>
      </c>
      <c r="BB100" s="35">
        <v>30.5</v>
      </c>
      <c r="BC100" s="35">
        <v>30.18</v>
      </c>
      <c r="BD100" s="35">
        <v>30.3</v>
      </c>
      <c r="BE100" s="24">
        <f t="shared" si="26"/>
        <v>30.326666666666668</v>
      </c>
      <c r="BF100" s="35">
        <v>75.02</v>
      </c>
      <c r="BG100" s="35">
        <v>74.900000000000006</v>
      </c>
      <c r="BH100" s="35">
        <v>74.709999999999994</v>
      </c>
      <c r="BI100" s="24">
        <f t="shared" si="27"/>
        <v>74.876666666666665</v>
      </c>
      <c r="BJ100" t="s">
        <v>52</v>
      </c>
      <c r="BK100" t="s">
        <v>51</v>
      </c>
      <c r="BL100" t="s">
        <v>52</v>
      </c>
      <c r="BM100" t="s">
        <v>52</v>
      </c>
      <c r="BN100" t="s">
        <v>52</v>
      </c>
      <c r="BO100" s="9" t="s">
        <v>51</v>
      </c>
      <c r="BU100" t="s">
        <v>73</v>
      </c>
    </row>
    <row r="101" spans="1:73" x14ac:dyDescent="0.25">
      <c r="A101" t="s">
        <v>57</v>
      </c>
      <c r="B101" s="111" t="s">
        <v>1058</v>
      </c>
      <c r="C101" t="s">
        <v>207</v>
      </c>
      <c r="D101" t="s">
        <v>393</v>
      </c>
      <c r="E101">
        <v>1012</v>
      </c>
      <c r="H101" s="169" t="s">
        <v>593</v>
      </c>
      <c r="I101" t="s">
        <v>266</v>
      </c>
      <c r="K101" s="33">
        <v>1</v>
      </c>
      <c r="L101" s="10" t="s">
        <v>50</v>
      </c>
      <c r="M101">
        <v>628</v>
      </c>
      <c r="N101">
        <v>97</v>
      </c>
      <c r="O101" s="9">
        <f t="shared" si="28"/>
        <v>531</v>
      </c>
      <c r="P101" s="35">
        <v>221</v>
      </c>
      <c r="Q101" s="35">
        <v>222</v>
      </c>
      <c r="R101" s="35">
        <v>221</v>
      </c>
      <c r="S101" s="24">
        <f t="shared" si="20"/>
        <v>221.33333333333334</v>
      </c>
      <c r="T101" s="35">
        <v>140</v>
      </c>
      <c r="U101" s="35">
        <v>140</v>
      </c>
      <c r="V101" s="35">
        <v>139</v>
      </c>
      <c r="W101" s="24">
        <f t="shared" si="21"/>
        <v>139.66666666666666</v>
      </c>
      <c r="X101" s="36">
        <v>9.09</v>
      </c>
      <c r="Y101" s="35">
        <v>9.59</v>
      </c>
      <c r="Z101" s="35">
        <v>8.9</v>
      </c>
      <c r="AA101" s="24">
        <f t="shared" si="22"/>
        <v>9.1933333333333334</v>
      </c>
      <c r="AB101" s="37">
        <v>43.73</v>
      </c>
      <c r="AC101" s="37">
        <v>43.7</v>
      </c>
      <c r="AD101" s="37">
        <v>43.63</v>
      </c>
      <c r="AE101" s="24">
        <f t="shared" si="23"/>
        <v>43.686666666666667</v>
      </c>
      <c r="AF101" s="37">
        <v>74.75</v>
      </c>
      <c r="AG101" s="37">
        <v>74.72</v>
      </c>
      <c r="AH101" s="37">
        <v>74.680000000000007</v>
      </c>
      <c r="AI101" s="24">
        <f t="shared" si="24"/>
        <v>74.716666666666669</v>
      </c>
      <c r="AJ101" s="37">
        <v>19.32</v>
      </c>
      <c r="AK101" s="37">
        <v>19.350000000000001</v>
      </c>
      <c r="AL101" s="37">
        <v>19.260000000000002</v>
      </c>
      <c r="AM101" s="24">
        <f>AVERAGE(AJ101:AL101)</f>
        <v>19.310000000000002</v>
      </c>
      <c r="AN101" s="37">
        <v>28.4</v>
      </c>
      <c r="AO101" s="37">
        <v>29.08</v>
      </c>
      <c r="AP101" s="37">
        <v>28.16</v>
      </c>
      <c r="AQ101" s="24">
        <f>AVERAGE(AN101:AP101)</f>
        <v>28.546666666666667</v>
      </c>
      <c r="AX101" s="35">
        <v>51.91</v>
      </c>
      <c r="AY101" s="35">
        <v>51.85</v>
      </c>
      <c r="AZ101" s="35">
        <v>50.85</v>
      </c>
      <c r="BA101" s="24">
        <f t="shared" si="25"/>
        <v>51.536666666666662</v>
      </c>
      <c r="BB101" s="35">
        <v>31.85</v>
      </c>
      <c r="BC101" s="35">
        <v>31.18</v>
      </c>
      <c r="BD101" s="35">
        <v>31.44</v>
      </c>
      <c r="BE101" s="24">
        <f t="shared" si="26"/>
        <v>31.49</v>
      </c>
      <c r="BF101" s="35">
        <v>72.23</v>
      </c>
      <c r="BG101" s="35">
        <v>72.150000000000006</v>
      </c>
      <c r="BH101" s="35">
        <v>72</v>
      </c>
      <c r="BI101" s="24">
        <f t="shared" si="27"/>
        <v>72.126666666666665</v>
      </c>
      <c r="BJ101" t="s">
        <v>52</v>
      </c>
      <c r="BK101" t="s">
        <v>51</v>
      </c>
      <c r="BL101" t="s">
        <v>52</v>
      </c>
      <c r="BM101" t="s">
        <v>52</v>
      </c>
      <c r="BN101" t="s">
        <v>52</v>
      </c>
      <c r="BO101" s="9" t="s">
        <v>51</v>
      </c>
    </row>
    <row r="102" spans="1:73" x14ac:dyDescent="0.25">
      <c r="A102" t="s">
        <v>57</v>
      </c>
      <c r="B102" s="111" t="s">
        <v>1067</v>
      </c>
      <c r="C102" t="s">
        <v>49</v>
      </c>
      <c r="D102" t="s">
        <v>393</v>
      </c>
      <c r="E102">
        <v>1098</v>
      </c>
      <c r="H102" s="169" t="s">
        <v>642</v>
      </c>
      <c r="I102" t="s">
        <v>606</v>
      </c>
      <c r="K102" s="33">
        <v>1</v>
      </c>
      <c r="L102" s="10" t="s">
        <v>64</v>
      </c>
      <c r="M102">
        <v>330</v>
      </c>
      <c r="N102">
        <v>88</v>
      </c>
      <c r="O102" s="9">
        <f t="shared" si="28"/>
        <v>242</v>
      </c>
      <c r="P102" s="35">
        <v>161</v>
      </c>
      <c r="Q102" s="35">
        <v>161</v>
      </c>
      <c r="R102" s="35">
        <v>160</v>
      </c>
      <c r="S102" s="24">
        <f t="shared" si="20"/>
        <v>160.66666666666666</v>
      </c>
      <c r="T102" s="35">
        <v>115</v>
      </c>
      <c r="U102" s="35">
        <v>116</v>
      </c>
      <c r="V102" s="35">
        <v>115</v>
      </c>
      <c r="W102" s="24">
        <f t="shared" si="21"/>
        <v>115.33333333333333</v>
      </c>
      <c r="X102" s="36">
        <v>7.71</v>
      </c>
      <c r="Y102" s="35">
        <v>7.82</v>
      </c>
      <c r="Z102" s="35">
        <v>7.61</v>
      </c>
      <c r="AA102" s="24">
        <f t="shared" si="22"/>
        <v>7.7133333333333338</v>
      </c>
      <c r="AB102" s="37">
        <v>33.93</v>
      </c>
      <c r="AC102" s="37">
        <v>33.82</v>
      </c>
      <c r="AD102" s="37">
        <v>33.799999999999997</v>
      </c>
      <c r="AE102" s="24">
        <f t="shared" si="23"/>
        <v>33.85</v>
      </c>
      <c r="AF102" s="37">
        <v>56.39</v>
      </c>
      <c r="AG102" s="37">
        <v>56.36</v>
      </c>
      <c r="AH102" s="37">
        <v>56.3</v>
      </c>
      <c r="AI102" s="24">
        <f t="shared" si="24"/>
        <v>56.35</v>
      </c>
      <c r="AS102" t="s">
        <v>70</v>
      </c>
      <c r="AT102">
        <v>8</v>
      </c>
      <c r="AU102">
        <v>0</v>
      </c>
      <c r="AV102">
        <v>0</v>
      </c>
      <c r="AX102" s="35">
        <v>36.46</v>
      </c>
      <c r="AY102" s="35">
        <v>36.630000000000003</v>
      </c>
      <c r="AZ102" s="35">
        <v>36.869999999999997</v>
      </c>
      <c r="BA102" s="24">
        <f t="shared" si="25"/>
        <v>36.653333333333336</v>
      </c>
      <c r="BB102" s="35">
        <v>25.77</v>
      </c>
      <c r="BC102" s="35">
        <v>25.45</v>
      </c>
      <c r="BD102" s="35">
        <v>25.32</v>
      </c>
      <c r="BE102" s="24">
        <f t="shared" si="26"/>
        <v>25.513333333333332</v>
      </c>
      <c r="BF102" s="35">
        <v>62.09</v>
      </c>
      <c r="BG102" s="35">
        <v>61.65</v>
      </c>
      <c r="BH102" s="35">
        <v>61.68</v>
      </c>
      <c r="BI102" s="24">
        <f t="shared" si="27"/>
        <v>61.806666666666672</v>
      </c>
      <c r="BJ102" t="s">
        <v>51</v>
      </c>
      <c r="BK102" t="s">
        <v>51</v>
      </c>
      <c r="BL102" t="s">
        <v>52</v>
      </c>
      <c r="BM102" t="s">
        <v>52</v>
      </c>
      <c r="BN102" t="s">
        <v>52</v>
      </c>
      <c r="BO102" s="9" t="s">
        <v>51</v>
      </c>
    </row>
    <row r="103" spans="1:73" x14ac:dyDescent="0.25">
      <c r="A103" t="s">
        <v>57</v>
      </c>
      <c r="B103" s="111" t="s">
        <v>1068</v>
      </c>
      <c r="C103" t="s">
        <v>49</v>
      </c>
      <c r="D103" t="s">
        <v>393</v>
      </c>
      <c r="E103">
        <v>941</v>
      </c>
      <c r="H103" s="169" t="s">
        <v>642</v>
      </c>
      <c r="I103" t="s">
        <v>610</v>
      </c>
      <c r="K103" s="33">
        <v>2</v>
      </c>
      <c r="L103" s="10" t="s">
        <v>64</v>
      </c>
      <c r="M103">
        <v>876</v>
      </c>
      <c r="N103">
        <v>95</v>
      </c>
      <c r="O103" s="9">
        <f t="shared" si="28"/>
        <v>781</v>
      </c>
      <c r="P103">
        <v>263</v>
      </c>
      <c r="Q103">
        <v>261</v>
      </c>
      <c r="R103">
        <v>262</v>
      </c>
      <c r="S103" s="24">
        <f t="shared" si="20"/>
        <v>262</v>
      </c>
      <c r="T103">
        <v>62</v>
      </c>
      <c r="U103">
        <v>63</v>
      </c>
      <c r="V103">
        <v>62</v>
      </c>
      <c r="W103" s="24">
        <f t="shared" si="21"/>
        <v>62.333333333333336</v>
      </c>
      <c r="X103" s="36">
        <v>8.93</v>
      </c>
      <c r="Y103">
        <v>8.82</v>
      </c>
      <c r="Z103">
        <v>8.7200000000000006</v>
      </c>
      <c r="AA103" s="24">
        <f t="shared" si="22"/>
        <v>8.8233333333333324</v>
      </c>
      <c r="AB103" s="37">
        <v>44.95</v>
      </c>
      <c r="AC103" s="37">
        <v>44.68</v>
      </c>
      <c r="AD103" s="37">
        <v>44.9</v>
      </c>
      <c r="AE103" s="24">
        <f t="shared" si="23"/>
        <v>44.843333333333334</v>
      </c>
      <c r="AF103" s="37">
        <v>84.55</v>
      </c>
      <c r="AG103" s="37">
        <v>84.59</v>
      </c>
      <c r="AH103" s="37">
        <v>84.66</v>
      </c>
      <c r="AI103" s="24">
        <f t="shared" si="24"/>
        <v>84.6</v>
      </c>
      <c r="AS103" t="s">
        <v>65</v>
      </c>
      <c r="AT103">
        <v>8</v>
      </c>
      <c r="AU103">
        <v>8</v>
      </c>
      <c r="AX103">
        <v>53.47</v>
      </c>
      <c r="AY103">
        <v>53.93</v>
      </c>
      <c r="AZ103">
        <v>53.69</v>
      </c>
      <c r="BA103" s="24">
        <f t="shared" si="25"/>
        <v>53.696666666666665</v>
      </c>
      <c r="BB103">
        <v>34.770000000000003</v>
      </c>
      <c r="BC103">
        <v>33.83</v>
      </c>
      <c r="BD103">
        <v>33.979999999999997</v>
      </c>
      <c r="BE103" s="24">
        <f t="shared" si="26"/>
        <v>34.193333333333328</v>
      </c>
      <c r="BF103">
        <v>79.349999999999994</v>
      </c>
      <c r="BG103">
        <v>79.61</v>
      </c>
      <c r="BH103">
        <v>79.61</v>
      </c>
      <c r="BI103" s="24">
        <f t="shared" si="27"/>
        <v>79.523333333333326</v>
      </c>
      <c r="BJ103" t="s">
        <v>51</v>
      </c>
      <c r="BK103" t="s">
        <v>51</v>
      </c>
      <c r="BN103" s="9"/>
      <c r="BO103" s="12"/>
      <c r="BS103" s="9"/>
      <c r="BT103" s="12"/>
    </row>
    <row r="104" spans="1:73" x14ac:dyDescent="0.25">
      <c r="A104" t="s">
        <v>57</v>
      </c>
      <c r="B104" s="111" t="s">
        <v>1030</v>
      </c>
      <c r="C104" t="s">
        <v>207</v>
      </c>
      <c r="D104" t="s">
        <v>393</v>
      </c>
      <c r="E104">
        <v>1173</v>
      </c>
      <c r="H104" s="169" t="s">
        <v>642</v>
      </c>
      <c r="I104" t="s">
        <v>88</v>
      </c>
      <c r="K104" s="33">
        <v>2</v>
      </c>
      <c r="L104" s="10" t="s">
        <v>50</v>
      </c>
      <c r="M104">
        <v>1578</v>
      </c>
      <c r="N104">
        <v>95</v>
      </c>
      <c r="O104" s="9">
        <f t="shared" si="28"/>
        <v>1483</v>
      </c>
      <c r="P104">
        <v>302</v>
      </c>
      <c r="Q104">
        <v>303</v>
      </c>
      <c r="R104">
        <v>303</v>
      </c>
      <c r="S104" s="24">
        <f t="shared" si="20"/>
        <v>302.66666666666669</v>
      </c>
      <c r="T104">
        <v>132</v>
      </c>
      <c r="U104">
        <v>132</v>
      </c>
      <c r="V104">
        <v>132</v>
      </c>
      <c r="W104" s="24">
        <f t="shared" si="21"/>
        <v>132</v>
      </c>
      <c r="X104" s="36">
        <v>12.19</v>
      </c>
      <c r="Y104">
        <v>12.84</v>
      </c>
      <c r="Z104">
        <v>12.69</v>
      </c>
      <c r="AA104" s="24">
        <f t="shared" si="22"/>
        <v>12.573333333333332</v>
      </c>
      <c r="AB104" s="37">
        <v>49.89</v>
      </c>
      <c r="AC104" s="37">
        <v>49.78</v>
      </c>
      <c r="AD104" s="37">
        <v>49.28</v>
      </c>
      <c r="AE104" s="24">
        <f t="shared" si="23"/>
        <v>49.65</v>
      </c>
      <c r="AF104" s="37">
        <v>96.88</v>
      </c>
      <c r="AG104" s="37">
        <v>96.69</v>
      </c>
      <c r="AH104" s="37">
        <v>96.24</v>
      </c>
      <c r="AI104" s="24">
        <f t="shared" si="24"/>
        <v>96.603333333333339</v>
      </c>
      <c r="AJ104" s="37">
        <v>23.5</v>
      </c>
      <c r="AK104" s="37">
        <v>22.73</v>
      </c>
      <c r="AL104" s="37">
        <v>22.27</v>
      </c>
      <c r="AM104" s="24">
        <f>AVERAGE(AJ104:AL104)</f>
        <v>22.833333333333332</v>
      </c>
      <c r="AN104" s="37">
        <v>27.79</v>
      </c>
      <c r="AO104" s="37">
        <v>27.97</v>
      </c>
      <c r="AP104" s="37">
        <v>27.13</v>
      </c>
      <c r="AQ104" s="24">
        <f>AVERAGE(AN104:AP104)</f>
        <v>27.63</v>
      </c>
      <c r="AX104">
        <v>64.53</v>
      </c>
      <c r="AY104">
        <v>64.44</v>
      </c>
      <c r="AZ104">
        <v>64.17</v>
      </c>
      <c r="BA104" s="24">
        <f t="shared" si="25"/>
        <v>64.38</v>
      </c>
      <c r="BB104">
        <v>36.880000000000003</v>
      </c>
      <c r="BC104">
        <v>36.450000000000003</v>
      </c>
      <c r="BD104">
        <v>36.58</v>
      </c>
      <c r="BE104" s="24">
        <f t="shared" si="26"/>
        <v>36.63666666666667</v>
      </c>
      <c r="BF104">
        <v>88.55</v>
      </c>
      <c r="BG104">
        <v>88.98</v>
      </c>
      <c r="BH104">
        <v>88.89</v>
      </c>
      <c r="BI104" s="24">
        <f t="shared" si="27"/>
        <v>88.806666666666672</v>
      </c>
      <c r="BJ104" t="s">
        <v>52</v>
      </c>
      <c r="BK104" t="s">
        <v>51</v>
      </c>
      <c r="BN104" s="9"/>
      <c r="BO104" s="12"/>
      <c r="BS104" s="9"/>
      <c r="BT104" s="12"/>
    </row>
    <row r="105" spans="1:73" x14ac:dyDescent="0.25">
      <c r="A105" t="s">
        <v>57</v>
      </c>
      <c r="B105" s="111" t="s">
        <v>1031</v>
      </c>
      <c r="C105" t="s">
        <v>207</v>
      </c>
      <c r="D105" t="s">
        <v>393</v>
      </c>
      <c r="E105">
        <v>1174</v>
      </c>
      <c r="H105" s="169" t="s">
        <v>642</v>
      </c>
      <c r="I105" t="s">
        <v>611</v>
      </c>
      <c r="K105" s="33">
        <v>3</v>
      </c>
      <c r="L105" s="10" t="s">
        <v>64</v>
      </c>
      <c r="M105">
        <v>941</v>
      </c>
      <c r="N105">
        <v>99</v>
      </c>
      <c r="O105" s="9">
        <f t="shared" si="28"/>
        <v>842</v>
      </c>
      <c r="P105">
        <v>264</v>
      </c>
      <c r="Q105">
        <v>265</v>
      </c>
      <c r="R105">
        <v>264</v>
      </c>
      <c r="S105" s="24">
        <f t="shared" si="20"/>
        <v>264.33333333333331</v>
      </c>
      <c r="T105">
        <v>139</v>
      </c>
      <c r="U105">
        <v>139</v>
      </c>
      <c r="V105">
        <v>139</v>
      </c>
      <c r="W105" s="24">
        <f t="shared" si="21"/>
        <v>139</v>
      </c>
      <c r="X105" s="36">
        <v>9.18</v>
      </c>
      <c r="Y105">
        <v>9.82</v>
      </c>
      <c r="Z105">
        <v>9.84</v>
      </c>
      <c r="AA105" s="24">
        <f t="shared" si="22"/>
        <v>9.6133333333333333</v>
      </c>
      <c r="AB105" s="37">
        <v>46.04</v>
      </c>
      <c r="AC105" s="37">
        <v>46.16</v>
      </c>
      <c r="AD105" s="37">
        <v>46.53</v>
      </c>
      <c r="AE105" s="24">
        <f t="shared" si="23"/>
        <v>46.243333333333332</v>
      </c>
      <c r="AF105" s="37">
        <v>87.55</v>
      </c>
      <c r="AG105" s="37">
        <v>87.7</v>
      </c>
      <c r="AH105" s="37">
        <v>87.85</v>
      </c>
      <c r="AI105" s="24">
        <f t="shared" si="24"/>
        <v>87.7</v>
      </c>
      <c r="AS105" t="s">
        <v>65</v>
      </c>
      <c r="AT105">
        <v>8</v>
      </c>
      <c r="AU105">
        <v>8</v>
      </c>
      <c r="AV105">
        <v>2</v>
      </c>
      <c r="AW105" s="9">
        <v>7.33</v>
      </c>
      <c r="AX105" s="35">
        <v>53.14</v>
      </c>
      <c r="AY105" s="35">
        <v>53.12</v>
      </c>
      <c r="AZ105" s="35">
        <v>53.02</v>
      </c>
      <c r="BA105" s="24">
        <f t="shared" si="25"/>
        <v>53.093333333333334</v>
      </c>
      <c r="BB105" s="35">
        <v>53.67</v>
      </c>
      <c r="BC105" s="35">
        <v>53.07</v>
      </c>
      <c r="BD105" s="35">
        <v>53.42</v>
      </c>
      <c r="BE105" s="24">
        <f t="shared" si="26"/>
        <v>53.386666666666677</v>
      </c>
      <c r="BF105" s="35">
        <v>81.09</v>
      </c>
      <c r="BG105" s="35">
        <v>81.42</v>
      </c>
      <c r="BH105" s="35">
        <v>81.430000000000007</v>
      </c>
      <c r="BI105" s="24">
        <f t="shared" si="27"/>
        <v>81.313333333333333</v>
      </c>
      <c r="BJ105" t="s">
        <v>52</v>
      </c>
      <c r="BK105" t="s">
        <v>51</v>
      </c>
      <c r="BN105" s="9"/>
      <c r="BO105" s="12"/>
      <c r="BS105" s="9"/>
      <c r="BT105" s="12"/>
    </row>
    <row r="106" spans="1:73" x14ac:dyDescent="0.25">
      <c r="A106" t="s">
        <v>57</v>
      </c>
      <c r="B106" s="111" t="s">
        <v>1038</v>
      </c>
      <c r="C106" t="s">
        <v>207</v>
      </c>
      <c r="D106" t="s">
        <v>393</v>
      </c>
      <c r="E106">
        <v>1181</v>
      </c>
      <c r="H106" s="169" t="s">
        <v>608</v>
      </c>
      <c r="I106" t="s">
        <v>88</v>
      </c>
      <c r="K106" s="33">
        <v>1</v>
      </c>
      <c r="L106" s="10" t="s">
        <v>64</v>
      </c>
      <c r="M106">
        <v>774</v>
      </c>
      <c r="N106">
        <v>96</v>
      </c>
      <c r="O106" s="9">
        <f t="shared" si="28"/>
        <v>678</v>
      </c>
      <c r="P106" s="35">
        <v>233</v>
      </c>
      <c r="Q106" s="35">
        <v>233</v>
      </c>
      <c r="R106" s="35">
        <v>232</v>
      </c>
      <c r="S106" s="24">
        <f t="shared" si="20"/>
        <v>232.66666666666666</v>
      </c>
      <c r="T106" s="35">
        <v>131</v>
      </c>
      <c r="U106" s="35">
        <v>131</v>
      </c>
      <c r="V106" s="35">
        <v>131</v>
      </c>
      <c r="W106" s="24">
        <f t="shared" si="21"/>
        <v>131</v>
      </c>
      <c r="X106" s="36">
        <v>8.2799999999999994</v>
      </c>
      <c r="Y106" s="35">
        <v>8.2899999999999991</v>
      </c>
      <c r="Z106" s="35">
        <v>8.2799999999999994</v>
      </c>
      <c r="AA106" s="24">
        <f t="shared" si="22"/>
        <v>8.2833333333333332</v>
      </c>
      <c r="AB106" s="37">
        <v>44.31</v>
      </c>
      <c r="AC106" s="37">
        <v>44.44</v>
      </c>
      <c r="AD106" s="37">
        <v>44.04</v>
      </c>
      <c r="AE106" s="24">
        <f t="shared" si="23"/>
        <v>44.263333333333328</v>
      </c>
      <c r="AF106" s="37">
        <v>81.09</v>
      </c>
      <c r="AG106" s="37">
        <v>80.62</v>
      </c>
      <c r="AH106" s="37">
        <v>80.36</v>
      </c>
      <c r="AI106" s="24">
        <f t="shared" si="24"/>
        <v>80.69</v>
      </c>
      <c r="AS106" t="s">
        <v>65</v>
      </c>
      <c r="AT106">
        <v>8</v>
      </c>
      <c r="AU106">
        <v>8</v>
      </c>
      <c r="AV106">
        <v>1</v>
      </c>
      <c r="AW106" s="9">
        <v>9.0299999999999994</v>
      </c>
      <c r="AX106" s="35">
        <v>47.88</v>
      </c>
      <c r="AY106" s="35">
        <v>47.99</v>
      </c>
      <c r="AZ106" s="35">
        <v>47.93</v>
      </c>
      <c r="BA106" s="24">
        <f t="shared" si="25"/>
        <v>47.933333333333337</v>
      </c>
      <c r="BB106" s="35">
        <v>33.72</v>
      </c>
      <c r="BC106" s="35">
        <v>33.86</v>
      </c>
      <c r="BD106" s="35">
        <v>33.35</v>
      </c>
      <c r="BE106" s="24">
        <f t="shared" si="26"/>
        <v>33.643333333333338</v>
      </c>
      <c r="BF106" s="35">
        <v>79.97</v>
      </c>
      <c r="BG106" s="35">
        <v>80.13</v>
      </c>
      <c r="BH106" s="35">
        <v>79.33</v>
      </c>
      <c r="BI106" s="24">
        <f t="shared" si="27"/>
        <v>79.81</v>
      </c>
      <c r="BJ106" t="s">
        <v>52</v>
      </c>
      <c r="BK106" t="s">
        <v>51</v>
      </c>
      <c r="BL106" t="s">
        <v>52</v>
      </c>
      <c r="BM106" t="s">
        <v>52</v>
      </c>
      <c r="BN106" t="s">
        <v>52</v>
      </c>
      <c r="BO106" s="9" t="s">
        <v>51</v>
      </c>
    </row>
    <row r="107" spans="1:73" x14ac:dyDescent="0.25">
      <c r="A107" t="s">
        <v>57</v>
      </c>
      <c r="B107" s="111" t="s">
        <v>1029</v>
      </c>
      <c r="C107" t="s">
        <v>207</v>
      </c>
      <c r="D107" t="s">
        <v>393</v>
      </c>
      <c r="E107">
        <v>1172</v>
      </c>
      <c r="H107" s="169" t="s">
        <v>608</v>
      </c>
      <c r="I107" t="s">
        <v>609</v>
      </c>
      <c r="K107" s="33">
        <v>2</v>
      </c>
      <c r="L107" s="10" t="s">
        <v>64</v>
      </c>
      <c r="M107">
        <v>903</v>
      </c>
      <c r="N107">
        <v>98</v>
      </c>
      <c r="O107" s="9">
        <f t="shared" si="28"/>
        <v>805</v>
      </c>
      <c r="P107" s="35">
        <v>267</v>
      </c>
      <c r="Q107" s="35">
        <v>266</v>
      </c>
      <c r="R107" s="35">
        <v>267</v>
      </c>
      <c r="S107" s="24">
        <f t="shared" si="20"/>
        <v>266.66666666666669</v>
      </c>
      <c r="T107" s="35">
        <v>151</v>
      </c>
      <c r="U107" s="35">
        <v>151</v>
      </c>
      <c r="V107" s="35">
        <v>150</v>
      </c>
      <c r="W107" s="24">
        <f t="shared" si="21"/>
        <v>150.66666666666666</v>
      </c>
      <c r="X107" s="36">
        <v>9.64</v>
      </c>
      <c r="Y107" s="35">
        <v>9.52</v>
      </c>
      <c r="Z107" s="35">
        <v>9.0399999999999991</v>
      </c>
      <c r="AA107" s="24">
        <f t="shared" si="22"/>
        <v>9.4</v>
      </c>
      <c r="AB107" s="37">
        <v>45.67</v>
      </c>
      <c r="AC107" s="37">
        <v>45.5</v>
      </c>
      <c r="AD107" s="37">
        <v>45.63</v>
      </c>
      <c r="AE107" s="24">
        <f t="shared" si="23"/>
        <v>45.6</v>
      </c>
      <c r="AF107" s="37">
        <v>83.96</v>
      </c>
      <c r="AG107" s="37">
        <v>83.93</v>
      </c>
      <c r="AH107" s="37">
        <v>84.06</v>
      </c>
      <c r="AI107" s="24">
        <f t="shared" si="24"/>
        <v>83.983333333333334</v>
      </c>
      <c r="AS107" t="s">
        <v>65</v>
      </c>
      <c r="AT107">
        <v>8</v>
      </c>
      <c r="AU107">
        <v>8</v>
      </c>
      <c r="AV107">
        <v>2</v>
      </c>
      <c r="AW107" s="9">
        <v>9.98</v>
      </c>
      <c r="AX107" s="35">
        <v>53.44</v>
      </c>
      <c r="AY107" s="35">
        <v>53.41</v>
      </c>
      <c r="AZ107" s="35">
        <v>53.84</v>
      </c>
      <c r="BA107" s="24">
        <f t="shared" si="25"/>
        <v>53.563333333333333</v>
      </c>
      <c r="BB107" s="35">
        <v>34.78</v>
      </c>
      <c r="BC107" s="35">
        <v>34.96</v>
      </c>
      <c r="BD107" s="35">
        <v>34.619999999999997</v>
      </c>
      <c r="BE107" s="24">
        <f t="shared" si="26"/>
        <v>34.786666666666669</v>
      </c>
      <c r="BF107">
        <v>80.650000000000006</v>
      </c>
      <c r="BG107">
        <v>80.95</v>
      </c>
      <c r="BH107">
        <v>80.92</v>
      </c>
      <c r="BI107" s="24">
        <f t="shared" si="27"/>
        <v>80.840000000000018</v>
      </c>
      <c r="BJ107" t="s">
        <v>52</v>
      </c>
      <c r="BK107" t="s">
        <v>51</v>
      </c>
      <c r="BL107" t="s">
        <v>52</v>
      </c>
      <c r="BM107" t="s">
        <v>52</v>
      </c>
      <c r="BN107" t="s">
        <v>52</v>
      </c>
      <c r="BO107" s="9" t="s">
        <v>51</v>
      </c>
    </row>
    <row r="108" spans="1:73" s="185" customFormat="1" x14ac:dyDescent="0.25">
      <c r="A108" s="185" t="s">
        <v>622</v>
      </c>
      <c r="B108" s="186"/>
      <c r="J108" s="187"/>
      <c r="K108" s="188"/>
      <c r="L108" s="189"/>
      <c r="O108" s="190"/>
      <c r="S108" s="191"/>
      <c r="W108" s="191"/>
      <c r="X108" s="192"/>
      <c r="AA108" s="191"/>
      <c r="AE108" s="191"/>
      <c r="AI108" s="191"/>
      <c r="AJ108" s="193"/>
      <c r="AK108" s="193"/>
      <c r="AL108" s="193"/>
      <c r="AM108" s="187"/>
      <c r="AN108" s="193"/>
      <c r="AO108" s="193"/>
      <c r="AP108" s="193"/>
      <c r="AQ108" s="187"/>
      <c r="AR108" s="189"/>
      <c r="AW108" s="187"/>
      <c r="BA108" s="191"/>
      <c r="BC108" s="193"/>
      <c r="BE108" s="191"/>
      <c r="BI108" s="191"/>
      <c r="BO108" s="187"/>
      <c r="BP108" s="193"/>
      <c r="BQ108" s="193"/>
      <c r="BR108" s="193"/>
      <c r="BS108" s="193"/>
      <c r="BT108" s="187"/>
    </row>
    <row r="109" spans="1:73" x14ac:dyDescent="0.25">
      <c r="A109" t="s">
        <v>57</v>
      </c>
      <c r="B109" s="111" t="s">
        <v>282</v>
      </c>
      <c r="C109" t="s">
        <v>207</v>
      </c>
      <c r="D109" t="s">
        <v>615</v>
      </c>
      <c r="E109">
        <v>1171</v>
      </c>
      <c r="H109" s="169" t="s">
        <v>616</v>
      </c>
      <c r="I109" t="s">
        <v>617</v>
      </c>
      <c r="K109" s="34" t="s">
        <v>66</v>
      </c>
      <c r="L109" s="10" t="s">
        <v>64</v>
      </c>
      <c r="M109">
        <v>967</v>
      </c>
      <c r="N109">
        <v>97</v>
      </c>
      <c r="O109" s="9">
        <f t="shared" ref="O109:O140" si="29">M109-N109</f>
        <v>870</v>
      </c>
      <c r="P109" s="35">
        <v>260</v>
      </c>
      <c r="Q109" s="35">
        <v>260</v>
      </c>
      <c r="R109" s="35">
        <v>259</v>
      </c>
      <c r="S109" s="24">
        <f t="shared" ref="S109:S140" si="30">AVERAGE(P109:R109)</f>
        <v>259.66666666666669</v>
      </c>
      <c r="T109" s="35">
        <v>58</v>
      </c>
      <c r="U109" s="35">
        <v>58</v>
      </c>
      <c r="V109" s="35">
        <v>58</v>
      </c>
      <c r="W109" s="24">
        <f t="shared" ref="W109:W140" si="31">AVERAGE(T109:V109)</f>
        <v>58</v>
      </c>
      <c r="X109" s="36">
        <v>11.44</v>
      </c>
      <c r="Y109" s="35">
        <v>10.88</v>
      </c>
      <c r="Z109" s="35">
        <v>11.05</v>
      </c>
      <c r="AA109" s="24">
        <f t="shared" ref="AA109:AA140" si="32">AVERAGE(X109:Z109)</f>
        <v>11.123333333333335</v>
      </c>
      <c r="AB109" s="37">
        <v>45.82</v>
      </c>
      <c r="AC109" s="37">
        <v>45.68</v>
      </c>
      <c r="AD109" s="37">
        <v>45.8</v>
      </c>
      <c r="AE109" s="24">
        <f t="shared" ref="AE109:AE140" si="33">AVERAGE(AB109:AD109)</f>
        <v>45.766666666666673</v>
      </c>
      <c r="AF109" s="37">
        <v>86</v>
      </c>
      <c r="AG109" s="37">
        <v>85.48</v>
      </c>
      <c r="AH109" s="37">
        <v>85.9</v>
      </c>
      <c r="AI109" s="24">
        <f t="shared" ref="AI109:AI140" si="34">AVERAGE(AF109:AH109)</f>
        <v>85.793333333333337</v>
      </c>
      <c r="AS109" t="s">
        <v>65</v>
      </c>
      <c r="AV109">
        <v>2</v>
      </c>
      <c r="AW109" s="9">
        <v>14.2</v>
      </c>
      <c r="AX109" s="35">
        <v>52.94</v>
      </c>
      <c r="AY109" s="35">
        <v>55.24</v>
      </c>
      <c r="AZ109" s="35">
        <v>52.84</v>
      </c>
      <c r="BA109" s="24">
        <f t="shared" ref="BA109:BA140" si="35">AVERAGE(AX109:AZ109)</f>
        <v>53.673333333333339</v>
      </c>
      <c r="BB109" s="35">
        <v>29.73</v>
      </c>
      <c r="BC109" s="35">
        <v>29.1</v>
      </c>
      <c r="BD109" s="35">
        <v>29.12</v>
      </c>
      <c r="BE109" s="24">
        <f t="shared" ref="BE109:BE140" si="36">AVERAGE(BB109:BD109)</f>
        <v>29.316666666666666</v>
      </c>
      <c r="BF109" s="35">
        <v>83.45</v>
      </c>
      <c r="BG109" s="35">
        <v>82.4</v>
      </c>
      <c r="BH109" s="35">
        <v>82.12</v>
      </c>
      <c r="BI109" s="24">
        <f t="shared" ref="BI109:BI140" si="37">AVERAGE(BF109:BH109)</f>
        <v>82.65666666666668</v>
      </c>
      <c r="BJ109" t="s">
        <v>51</v>
      </c>
      <c r="BK109" t="s">
        <v>51</v>
      </c>
      <c r="BL109" t="s">
        <v>52</v>
      </c>
      <c r="BM109" t="s">
        <v>52</v>
      </c>
      <c r="BN109" t="s">
        <v>52</v>
      </c>
      <c r="BO109" s="9" t="s">
        <v>51</v>
      </c>
    </row>
    <row r="110" spans="1:73" x14ac:dyDescent="0.25">
      <c r="A110" t="s">
        <v>57</v>
      </c>
      <c r="B110" s="111" t="s">
        <v>1055</v>
      </c>
      <c r="C110" t="s">
        <v>207</v>
      </c>
      <c r="D110" t="s">
        <v>615</v>
      </c>
      <c r="E110">
        <v>1006</v>
      </c>
      <c r="H110" s="169" t="s">
        <v>619</v>
      </c>
      <c r="I110" t="s">
        <v>618</v>
      </c>
      <c r="K110" s="33">
        <v>3</v>
      </c>
      <c r="L110" s="10" t="s">
        <v>64</v>
      </c>
      <c r="M110">
        <v>863</v>
      </c>
      <c r="N110">
        <v>95</v>
      </c>
      <c r="O110" s="9">
        <f t="shared" si="29"/>
        <v>768</v>
      </c>
      <c r="P110" s="35">
        <v>260</v>
      </c>
      <c r="Q110" s="35">
        <v>259</v>
      </c>
      <c r="R110" s="35">
        <v>259</v>
      </c>
      <c r="S110" s="24">
        <f t="shared" si="30"/>
        <v>259.33333333333331</v>
      </c>
      <c r="T110" s="35">
        <v>161</v>
      </c>
      <c r="U110" s="35">
        <v>160</v>
      </c>
      <c r="V110" s="35">
        <v>160</v>
      </c>
      <c r="W110" s="24">
        <f t="shared" si="31"/>
        <v>160.33333333333334</v>
      </c>
      <c r="X110" s="36">
        <v>10.26</v>
      </c>
      <c r="Y110" s="35">
        <v>10.66</v>
      </c>
      <c r="Z110" s="35">
        <v>10.7</v>
      </c>
      <c r="AA110" s="24">
        <f t="shared" si="32"/>
        <v>10.540000000000001</v>
      </c>
      <c r="AB110" s="37">
        <v>43.98</v>
      </c>
      <c r="AC110" s="37">
        <v>44.28</v>
      </c>
      <c r="AD110" s="37">
        <v>44.08</v>
      </c>
      <c r="AE110" s="24">
        <f t="shared" si="33"/>
        <v>44.113333333333323</v>
      </c>
      <c r="AF110" s="37">
        <v>82.69</v>
      </c>
      <c r="AG110" s="37">
        <v>82.38</v>
      </c>
      <c r="AH110" s="37">
        <v>82.26</v>
      </c>
      <c r="AI110" s="24">
        <f t="shared" si="34"/>
        <v>82.443333333333328</v>
      </c>
      <c r="AS110" t="s">
        <v>65</v>
      </c>
      <c r="AU110">
        <v>2</v>
      </c>
      <c r="AV110">
        <v>0</v>
      </c>
      <c r="AX110" s="35">
        <v>53.59</v>
      </c>
      <c r="AY110" s="35">
        <v>53.94</v>
      </c>
      <c r="AZ110" s="35">
        <v>53.72</v>
      </c>
      <c r="BA110" s="24">
        <f t="shared" si="35"/>
        <v>53.75</v>
      </c>
      <c r="BB110" s="35">
        <v>33.47</v>
      </c>
      <c r="BC110" s="35">
        <v>32.89</v>
      </c>
      <c r="BD110" s="35">
        <v>33.46</v>
      </c>
      <c r="BE110" s="24">
        <f t="shared" si="36"/>
        <v>33.273333333333333</v>
      </c>
      <c r="BF110" s="35">
        <v>83.79</v>
      </c>
      <c r="BG110" s="35">
        <v>83.51</v>
      </c>
      <c r="BH110" s="35">
        <v>83.54</v>
      </c>
      <c r="BI110" s="24">
        <f t="shared" si="37"/>
        <v>83.613333333333344</v>
      </c>
      <c r="BJ110" t="s">
        <v>51</v>
      </c>
      <c r="BK110" t="s">
        <v>51</v>
      </c>
    </row>
    <row r="111" spans="1:73" x14ac:dyDescent="0.25">
      <c r="A111" t="s">
        <v>57</v>
      </c>
      <c r="B111" s="111" t="s">
        <v>1021</v>
      </c>
      <c r="C111" t="s">
        <v>207</v>
      </c>
      <c r="D111" t="s">
        <v>615</v>
      </c>
      <c r="E111">
        <v>1143</v>
      </c>
      <c r="H111" s="205" t="s">
        <v>641</v>
      </c>
      <c r="I111" t="s">
        <v>255</v>
      </c>
      <c r="K111" s="33">
        <v>2</v>
      </c>
      <c r="L111" s="10" t="s">
        <v>64</v>
      </c>
      <c r="M111">
        <v>785</v>
      </c>
      <c r="N111">
        <v>96</v>
      </c>
      <c r="O111" s="9">
        <f t="shared" si="29"/>
        <v>689</v>
      </c>
      <c r="P111" s="35">
        <v>240</v>
      </c>
      <c r="Q111" s="35">
        <v>240</v>
      </c>
      <c r="R111" s="35">
        <v>239</v>
      </c>
      <c r="S111" s="24">
        <f t="shared" si="30"/>
        <v>239.66666666666666</v>
      </c>
      <c r="T111" s="35">
        <v>151</v>
      </c>
      <c r="U111" s="35">
        <v>150</v>
      </c>
      <c r="V111" s="35">
        <v>149</v>
      </c>
      <c r="W111" s="24">
        <f t="shared" si="31"/>
        <v>150</v>
      </c>
      <c r="X111" s="36">
        <v>9.48</v>
      </c>
      <c r="Y111" s="35">
        <v>9.77</v>
      </c>
      <c r="Z111" s="35">
        <v>9.7200000000000006</v>
      </c>
      <c r="AA111" s="24">
        <f t="shared" si="32"/>
        <v>9.6566666666666663</v>
      </c>
      <c r="AB111" s="37">
        <v>43.62</v>
      </c>
      <c r="AC111" s="37">
        <v>43.64</v>
      </c>
      <c r="AD111" s="37">
        <v>43.45</v>
      </c>
      <c r="AE111" s="24">
        <f t="shared" si="33"/>
        <v>43.569999999999993</v>
      </c>
      <c r="AF111" s="37">
        <v>78.290000000000006</v>
      </c>
      <c r="AG111" s="37">
        <v>78.34</v>
      </c>
      <c r="AH111" s="37">
        <v>78.260000000000005</v>
      </c>
      <c r="AI111" s="24">
        <f t="shared" si="34"/>
        <v>78.296666666666667</v>
      </c>
      <c r="AS111" t="s">
        <v>65</v>
      </c>
      <c r="AW111" s="9" t="s">
        <v>620</v>
      </c>
      <c r="AX111" s="35">
        <v>49.14</v>
      </c>
      <c r="AY111" s="35">
        <v>48.85</v>
      </c>
      <c r="AZ111" s="35">
        <v>48.23</v>
      </c>
      <c r="BA111" s="24">
        <f t="shared" si="35"/>
        <v>48.74</v>
      </c>
      <c r="BB111" s="35">
        <v>30.86</v>
      </c>
      <c r="BC111" s="35">
        <v>31.14</v>
      </c>
      <c r="BD111" s="35">
        <v>31.24</v>
      </c>
      <c r="BE111" s="24">
        <f t="shared" si="36"/>
        <v>31.08</v>
      </c>
      <c r="BF111" s="35">
        <v>76.25</v>
      </c>
      <c r="BG111" s="35">
        <v>76.09</v>
      </c>
      <c r="BH111" s="35">
        <v>76.290000000000006</v>
      </c>
      <c r="BI111" s="24">
        <f t="shared" si="37"/>
        <v>76.209999999999994</v>
      </c>
      <c r="BJ111" t="s">
        <v>51</v>
      </c>
      <c r="BK111" t="s">
        <v>51</v>
      </c>
      <c r="BO111" s="9" t="s">
        <v>51</v>
      </c>
    </row>
    <row r="112" spans="1:73" x14ac:dyDescent="0.25">
      <c r="A112" t="s">
        <v>57</v>
      </c>
      <c r="B112" s="111" t="s">
        <v>1056</v>
      </c>
      <c r="C112" t="s">
        <v>207</v>
      </c>
      <c r="D112" t="s">
        <v>615</v>
      </c>
      <c r="E112">
        <v>1007</v>
      </c>
      <c r="H112" s="205" t="s">
        <v>641</v>
      </c>
      <c r="I112" t="s">
        <v>231</v>
      </c>
      <c r="K112" s="33">
        <v>2</v>
      </c>
      <c r="L112" s="10" t="s">
        <v>64</v>
      </c>
      <c r="M112">
        <v>773</v>
      </c>
      <c r="N112">
        <v>91</v>
      </c>
      <c r="O112" s="9">
        <f t="shared" si="29"/>
        <v>682</v>
      </c>
      <c r="P112" s="35">
        <v>230</v>
      </c>
      <c r="Q112" s="35">
        <v>231</v>
      </c>
      <c r="R112" s="35">
        <v>230</v>
      </c>
      <c r="S112" s="24">
        <f t="shared" si="30"/>
        <v>230.33333333333334</v>
      </c>
      <c r="T112" s="35">
        <v>151</v>
      </c>
      <c r="U112" s="35">
        <v>151</v>
      </c>
      <c r="V112" s="35">
        <v>150</v>
      </c>
      <c r="W112" s="24">
        <f t="shared" si="31"/>
        <v>150.66666666666666</v>
      </c>
      <c r="X112" s="36">
        <v>9.75</v>
      </c>
      <c r="Y112" s="35">
        <v>9.58</v>
      </c>
      <c r="Z112" s="35">
        <v>9.4499999999999993</v>
      </c>
      <c r="AA112" s="24">
        <f t="shared" si="32"/>
        <v>9.5933333333333319</v>
      </c>
      <c r="AB112" s="37">
        <v>42.67</v>
      </c>
      <c r="AC112" s="37">
        <v>42.91</v>
      </c>
      <c r="AD112" s="37">
        <v>42.88</v>
      </c>
      <c r="AE112" s="24">
        <f t="shared" si="33"/>
        <v>42.82</v>
      </c>
      <c r="AF112" s="37">
        <v>78.84</v>
      </c>
      <c r="AG112" s="37">
        <v>78.84</v>
      </c>
      <c r="AH112" s="37">
        <v>78.790000000000006</v>
      </c>
      <c r="AI112" s="24">
        <f t="shared" si="34"/>
        <v>78.823333333333338</v>
      </c>
      <c r="AS112" t="s">
        <v>65</v>
      </c>
      <c r="AW112" s="9">
        <v>12.52</v>
      </c>
      <c r="AX112" s="35">
        <v>46.91</v>
      </c>
      <c r="AY112" s="35">
        <v>46.86</v>
      </c>
      <c r="AZ112" s="35">
        <v>46.8</v>
      </c>
      <c r="BA112" s="24">
        <f t="shared" si="35"/>
        <v>46.856666666666662</v>
      </c>
      <c r="BB112" s="35">
        <v>32.200000000000003</v>
      </c>
      <c r="BC112" s="35">
        <v>32.11</v>
      </c>
      <c r="BD112" s="35">
        <v>32.270000000000003</v>
      </c>
      <c r="BE112" s="24">
        <f t="shared" si="36"/>
        <v>32.193333333333335</v>
      </c>
      <c r="BF112" s="35">
        <v>79.150000000000006</v>
      </c>
      <c r="BG112" s="35">
        <v>78.75</v>
      </c>
      <c r="BH112" s="35">
        <v>79.760000000000005</v>
      </c>
      <c r="BI112" s="24">
        <f t="shared" si="37"/>
        <v>79.220000000000013</v>
      </c>
      <c r="BJ112" t="s">
        <v>51</v>
      </c>
      <c r="BK112" t="s">
        <v>51</v>
      </c>
      <c r="BO112" s="9" t="s">
        <v>51</v>
      </c>
    </row>
    <row r="113" spans="1:74" x14ac:dyDescent="0.25">
      <c r="A113" t="s">
        <v>57</v>
      </c>
      <c r="B113" s="111" t="s">
        <v>1043</v>
      </c>
      <c r="C113" t="s">
        <v>207</v>
      </c>
      <c r="D113" t="s">
        <v>615</v>
      </c>
      <c r="E113">
        <v>1192</v>
      </c>
      <c r="H113" s="205" t="s">
        <v>641</v>
      </c>
      <c r="I113" t="s">
        <v>83</v>
      </c>
      <c r="K113" s="33">
        <v>2</v>
      </c>
      <c r="L113" s="10" t="s">
        <v>50</v>
      </c>
      <c r="M113">
        <v>914</v>
      </c>
      <c r="N113">
        <v>94</v>
      </c>
      <c r="O113" s="9">
        <f t="shared" si="29"/>
        <v>820</v>
      </c>
      <c r="P113" s="35">
        <v>252</v>
      </c>
      <c r="Q113" s="35">
        <v>253</v>
      </c>
      <c r="R113" s="35">
        <v>253</v>
      </c>
      <c r="S113" s="24">
        <f t="shared" si="30"/>
        <v>252.66666666666666</v>
      </c>
      <c r="T113" s="35">
        <v>162</v>
      </c>
      <c r="U113" s="35">
        <v>161</v>
      </c>
      <c r="V113" s="35">
        <v>161</v>
      </c>
      <c r="W113" s="24">
        <f t="shared" si="31"/>
        <v>161.33333333333334</v>
      </c>
      <c r="X113" s="36">
        <v>10.64</v>
      </c>
      <c r="Y113" s="35">
        <v>10.130000000000001</v>
      </c>
      <c r="Z113" s="35">
        <v>10.62</v>
      </c>
      <c r="AA113" s="24">
        <f t="shared" si="32"/>
        <v>10.463333333333333</v>
      </c>
      <c r="AB113" s="37">
        <v>48.53</v>
      </c>
      <c r="AC113" s="37">
        <v>48.55</v>
      </c>
      <c r="AD113" s="37">
        <v>48.51</v>
      </c>
      <c r="AE113" s="24">
        <f t="shared" si="33"/>
        <v>48.53</v>
      </c>
      <c r="AF113" s="37">
        <v>85.97</v>
      </c>
      <c r="AG113" s="37">
        <v>85.55</v>
      </c>
      <c r="AH113" s="37">
        <v>85.62</v>
      </c>
      <c r="AI113" s="24">
        <f t="shared" si="34"/>
        <v>85.713333333333324</v>
      </c>
      <c r="AJ113" s="37">
        <v>32.79</v>
      </c>
      <c r="AK113" s="37">
        <v>32.840000000000003</v>
      </c>
      <c r="AL113" s="37">
        <v>32.92</v>
      </c>
      <c r="AM113" s="24">
        <f>AVERAGE(AJ113:AL113)</f>
        <v>32.85</v>
      </c>
      <c r="AN113" s="37">
        <v>22.9</v>
      </c>
      <c r="AO113" s="37">
        <v>22.31</v>
      </c>
      <c r="AP113" s="37">
        <v>22.76</v>
      </c>
      <c r="AQ113" s="24">
        <f>AVERAGE(AN113:AP113)</f>
        <v>22.656666666666666</v>
      </c>
      <c r="AX113" s="35">
        <v>55.18</v>
      </c>
      <c r="AY113" s="35">
        <v>55.16</v>
      </c>
      <c r="AZ113" s="35">
        <v>54.66</v>
      </c>
      <c r="BA113" s="24">
        <f t="shared" si="35"/>
        <v>55</v>
      </c>
      <c r="BB113" s="35">
        <v>32.6</v>
      </c>
      <c r="BC113" s="35">
        <v>32.03</v>
      </c>
      <c r="BD113" s="35">
        <v>31.88</v>
      </c>
      <c r="BE113" s="24">
        <f t="shared" si="36"/>
        <v>32.169999999999995</v>
      </c>
      <c r="BF113" s="35">
        <v>81.81</v>
      </c>
      <c r="BG113" s="35">
        <v>82.74</v>
      </c>
      <c r="BH113" s="35">
        <v>82.12</v>
      </c>
      <c r="BI113" s="24">
        <f t="shared" si="37"/>
        <v>82.223333333333343</v>
      </c>
      <c r="BJ113" t="s">
        <v>51</v>
      </c>
      <c r="BK113" t="s">
        <v>51</v>
      </c>
      <c r="BO113" s="9" t="s">
        <v>51</v>
      </c>
      <c r="BU113" t="s">
        <v>621</v>
      </c>
    </row>
    <row r="114" spans="1:74" x14ac:dyDescent="0.25">
      <c r="A114" t="s">
        <v>57</v>
      </c>
      <c r="B114" s="111" t="s">
        <v>1020</v>
      </c>
      <c r="C114" t="s">
        <v>207</v>
      </c>
      <c r="D114" t="s">
        <v>615</v>
      </c>
      <c r="E114">
        <v>1139</v>
      </c>
      <c r="H114" s="205" t="s">
        <v>641</v>
      </c>
      <c r="I114" t="s">
        <v>67</v>
      </c>
      <c r="K114" s="33">
        <v>3</v>
      </c>
      <c r="L114" s="10" t="s">
        <v>50</v>
      </c>
      <c r="M114">
        <v>1034</v>
      </c>
      <c r="N114">
        <v>93</v>
      </c>
      <c r="O114" s="9">
        <f t="shared" si="29"/>
        <v>941</v>
      </c>
      <c r="P114" s="35">
        <v>280</v>
      </c>
      <c r="Q114" s="35">
        <v>281</v>
      </c>
      <c r="R114" s="35">
        <v>281</v>
      </c>
      <c r="S114" s="24">
        <f t="shared" si="30"/>
        <v>280.66666666666669</v>
      </c>
      <c r="T114" s="35">
        <v>175</v>
      </c>
      <c r="U114" s="35">
        <v>175</v>
      </c>
      <c r="V114" s="35">
        <v>174</v>
      </c>
      <c r="W114" s="24">
        <f t="shared" si="31"/>
        <v>174.66666666666666</v>
      </c>
      <c r="X114" s="36">
        <v>11.74</v>
      </c>
      <c r="Y114" s="35">
        <v>11.16</v>
      </c>
      <c r="Z114" s="35">
        <v>11.02</v>
      </c>
      <c r="AA114" s="24">
        <f t="shared" si="32"/>
        <v>11.306666666666667</v>
      </c>
      <c r="AB114" s="37">
        <v>46.85</v>
      </c>
      <c r="AC114" s="37">
        <v>47.09</v>
      </c>
      <c r="AD114" s="37">
        <v>47.06</v>
      </c>
      <c r="AE114" s="24">
        <f t="shared" si="33"/>
        <v>47</v>
      </c>
      <c r="AF114" s="37">
        <v>91.6</v>
      </c>
      <c r="AG114" s="37">
        <v>91.3</v>
      </c>
      <c r="AH114" s="37">
        <v>91.89</v>
      </c>
      <c r="AI114" s="24">
        <f t="shared" si="34"/>
        <v>91.59666666666665</v>
      </c>
      <c r="AJ114" s="37">
        <v>31.34</v>
      </c>
      <c r="AK114" s="37">
        <v>32.06</v>
      </c>
      <c r="AL114" s="37">
        <v>32.159999999999997</v>
      </c>
      <c r="AM114" s="24">
        <f>AVERAGE(AJ114:AL114)</f>
        <v>31.853333333333335</v>
      </c>
      <c r="AN114" s="37">
        <v>22.38</v>
      </c>
      <c r="AO114" s="37">
        <v>22.89</v>
      </c>
      <c r="AP114" s="37">
        <v>22.39</v>
      </c>
      <c r="AQ114" s="24">
        <f>AVERAGE(AN114:AP114)</f>
        <v>22.553333333333331</v>
      </c>
      <c r="AX114" s="35">
        <v>58.55</v>
      </c>
      <c r="AY114" s="35">
        <v>58.07</v>
      </c>
      <c r="AZ114" s="35">
        <v>57.97</v>
      </c>
      <c r="BA114" s="24">
        <f t="shared" si="35"/>
        <v>58.196666666666665</v>
      </c>
      <c r="BB114" s="35">
        <v>31.3</v>
      </c>
      <c r="BC114" s="35">
        <v>31.52</v>
      </c>
      <c r="BD114" s="35">
        <v>31.13</v>
      </c>
      <c r="BE114" s="24">
        <f t="shared" si="36"/>
        <v>31.316666666666666</v>
      </c>
      <c r="BF114" s="35">
        <v>86.65</v>
      </c>
      <c r="BG114" s="35">
        <v>87.2</v>
      </c>
      <c r="BH114" s="35">
        <v>86.89</v>
      </c>
      <c r="BI114" s="24">
        <f t="shared" si="37"/>
        <v>86.913333333333341</v>
      </c>
      <c r="BJ114" t="s">
        <v>51</v>
      </c>
      <c r="BK114" t="s">
        <v>51</v>
      </c>
      <c r="BO114" s="9" t="s">
        <v>51</v>
      </c>
      <c r="BU114" t="s">
        <v>621</v>
      </c>
    </row>
    <row r="115" spans="1:74" x14ac:dyDescent="0.25">
      <c r="A115" t="s">
        <v>57</v>
      </c>
      <c r="B115" s="111" t="s">
        <v>604</v>
      </c>
      <c r="C115" t="s">
        <v>207</v>
      </c>
      <c r="D115" t="s">
        <v>615</v>
      </c>
      <c r="E115">
        <v>1099</v>
      </c>
      <c r="H115" s="205" t="s">
        <v>643</v>
      </c>
      <c r="I115" t="s">
        <v>623</v>
      </c>
      <c r="K115" s="33">
        <v>2</v>
      </c>
      <c r="L115" s="10" t="s">
        <v>64</v>
      </c>
      <c r="M115">
        <v>703</v>
      </c>
      <c r="N115">
        <v>92</v>
      </c>
      <c r="O115" s="9">
        <f t="shared" si="29"/>
        <v>611</v>
      </c>
      <c r="P115" s="35">
        <v>230</v>
      </c>
      <c r="Q115" s="35">
        <v>231</v>
      </c>
      <c r="R115" s="35">
        <v>230</v>
      </c>
      <c r="S115" s="24">
        <f t="shared" si="30"/>
        <v>230.33333333333334</v>
      </c>
      <c r="T115" s="35">
        <v>0</v>
      </c>
      <c r="U115" s="35">
        <v>0</v>
      </c>
      <c r="V115" s="35">
        <v>0</v>
      </c>
      <c r="W115" s="24">
        <f t="shared" si="31"/>
        <v>0</v>
      </c>
      <c r="X115" s="35">
        <v>0</v>
      </c>
      <c r="Y115" s="35">
        <v>0</v>
      </c>
      <c r="Z115" s="35">
        <v>0</v>
      </c>
      <c r="AA115" s="24">
        <f t="shared" si="32"/>
        <v>0</v>
      </c>
      <c r="AB115" s="37">
        <v>44.37</v>
      </c>
      <c r="AC115" s="37">
        <v>44.46</v>
      </c>
      <c r="AD115" s="37">
        <v>43.86</v>
      </c>
      <c r="AE115" s="24">
        <f t="shared" si="33"/>
        <v>44.23</v>
      </c>
      <c r="AF115" s="37">
        <v>77.540000000000006</v>
      </c>
      <c r="AG115" s="37">
        <v>77.55</v>
      </c>
      <c r="AH115" s="37">
        <v>77.569999999999993</v>
      </c>
      <c r="AI115" s="24">
        <f t="shared" si="34"/>
        <v>77.553333333333327</v>
      </c>
      <c r="AS115" t="s">
        <v>65</v>
      </c>
      <c r="AU115">
        <v>2</v>
      </c>
      <c r="AV115">
        <v>2</v>
      </c>
      <c r="AW115" s="9">
        <v>22.44</v>
      </c>
      <c r="AX115" s="35">
        <v>46.93</v>
      </c>
      <c r="AY115" s="35">
        <v>47.2</v>
      </c>
      <c r="AZ115" s="35">
        <v>47.18</v>
      </c>
      <c r="BA115" s="24">
        <f t="shared" si="35"/>
        <v>47.103333333333332</v>
      </c>
      <c r="BB115" s="35">
        <v>30.82</v>
      </c>
      <c r="BC115" s="35">
        <v>31.21</v>
      </c>
      <c r="BD115" s="35">
        <v>31.05</v>
      </c>
      <c r="BE115" s="24">
        <f t="shared" si="36"/>
        <v>31.026666666666667</v>
      </c>
      <c r="BF115" s="35">
        <v>82.26</v>
      </c>
      <c r="BG115" s="35">
        <v>81.77</v>
      </c>
      <c r="BH115" s="35">
        <v>81.790000000000006</v>
      </c>
      <c r="BI115" s="24">
        <f t="shared" si="37"/>
        <v>81.94</v>
      </c>
      <c r="BJ115" t="s">
        <v>51</v>
      </c>
      <c r="BK115" t="s">
        <v>51</v>
      </c>
      <c r="BU115" t="s">
        <v>624</v>
      </c>
    </row>
    <row r="116" spans="1:74" x14ac:dyDescent="0.25">
      <c r="A116" t="s">
        <v>57</v>
      </c>
      <c r="B116" s="111" t="s">
        <v>1045</v>
      </c>
      <c r="C116" t="s">
        <v>207</v>
      </c>
      <c r="D116" t="s">
        <v>615</v>
      </c>
      <c r="E116">
        <v>1194</v>
      </c>
      <c r="H116" s="205" t="s">
        <v>643</v>
      </c>
      <c r="I116" t="s">
        <v>605</v>
      </c>
      <c r="K116" s="33">
        <v>2</v>
      </c>
      <c r="L116" s="10" t="s">
        <v>64</v>
      </c>
      <c r="M116">
        <v>1075</v>
      </c>
      <c r="N116">
        <v>94</v>
      </c>
      <c r="O116" s="9">
        <f t="shared" si="29"/>
        <v>981</v>
      </c>
      <c r="P116" s="35">
        <v>264</v>
      </c>
      <c r="Q116" s="35">
        <v>264</v>
      </c>
      <c r="R116" s="35">
        <v>263</v>
      </c>
      <c r="S116" s="24">
        <f t="shared" si="30"/>
        <v>263.66666666666669</v>
      </c>
      <c r="T116" s="35">
        <v>0</v>
      </c>
      <c r="U116" s="35">
        <v>0</v>
      </c>
      <c r="V116" s="35">
        <v>0</v>
      </c>
      <c r="W116" s="24">
        <f t="shared" si="31"/>
        <v>0</v>
      </c>
      <c r="X116" s="35">
        <v>0</v>
      </c>
      <c r="Y116" s="35">
        <v>0</v>
      </c>
      <c r="Z116" s="35">
        <v>0</v>
      </c>
      <c r="AA116" s="24">
        <f t="shared" si="32"/>
        <v>0</v>
      </c>
      <c r="AB116" s="37">
        <v>47.55</v>
      </c>
      <c r="AC116" s="37">
        <v>47.08</v>
      </c>
      <c r="AD116" s="37">
        <v>47.06</v>
      </c>
      <c r="AE116" s="24">
        <f t="shared" si="33"/>
        <v>47.23</v>
      </c>
      <c r="AF116" s="37">
        <v>82.74</v>
      </c>
      <c r="AG116" s="37">
        <v>83.1</v>
      </c>
      <c r="AH116" s="37">
        <v>82.79</v>
      </c>
      <c r="AI116" s="24">
        <f t="shared" si="34"/>
        <v>82.876666666666665</v>
      </c>
      <c r="AS116" t="s">
        <v>65</v>
      </c>
      <c r="AU116">
        <v>4</v>
      </c>
      <c r="AV116">
        <v>4</v>
      </c>
      <c r="AW116" s="9">
        <v>14.04</v>
      </c>
      <c r="AX116" s="35">
        <v>56.78</v>
      </c>
      <c r="AY116" s="35">
        <v>56.77</v>
      </c>
      <c r="AZ116" s="35">
        <v>56.91</v>
      </c>
      <c r="BA116" s="24">
        <f t="shared" si="35"/>
        <v>56.82</v>
      </c>
      <c r="BB116" s="35">
        <v>33.61</v>
      </c>
      <c r="BC116" s="35">
        <v>33.700000000000003</v>
      </c>
      <c r="BD116" s="35">
        <v>33.94</v>
      </c>
      <c r="BE116" s="24">
        <f t="shared" si="36"/>
        <v>33.75</v>
      </c>
      <c r="BF116" s="35">
        <v>88.66</v>
      </c>
      <c r="BG116" s="35">
        <v>88.76</v>
      </c>
      <c r="BH116" s="35">
        <v>89.04</v>
      </c>
      <c r="BI116" s="24">
        <f t="shared" si="37"/>
        <v>88.820000000000007</v>
      </c>
      <c r="BJ116" t="s">
        <v>52</v>
      </c>
      <c r="BK116" t="s">
        <v>51</v>
      </c>
    </row>
    <row r="117" spans="1:74" x14ac:dyDescent="0.25">
      <c r="A117" t="s">
        <v>57</v>
      </c>
      <c r="B117" s="111" t="s">
        <v>1069</v>
      </c>
      <c r="C117" t="s">
        <v>49</v>
      </c>
      <c r="D117" t="s">
        <v>615</v>
      </c>
      <c r="E117">
        <v>1059</v>
      </c>
      <c r="H117" s="205" t="s">
        <v>643</v>
      </c>
      <c r="I117" t="s">
        <v>94</v>
      </c>
      <c r="K117" s="33">
        <v>3</v>
      </c>
      <c r="L117" s="10" t="s">
        <v>50</v>
      </c>
      <c r="M117">
        <v>1275</v>
      </c>
      <c r="N117">
        <v>93</v>
      </c>
      <c r="O117" s="9">
        <f t="shared" si="29"/>
        <v>1182</v>
      </c>
      <c r="P117" s="35">
        <v>300</v>
      </c>
      <c r="Q117" s="35">
        <v>306</v>
      </c>
      <c r="R117" s="35">
        <v>306</v>
      </c>
      <c r="S117" s="24">
        <f t="shared" si="30"/>
        <v>304</v>
      </c>
      <c r="T117" s="35">
        <v>129</v>
      </c>
      <c r="U117" s="35">
        <v>130</v>
      </c>
      <c r="V117" s="35">
        <v>130</v>
      </c>
      <c r="W117" s="24">
        <f t="shared" si="31"/>
        <v>129.66666666666666</v>
      </c>
      <c r="X117" s="36">
        <v>13.76</v>
      </c>
      <c r="Y117" s="35">
        <v>14.41</v>
      </c>
      <c r="Z117" s="35">
        <v>13.96</v>
      </c>
      <c r="AA117" s="24">
        <f t="shared" si="32"/>
        <v>14.043333333333335</v>
      </c>
      <c r="AB117" s="37">
        <v>50.03</v>
      </c>
      <c r="AC117">
        <v>50</v>
      </c>
      <c r="AD117" s="37">
        <v>50.19</v>
      </c>
      <c r="AE117" s="24">
        <f t="shared" si="33"/>
        <v>50.073333333333331</v>
      </c>
      <c r="AF117" s="37">
        <v>94.19</v>
      </c>
      <c r="AG117" s="37">
        <v>94.42</v>
      </c>
      <c r="AH117" s="37">
        <v>94.54</v>
      </c>
      <c r="AI117" s="24">
        <f t="shared" si="34"/>
        <v>94.38333333333334</v>
      </c>
      <c r="AJ117" s="37">
        <v>32.14</v>
      </c>
      <c r="AK117" s="37">
        <v>31.36</v>
      </c>
      <c r="AL117" s="37">
        <v>32.69</v>
      </c>
      <c r="AM117" s="24">
        <f>AVERAGE(AJ117:AL117)</f>
        <v>32.063333333333333</v>
      </c>
      <c r="AN117" s="37">
        <v>23.12</v>
      </c>
      <c r="AO117" s="37">
        <v>22.64</v>
      </c>
      <c r="AP117" s="37">
        <v>23.04</v>
      </c>
      <c r="AQ117" s="24">
        <f>AVERAGE(AN117:AP117)</f>
        <v>22.933333333333337</v>
      </c>
      <c r="AX117" s="35">
        <v>56.6</v>
      </c>
      <c r="AY117" s="35">
        <v>56.76</v>
      </c>
      <c r="AZ117" s="35">
        <v>56.83</v>
      </c>
      <c r="BA117" s="24">
        <f t="shared" si="35"/>
        <v>56.73</v>
      </c>
      <c r="BB117" s="35">
        <v>33.46</v>
      </c>
      <c r="BC117" s="35">
        <v>33.770000000000003</v>
      </c>
      <c r="BD117" s="35">
        <v>34</v>
      </c>
      <c r="BE117" s="24">
        <f t="shared" si="36"/>
        <v>33.743333333333332</v>
      </c>
      <c r="BF117" s="35">
        <v>89.69</v>
      </c>
      <c r="BG117" s="35">
        <v>89.99</v>
      </c>
      <c r="BH117" s="35">
        <v>89.83</v>
      </c>
      <c r="BI117" s="24">
        <f t="shared" si="37"/>
        <v>89.836666666666659</v>
      </c>
      <c r="BJ117" t="s">
        <v>51</v>
      </c>
      <c r="BK117" t="s">
        <v>51</v>
      </c>
    </row>
    <row r="118" spans="1:74" x14ac:dyDescent="0.25">
      <c r="A118" t="s">
        <v>57</v>
      </c>
      <c r="B118" s="111" t="s">
        <v>1070</v>
      </c>
      <c r="C118" t="s">
        <v>49</v>
      </c>
      <c r="D118" t="s">
        <v>615</v>
      </c>
      <c r="E118">
        <v>1058</v>
      </c>
      <c r="H118" s="205" t="s">
        <v>643</v>
      </c>
      <c r="I118" t="s">
        <v>214</v>
      </c>
      <c r="K118" s="33">
        <v>3</v>
      </c>
      <c r="L118" s="10" t="s">
        <v>50</v>
      </c>
      <c r="M118">
        <v>1116</v>
      </c>
      <c r="N118">
        <v>93</v>
      </c>
      <c r="O118" s="9">
        <f t="shared" si="29"/>
        <v>1023</v>
      </c>
      <c r="P118" s="35">
        <v>276</v>
      </c>
      <c r="Q118" s="35">
        <v>275</v>
      </c>
      <c r="R118" s="35">
        <v>275</v>
      </c>
      <c r="S118" s="24">
        <f t="shared" si="30"/>
        <v>275.33333333333331</v>
      </c>
      <c r="T118" s="35">
        <v>152</v>
      </c>
      <c r="U118" s="35">
        <v>152</v>
      </c>
      <c r="V118" s="35">
        <v>151</v>
      </c>
      <c r="W118" s="24">
        <f t="shared" si="31"/>
        <v>151.66666666666666</v>
      </c>
      <c r="X118" s="36">
        <v>12.39</v>
      </c>
      <c r="Y118" s="35">
        <v>12.83</v>
      </c>
      <c r="Z118" s="35">
        <v>12.28</v>
      </c>
      <c r="AA118" s="24">
        <f t="shared" si="32"/>
        <v>12.5</v>
      </c>
      <c r="AB118" s="37">
        <v>49.35</v>
      </c>
      <c r="AC118" s="37">
        <v>49.02</v>
      </c>
      <c r="AD118" s="37">
        <v>48.95</v>
      </c>
      <c r="AE118" s="24">
        <f t="shared" si="33"/>
        <v>49.106666666666662</v>
      </c>
      <c r="AF118" s="37">
        <v>87.45</v>
      </c>
      <c r="AG118" s="37">
        <v>88.41</v>
      </c>
      <c r="AH118" s="37">
        <v>88.69</v>
      </c>
      <c r="AI118" s="24">
        <f t="shared" si="34"/>
        <v>88.183333333333337</v>
      </c>
      <c r="AJ118" s="37">
        <v>31.47</v>
      </c>
      <c r="AK118" s="37">
        <v>31.83</v>
      </c>
      <c r="AL118" s="37">
        <v>31.19</v>
      </c>
      <c r="AM118" s="24">
        <f>AVERAGE(AJ118:AL118)</f>
        <v>31.496666666666666</v>
      </c>
      <c r="AN118" s="37">
        <v>23.99</v>
      </c>
      <c r="AO118" s="37">
        <v>23.79</v>
      </c>
      <c r="AP118" s="37">
        <v>23.33</v>
      </c>
      <c r="AQ118" s="24">
        <f>AVERAGE(AN118:AP118)</f>
        <v>23.703333333333333</v>
      </c>
      <c r="AX118" s="35">
        <v>59.07</v>
      </c>
      <c r="AY118" s="35">
        <v>58.5</v>
      </c>
      <c r="AZ118" s="35">
        <v>58.4</v>
      </c>
      <c r="BA118" s="24">
        <f t="shared" si="35"/>
        <v>58.656666666666666</v>
      </c>
      <c r="BB118" s="35">
        <v>34.99</v>
      </c>
      <c r="BC118" s="35">
        <v>35.090000000000003</v>
      </c>
      <c r="BD118" s="35">
        <v>34.799999999999997</v>
      </c>
      <c r="BE118" s="24">
        <f t="shared" si="36"/>
        <v>34.96</v>
      </c>
      <c r="BF118" s="35">
        <v>79.78</v>
      </c>
      <c r="BG118" s="35">
        <v>79.81</v>
      </c>
      <c r="BH118" s="35">
        <v>79.7</v>
      </c>
      <c r="BI118" s="24">
        <f t="shared" si="37"/>
        <v>79.763333333333335</v>
      </c>
      <c r="BJ118" t="s">
        <v>51</v>
      </c>
      <c r="BK118" t="s">
        <v>51</v>
      </c>
      <c r="BU118" t="s">
        <v>625</v>
      </c>
    </row>
    <row r="119" spans="1:74" x14ac:dyDescent="0.25">
      <c r="A119" t="s">
        <v>57</v>
      </c>
      <c r="B119" s="114" t="s">
        <v>1038</v>
      </c>
      <c r="C119" t="s">
        <v>207</v>
      </c>
      <c r="D119" t="s">
        <v>615</v>
      </c>
      <c r="E119">
        <v>1057</v>
      </c>
      <c r="H119" s="205" t="s">
        <v>643</v>
      </c>
      <c r="I119" t="s">
        <v>225</v>
      </c>
      <c r="K119" s="33">
        <v>3</v>
      </c>
      <c r="L119" s="10" t="s">
        <v>64</v>
      </c>
      <c r="M119">
        <v>835</v>
      </c>
      <c r="N119">
        <v>93</v>
      </c>
      <c r="O119" s="9">
        <f t="shared" si="29"/>
        <v>742</v>
      </c>
      <c r="P119" s="35">
        <v>250</v>
      </c>
      <c r="Q119" s="35">
        <v>250</v>
      </c>
      <c r="R119" s="35">
        <v>251</v>
      </c>
      <c r="S119" s="24">
        <f t="shared" si="30"/>
        <v>250.33333333333334</v>
      </c>
      <c r="T119" s="35">
        <v>143</v>
      </c>
      <c r="U119" s="35">
        <v>144</v>
      </c>
      <c r="V119" s="35">
        <v>143</v>
      </c>
      <c r="W119" s="24">
        <f t="shared" si="31"/>
        <v>143.33333333333334</v>
      </c>
      <c r="X119" s="36">
        <v>10.23</v>
      </c>
      <c r="Y119" s="35">
        <v>10.4</v>
      </c>
      <c r="Z119" s="35">
        <v>10.16</v>
      </c>
      <c r="AA119" s="24">
        <f t="shared" si="32"/>
        <v>10.263333333333334</v>
      </c>
      <c r="AB119" s="37">
        <v>42.85</v>
      </c>
      <c r="AC119" s="37">
        <v>42.65</v>
      </c>
      <c r="AD119" s="37">
        <v>42.61</v>
      </c>
      <c r="AE119" s="24">
        <f t="shared" si="33"/>
        <v>42.70333333333334</v>
      </c>
      <c r="AF119" s="37">
        <v>78.37</v>
      </c>
      <c r="AG119" s="37">
        <v>78.06</v>
      </c>
      <c r="AH119" s="37">
        <v>78.040000000000006</v>
      </c>
      <c r="AI119" s="24">
        <f t="shared" si="34"/>
        <v>78.15666666666668</v>
      </c>
      <c r="AS119" t="s">
        <v>65</v>
      </c>
      <c r="AV119">
        <v>1</v>
      </c>
      <c r="AX119" s="35">
        <v>53.01</v>
      </c>
      <c r="AY119" s="35">
        <v>53.44</v>
      </c>
      <c r="AZ119" s="35">
        <v>52.71</v>
      </c>
      <c r="BA119" s="24">
        <f t="shared" si="35"/>
        <v>53.053333333333335</v>
      </c>
      <c r="BB119" s="35">
        <v>33.51</v>
      </c>
      <c r="BC119" s="35">
        <v>32.89</v>
      </c>
      <c r="BD119" s="35">
        <v>33.29</v>
      </c>
      <c r="BE119" s="24">
        <f t="shared" si="36"/>
        <v>33.229999999999997</v>
      </c>
      <c r="BF119" s="35">
        <v>83.72</v>
      </c>
      <c r="BG119" s="35">
        <v>83.64</v>
      </c>
      <c r="BH119" s="35">
        <v>83.6</v>
      </c>
      <c r="BI119" s="24">
        <f t="shared" si="37"/>
        <v>83.653333333333336</v>
      </c>
      <c r="BK119" t="s">
        <v>51</v>
      </c>
      <c r="BU119" t="s">
        <v>626</v>
      </c>
    </row>
    <row r="120" spans="1:74" x14ac:dyDescent="0.25">
      <c r="A120" t="s">
        <v>57</v>
      </c>
      <c r="B120" s="111" t="s">
        <v>1037</v>
      </c>
      <c r="C120" t="s">
        <v>207</v>
      </c>
      <c r="D120" t="s">
        <v>615</v>
      </c>
      <c r="E120">
        <v>1180</v>
      </c>
      <c r="H120" s="205" t="s">
        <v>643</v>
      </c>
      <c r="I120" t="s">
        <v>627</v>
      </c>
      <c r="K120" s="33">
        <v>3</v>
      </c>
      <c r="L120" s="10" t="s">
        <v>64</v>
      </c>
      <c r="M120">
        <v>1208</v>
      </c>
      <c r="N120">
        <v>94</v>
      </c>
      <c r="O120" s="9">
        <f t="shared" si="29"/>
        <v>1114</v>
      </c>
      <c r="P120" s="35">
        <v>292</v>
      </c>
      <c r="Q120" s="35">
        <v>293</v>
      </c>
      <c r="R120" s="35">
        <v>293</v>
      </c>
      <c r="S120" s="24">
        <f t="shared" si="30"/>
        <v>292.66666666666669</v>
      </c>
      <c r="T120" s="37">
        <v>47</v>
      </c>
      <c r="U120" s="37">
        <v>46</v>
      </c>
      <c r="V120" s="37">
        <v>46</v>
      </c>
      <c r="W120" s="24">
        <f t="shared" si="31"/>
        <v>46.333333333333336</v>
      </c>
      <c r="X120" s="37">
        <v>10.9</v>
      </c>
      <c r="Y120" s="37">
        <v>11.22</v>
      </c>
      <c r="Z120" s="37">
        <v>11.04</v>
      </c>
      <c r="AA120" s="24">
        <f t="shared" si="32"/>
        <v>11.053333333333333</v>
      </c>
      <c r="AB120" s="35">
        <v>47.03</v>
      </c>
      <c r="AC120" s="35">
        <v>47.29</v>
      </c>
      <c r="AD120" s="35">
        <v>47.11</v>
      </c>
      <c r="AE120" s="24">
        <f t="shared" si="33"/>
        <v>47.143333333333338</v>
      </c>
      <c r="AF120" s="35">
        <v>82.88</v>
      </c>
      <c r="AG120" s="35">
        <v>82.03</v>
      </c>
      <c r="AH120" s="35">
        <v>83.21</v>
      </c>
      <c r="AI120" s="24">
        <f t="shared" si="34"/>
        <v>82.706666666666663</v>
      </c>
      <c r="AS120" t="s">
        <v>65</v>
      </c>
      <c r="AV120">
        <v>3</v>
      </c>
      <c r="AW120" s="9">
        <v>15.73</v>
      </c>
      <c r="AX120" s="35">
        <v>57.07</v>
      </c>
      <c r="AY120" s="35">
        <v>57.2</v>
      </c>
      <c r="AZ120" s="35">
        <v>58.01</v>
      </c>
      <c r="BA120" s="24">
        <f t="shared" si="35"/>
        <v>57.426666666666669</v>
      </c>
      <c r="BB120" s="35">
        <v>34.36</v>
      </c>
      <c r="BC120" s="35">
        <v>34.130000000000003</v>
      </c>
      <c r="BD120" s="35">
        <v>34.01</v>
      </c>
      <c r="BE120" s="24">
        <f t="shared" si="36"/>
        <v>34.166666666666664</v>
      </c>
      <c r="BF120" s="35">
        <v>87.32</v>
      </c>
      <c r="BG120" s="35">
        <v>87.05</v>
      </c>
      <c r="BH120" s="35">
        <v>87.4</v>
      </c>
      <c r="BI120" s="24">
        <f t="shared" si="37"/>
        <v>87.256666666666661</v>
      </c>
      <c r="BK120" t="s">
        <v>51</v>
      </c>
    </row>
    <row r="121" spans="1:74" x14ac:dyDescent="0.25">
      <c r="A121" t="s">
        <v>57</v>
      </c>
      <c r="B121" s="111" t="s">
        <v>1029</v>
      </c>
      <c r="C121" t="s">
        <v>207</v>
      </c>
      <c r="D121" t="s">
        <v>615</v>
      </c>
      <c r="E121">
        <v>1172</v>
      </c>
      <c r="H121" s="205" t="s">
        <v>643</v>
      </c>
      <c r="I121" t="s">
        <v>101</v>
      </c>
      <c r="K121" s="33">
        <v>3</v>
      </c>
      <c r="L121" s="10" t="s">
        <v>64</v>
      </c>
      <c r="M121">
        <v>1017</v>
      </c>
      <c r="N121">
        <v>94</v>
      </c>
      <c r="O121" s="9">
        <f t="shared" si="29"/>
        <v>923</v>
      </c>
      <c r="P121" s="35">
        <v>279</v>
      </c>
      <c r="Q121" s="35">
        <v>280</v>
      </c>
      <c r="R121" s="35">
        <v>279</v>
      </c>
      <c r="S121" s="24">
        <f t="shared" si="30"/>
        <v>279.33333333333331</v>
      </c>
      <c r="T121" s="35">
        <v>156</v>
      </c>
      <c r="U121" s="35">
        <v>155</v>
      </c>
      <c r="V121" s="35">
        <v>155</v>
      </c>
      <c r="W121" s="24">
        <f t="shared" si="31"/>
        <v>155.33333333333334</v>
      </c>
      <c r="X121" s="36">
        <v>11.06</v>
      </c>
      <c r="Y121" s="35">
        <v>10.77</v>
      </c>
      <c r="Z121" s="35">
        <v>10.67</v>
      </c>
      <c r="AA121" s="24">
        <f t="shared" si="32"/>
        <v>10.833333333333334</v>
      </c>
      <c r="AB121" s="37">
        <v>47.19</v>
      </c>
      <c r="AC121" s="37">
        <v>46.64</v>
      </c>
      <c r="AD121" s="37">
        <v>47.07</v>
      </c>
      <c r="AE121" s="24">
        <f t="shared" si="33"/>
        <v>46.966666666666669</v>
      </c>
      <c r="AF121" s="37">
        <v>87.84</v>
      </c>
      <c r="AG121" s="37">
        <v>87.82</v>
      </c>
      <c r="AH121" s="37">
        <v>87.89</v>
      </c>
      <c r="AI121" s="24">
        <f t="shared" si="34"/>
        <v>87.850000000000009</v>
      </c>
      <c r="AS121" t="s">
        <v>65</v>
      </c>
      <c r="AV121">
        <v>3</v>
      </c>
      <c r="AW121" s="9">
        <v>14.88</v>
      </c>
      <c r="AX121" s="35">
        <v>55.82</v>
      </c>
      <c r="AY121" s="35">
        <v>56.03</v>
      </c>
      <c r="AZ121" s="35">
        <v>56.25</v>
      </c>
      <c r="BA121" s="24">
        <f t="shared" si="35"/>
        <v>56.033333333333331</v>
      </c>
      <c r="BB121" s="35">
        <v>33.340000000000003</v>
      </c>
      <c r="BC121" s="35">
        <v>33.42</v>
      </c>
      <c r="BD121" s="35">
        <v>33.65</v>
      </c>
      <c r="BE121" s="24">
        <f t="shared" si="36"/>
        <v>33.47</v>
      </c>
      <c r="BF121" s="35">
        <v>86.23</v>
      </c>
      <c r="BG121" s="35">
        <v>86.29</v>
      </c>
      <c r="BH121" s="35">
        <v>86.77</v>
      </c>
      <c r="BI121" s="24">
        <f t="shared" si="37"/>
        <v>86.43</v>
      </c>
      <c r="BK121" t="s">
        <v>51</v>
      </c>
      <c r="BU121" t="s">
        <v>628</v>
      </c>
    </row>
    <row r="122" spans="1:74" x14ac:dyDescent="0.25">
      <c r="A122" t="s">
        <v>57</v>
      </c>
      <c r="B122" s="111" t="s">
        <v>1031</v>
      </c>
      <c r="C122" t="s">
        <v>207</v>
      </c>
      <c r="D122" t="s">
        <v>615</v>
      </c>
      <c r="E122">
        <v>1174</v>
      </c>
      <c r="H122" s="205" t="s">
        <v>643</v>
      </c>
      <c r="I122" t="s">
        <v>611</v>
      </c>
      <c r="K122" s="33">
        <v>4</v>
      </c>
      <c r="L122" s="10" t="s">
        <v>64</v>
      </c>
      <c r="M122">
        <v>1024</v>
      </c>
      <c r="N122">
        <v>89</v>
      </c>
      <c r="O122" s="9">
        <f t="shared" si="29"/>
        <v>935</v>
      </c>
      <c r="P122" s="35">
        <v>292</v>
      </c>
      <c r="Q122" s="35">
        <v>293</v>
      </c>
      <c r="R122" s="35">
        <v>293</v>
      </c>
      <c r="S122" s="24">
        <f t="shared" si="30"/>
        <v>292.66666666666669</v>
      </c>
      <c r="T122" s="35">
        <v>165</v>
      </c>
      <c r="U122" s="35">
        <v>164</v>
      </c>
      <c r="V122" s="35">
        <v>165</v>
      </c>
      <c r="W122" s="24">
        <f t="shared" si="31"/>
        <v>164.66666666666666</v>
      </c>
      <c r="X122" s="36">
        <v>11.85</v>
      </c>
      <c r="Y122" s="35">
        <v>11.84</v>
      </c>
      <c r="Z122" s="35">
        <v>11.56</v>
      </c>
      <c r="AA122" s="24">
        <f t="shared" si="32"/>
        <v>11.75</v>
      </c>
      <c r="AB122" s="37">
        <v>46.54</v>
      </c>
      <c r="AC122" s="37">
        <v>46.62</v>
      </c>
      <c r="AD122" s="37">
        <v>46.36</v>
      </c>
      <c r="AE122" s="24">
        <f t="shared" si="33"/>
        <v>46.506666666666661</v>
      </c>
      <c r="AF122" s="37">
        <v>87.45</v>
      </c>
      <c r="AG122" s="37">
        <v>87.26</v>
      </c>
      <c r="AH122" s="37">
        <v>87.45</v>
      </c>
      <c r="AI122" s="24">
        <f t="shared" si="34"/>
        <v>87.38666666666667</v>
      </c>
      <c r="AS122" t="s">
        <v>65</v>
      </c>
      <c r="AV122">
        <v>3</v>
      </c>
      <c r="AW122" s="9">
        <v>15.48</v>
      </c>
      <c r="AX122" s="35">
        <v>56.52</v>
      </c>
      <c r="AY122" s="35">
        <v>56.91</v>
      </c>
      <c r="AZ122" s="35">
        <v>56.95</v>
      </c>
      <c r="BA122" s="24">
        <f t="shared" si="35"/>
        <v>56.793333333333329</v>
      </c>
      <c r="BB122" s="35">
        <v>34.58</v>
      </c>
      <c r="BC122" s="35">
        <v>35.1</v>
      </c>
      <c r="BD122" s="35">
        <v>35.17</v>
      </c>
      <c r="BE122" s="24">
        <f t="shared" si="36"/>
        <v>34.950000000000003</v>
      </c>
      <c r="BF122" s="35">
        <v>83.17</v>
      </c>
      <c r="BG122" s="35">
        <v>83.32</v>
      </c>
      <c r="BH122" s="35">
        <v>83.22</v>
      </c>
      <c r="BI122" s="24">
        <f t="shared" si="37"/>
        <v>83.236666666666665</v>
      </c>
      <c r="BK122" t="s">
        <v>51</v>
      </c>
    </row>
    <row r="123" spans="1:74" x14ac:dyDescent="0.25">
      <c r="A123" t="s">
        <v>57</v>
      </c>
      <c r="B123" s="111" t="s">
        <v>1049</v>
      </c>
      <c r="C123" t="s">
        <v>207</v>
      </c>
      <c r="D123" t="s">
        <v>615</v>
      </c>
      <c r="E123">
        <v>1198</v>
      </c>
      <c r="H123" s="205" t="s">
        <v>644</v>
      </c>
      <c r="I123" t="s">
        <v>94</v>
      </c>
      <c r="K123" s="33">
        <v>3</v>
      </c>
      <c r="L123" s="10" t="s">
        <v>64</v>
      </c>
      <c r="M123">
        <v>1237</v>
      </c>
      <c r="N123">
        <v>94</v>
      </c>
      <c r="O123" s="9">
        <f t="shared" si="29"/>
        <v>1143</v>
      </c>
      <c r="P123" s="35">
        <v>282</v>
      </c>
      <c r="Q123" s="35">
        <v>281</v>
      </c>
      <c r="R123" s="35">
        <v>282</v>
      </c>
      <c r="S123" s="24">
        <f t="shared" si="30"/>
        <v>281.66666666666669</v>
      </c>
      <c r="T123" s="35">
        <v>170</v>
      </c>
      <c r="U123" s="35">
        <v>169</v>
      </c>
      <c r="V123" s="35">
        <v>170</v>
      </c>
      <c r="W123" s="24">
        <f t="shared" si="31"/>
        <v>169.66666666666666</v>
      </c>
      <c r="X123" s="36">
        <v>11.14</v>
      </c>
      <c r="Y123" s="35">
        <v>10.98</v>
      </c>
      <c r="Z123" s="35">
        <v>10.88</v>
      </c>
      <c r="AA123" s="24">
        <f t="shared" si="32"/>
        <v>11</v>
      </c>
      <c r="AB123" s="37">
        <v>49.91</v>
      </c>
      <c r="AC123" s="37">
        <v>49.43</v>
      </c>
      <c r="AD123" s="37">
        <v>49.39</v>
      </c>
      <c r="AE123" s="24">
        <f t="shared" si="33"/>
        <v>49.576666666666675</v>
      </c>
      <c r="AF123" s="37">
        <v>91.25</v>
      </c>
      <c r="AG123" s="37">
        <v>90.9</v>
      </c>
      <c r="AH123" s="37">
        <v>91.29</v>
      </c>
      <c r="AI123" s="24">
        <f t="shared" si="34"/>
        <v>91.146666666666661</v>
      </c>
      <c r="AS123" t="s">
        <v>65</v>
      </c>
      <c r="AV123">
        <v>4</v>
      </c>
      <c r="AW123" s="9">
        <v>16.62</v>
      </c>
      <c r="AX123" s="35">
        <v>56.08</v>
      </c>
      <c r="AY123" s="35">
        <v>55.64</v>
      </c>
      <c r="AZ123" s="35">
        <v>55.91</v>
      </c>
      <c r="BA123" s="24">
        <f t="shared" si="35"/>
        <v>55.876666666666665</v>
      </c>
      <c r="BB123" s="35">
        <v>33.520000000000003</v>
      </c>
      <c r="BC123" s="35">
        <v>33.229999999999997</v>
      </c>
      <c r="BD123" s="35">
        <v>32.659999999999997</v>
      </c>
      <c r="BE123" s="24">
        <f t="shared" si="36"/>
        <v>33.136666666666663</v>
      </c>
      <c r="BF123" s="35">
        <v>91.07</v>
      </c>
      <c r="BG123" s="35">
        <v>90.69</v>
      </c>
      <c r="BH123" s="35">
        <v>90.38</v>
      </c>
      <c r="BI123" s="24">
        <f t="shared" si="37"/>
        <v>90.713333333333324</v>
      </c>
      <c r="BK123" t="s">
        <v>51</v>
      </c>
    </row>
    <row r="124" spans="1:74" x14ac:dyDescent="0.25">
      <c r="A124" t="s">
        <v>57</v>
      </c>
      <c r="B124" s="111" t="s">
        <v>1067</v>
      </c>
      <c r="C124" t="s">
        <v>207</v>
      </c>
      <c r="D124" t="s">
        <v>615</v>
      </c>
      <c r="E124">
        <v>1098</v>
      </c>
      <c r="H124" s="205" t="s">
        <v>644</v>
      </c>
      <c r="I124" t="s">
        <v>86</v>
      </c>
      <c r="K124" s="33">
        <v>2</v>
      </c>
      <c r="L124" s="10" t="s">
        <v>64</v>
      </c>
      <c r="M124">
        <v>639</v>
      </c>
      <c r="N124">
        <v>93</v>
      </c>
      <c r="O124" s="9">
        <f t="shared" si="29"/>
        <v>546</v>
      </c>
      <c r="P124" s="35">
        <v>210</v>
      </c>
      <c r="Q124" s="35">
        <v>211</v>
      </c>
      <c r="R124" s="35">
        <v>211</v>
      </c>
      <c r="S124" s="24">
        <f t="shared" si="30"/>
        <v>210.66666666666666</v>
      </c>
      <c r="T124" s="35">
        <v>154</v>
      </c>
      <c r="U124" s="35">
        <v>153</v>
      </c>
      <c r="V124" s="35">
        <v>153</v>
      </c>
      <c r="W124" s="24">
        <f t="shared" si="31"/>
        <v>153.33333333333334</v>
      </c>
      <c r="X124" s="36">
        <v>12.8</v>
      </c>
      <c r="Y124" s="35">
        <v>12.05</v>
      </c>
      <c r="Z124" s="35">
        <v>12.34</v>
      </c>
      <c r="AA124" s="24">
        <f t="shared" si="32"/>
        <v>12.396666666666667</v>
      </c>
      <c r="AB124" s="37">
        <v>41.92</v>
      </c>
      <c r="AC124" s="37">
        <v>41.7</v>
      </c>
      <c r="AD124" s="37">
        <v>41.41</v>
      </c>
      <c r="AE124" s="24">
        <f t="shared" si="33"/>
        <v>41.676666666666669</v>
      </c>
      <c r="AF124" s="37">
        <v>72.13</v>
      </c>
      <c r="AG124" s="37">
        <v>71.69</v>
      </c>
      <c r="AH124" s="37">
        <v>71.680000000000007</v>
      </c>
      <c r="AI124" s="24">
        <f t="shared" si="34"/>
        <v>71.833333333333329</v>
      </c>
      <c r="AS124" t="s">
        <v>65</v>
      </c>
      <c r="AV124">
        <v>3</v>
      </c>
      <c r="AX124" s="35">
        <v>47.31</v>
      </c>
      <c r="AY124" s="35">
        <v>46.95</v>
      </c>
      <c r="AZ124" s="35">
        <v>46.93</v>
      </c>
      <c r="BA124" s="24">
        <f t="shared" si="35"/>
        <v>47.063333333333333</v>
      </c>
      <c r="BB124" s="35">
        <v>30.7</v>
      </c>
      <c r="BC124">
        <v>30.12</v>
      </c>
      <c r="BD124" s="35">
        <v>31.07</v>
      </c>
      <c r="BE124" s="24">
        <f t="shared" si="36"/>
        <v>30.63</v>
      </c>
      <c r="BF124" s="35">
        <v>74.430000000000007</v>
      </c>
      <c r="BG124" s="35">
        <v>74.459999999999994</v>
      </c>
      <c r="BH124" s="35">
        <v>74.989999999999995</v>
      </c>
      <c r="BI124" s="24">
        <f t="shared" si="37"/>
        <v>74.626666666666665</v>
      </c>
      <c r="BK124" t="s">
        <v>51</v>
      </c>
    </row>
    <row r="125" spans="1:74" x14ac:dyDescent="0.25">
      <c r="A125" t="s">
        <v>57</v>
      </c>
      <c r="B125" s="111" t="s">
        <v>1032</v>
      </c>
      <c r="C125" t="s">
        <v>207</v>
      </c>
      <c r="D125" t="s">
        <v>615</v>
      </c>
      <c r="E125">
        <v>1175</v>
      </c>
      <c r="H125" s="205" t="s">
        <v>644</v>
      </c>
      <c r="I125" t="s">
        <v>90</v>
      </c>
      <c r="K125" s="33">
        <v>4</v>
      </c>
      <c r="L125" s="10" t="s">
        <v>64</v>
      </c>
      <c r="M125">
        <v>999</v>
      </c>
      <c r="N125">
        <v>94</v>
      </c>
      <c r="O125" s="9">
        <f t="shared" si="29"/>
        <v>905</v>
      </c>
      <c r="P125" s="35">
        <v>265</v>
      </c>
      <c r="Q125" s="35">
        <v>266</v>
      </c>
      <c r="R125" s="35">
        <v>266</v>
      </c>
      <c r="S125" s="24">
        <f t="shared" si="30"/>
        <v>265.66666666666669</v>
      </c>
      <c r="T125" s="35">
        <v>176</v>
      </c>
      <c r="U125" s="35">
        <v>165</v>
      </c>
      <c r="V125" s="35">
        <v>166</v>
      </c>
      <c r="W125" s="24">
        <f t="shared" si="31"/>
        <v>169</v>
      </c>
      <c r="X125" s="36">
        <v>11.07</v>
      </c>
      <c r="Y125" s="35">
        <v>11.24</v>
      </c>
      <c r="Z125" s="35">
        <v>11.42</v>
      </c>
      <c r="AA125" s="24">
        <f t="shared" si="32"/>
        <v>11.243333333333334</v>
      </c>
      <c r="AB125" s="37">
        <v>45.96</v>
      </c>
      <c r="AC125" s="37">
        <v>45.67</v>
      </c>
      <c r="AD125" s="37">
        <v>45.26</v>
      </c>
      <c r="AE125" s="24">
        <f t="shared" si="33"/>
        <v>45.629999999999995</v>
      </c>
      <c r="AF125" s="37">
        <v>87.63</v>
      </c>
      <c r="AG125" s="37">
        <v>87.83</v>
      </c>
      <c r="AH125" s="37">
        <v>87.96</v>
      </c>
      <c r="AI125" s="24">
        <f t="shared" si="34"/>
        <v>87.806666666666658</v>
      </c>
      <c r="AS125" t="s">
        <v>65</v>
      </c>
      <c r="AU125">
        <v>2</v>
      </c>
      <c r="AV125">
        <v>0</v>
      </c>
      <c r="AX125" s="35">
        <v>56.15</v>
      </c>
      <c r="AY125" s="35">
        <v>55.98</v>
      </c>
      <c r="AZ125" s="35">
        <v>55.9</v>
      </c>
      <c r="BA125" s="24">
        <f t="shared" si="35"/>
        <v>56.01</v>
      </c>
      <c r="BB125" s="35">
        <v>31.93</v>
      </c>
      <c r="BC125" s="35">
        <v>32.119999999999997</v>
      </c>
      <c r="BD125" s="35">
        <v>32.33</v>
      </c>
      <c r="BE125" s="24">
        <f t="shared" si="36"/>
        <v>32.126666666666665</v>
      </c>
      <c r="BF125" s="35">
        <v>85.77</v>
      </c>
      <c r="BG125" s="35">
        <v>86.23</v>
      </c>
      <c r="BH125" s="35">
        <v>86.24</v>
      </c>
      <c r="BI125" s="24">
        <f t="shared" si="37"/>
        <v>86.08</v>
      </c>
      <c r="BK125" t="s">
        <v>51</v>
      </c>
    </row>
    <row r="126" spans="1:74" x14ac:dyDescent="0.25">
      <c r="A126" t="s">
        <v>57</v>
      </c>
      <c r="B126" s="111" t="s">
        <v>1071</v>
      </c>
      <c r="C126" t="s">
        <v>49</v>
      </c>
      <c r="D126" t="s">
        <v>615</v>
      </c>
      <c r="E126">
        <v>1304</v>
      </c>
      <c r="H126" s="205" t="s">
        <v>645</v>
      </c>
      <c r="I126" t="s">
        <v>627</v>
      </c>
      <c r="K126" s="33">
        <v>3</v>
      </c>
      <c r="L126" s="10" t="s">
        <v>64</v>
      </c>
      <c r="M126">
        <v>754</v>
      </c>
      <c r="N126">
        <v>94</v>
      </c>
      <c r="O126" s="9">
        <f t="shared" si="29"/>
        <v>660</v>
      </c>
      <c r="P126" s="35">
        <v>244</v>
      </c>
      <c r="Q126" s="35">
        <v>243</v>
      </c>
      <c r="R126" s="35">
        <v>243</v>
      </c>
      <c r="S126" s="24">
        <f t="shared" si="30"/>
        <v>243.33333333333334</v>
      </c>
      <c r="T126" s="35">
        <v>147</v>
      </c>
      <c r="U126" s="35">
        <v>147</v>
      </c>
      <c r="V126" s="35">
        <v>147</v>
      </c>
      <c r="W126" s="24">
        <f t="shared" si="31"/>
        <v>147</v>
      </c>
      <c r="X126" s="36">
        <v>11.42</v>
      </c>
      <c r="Y126" s="35">
        <v>11.54</v>
      </c>
      <c r="Z126" s="35">
        <v>11.42</v>
      </c>
      <c r="AA126" s="24">
        <f t="shared" si="32"/>
        <v>11.46</v>
      </c>
      <c r="AB126" s="37">
        <v>42.85</v>
      </c>
      <c r="AC126" s="37">
        <v>42.4</v>
      </c>
      <c r="AD126" s="37">
        <v>42.26</v>
      </c>
      <c r="AE126" s="24">
        <f t="shared" si="33"/>
        <v>42.50333333333333</v>
      </c>
      <c r="AF126" s="37">
        <v>76.86</v>
      </c>
      <c r="AG126" s="37">
        <v>76.98</v>
      </c>
      <c r="AH126" s="37">
        <v>76.819999999999993</v>
      </c>
      <c r="AI126" s="24">
        <f t="shared" si="34"/>
        <v>76.88666666666667</v>
      </c>
      <c r="AS126" t="s">
        <v>65</v>
      </c>
      <c r="AV126">
        <v>1</v>
      </c>
      <c r="AW126" s="9">
        <v>13.68</v>
      </c>
      <c r="AX126" s="35">
        <v>49.3</v>
      </c>
      <c r="AY126" s="35">
        <v>49.27</v>
      </c>
      <c r="AZ126" s="35">
        <v>48.92</v>
      </c>
      <c r="BA126" s="24">
        <f t="shared" si="35"/>
        <v>49.163333333333334</v>
      </c>
      <c r="BB126" s="35">
        <v>32.340000000000003</v>
      </c>
      <c r="BC126" s="35">
        <v>32.11</v>
      </c>
      <c r="BD126" s="35">
        <v>32.19</v>
      </c>
      <c r="BE126" s="24">
        <f t="shared" si="36"/>
        <v>32.213333333333331</v>
      </c>
      <c r="BF126" s="35">
        <v>81.760000000000005</v>
      </c>
      <c r="BG126" s="35">
        <v>891.69</v>
      </c>
      <c r="BH126" s="35">
        <v>82.42</v>
      </c>
      <c r="BI126" s="24">
        <f t="shared" si="37"/>
        <v>351.95666666666671</v>
      </c>
      <c r="BJ126" t="s">
        <v>51</v>
      </c>
      <c r="BK126" t="s">
        <v>51</v>
      </c>
    </row>
    <row r="127" spans="1:74" x14ac:dyDescent="0.25">
      <c r="A127" t="s">
        <v>57</v>
      </c>
      <c r="B127" s="111" t="s">
        <v>1072</v>
      </c>
      <c r="C127" t="s">
        <v>49</v>
      </c>
      <c r="D127" t="s">
        <v>615</v>
      </c>
      <c r="E127">
        <v>1305</v>
      </c>
      <c r="H127" s="205" t="s">
        <v>645</v>
      </c>
      <c r="I127" t="s">
        <v>214</v>
      </c>
      <c r="K127" s="33">
        <v>2</v>
      </c>
      <c r="L127" s="10" t="s">
        <v>50</v>
      </c>
      <c r="M127">
        <v>1310</v>
      </c>
      <c r="N127">
        <v>91</v>
      </c>
      <c r="O127" s="9">
        <f t="shared" si="29"/>
        <v>1219</v>
      </c>
      <c r="P127" s="35">
        <v>282</v>
      </c>
      <c r="Q127" s="35">
        <v>281</v>
      </c>
      <c r="R127" s="35">
        <v>281</v>
      </c>
      <c r="S127" s="24">
        <f t="shared" si="30"/>
        <v>281.33333333333331</v>
      </c>
      <c r="T127" s="35">
        <v>177</v>
      </c>
      <c r="U127" s="35">
        <v>176</v>
      </c>
      <c r="V127" s="35">
        <v>176</v>
      </c>
      <c r="W127" s="24">
        <f t="shared" si="31"/>
        <v>176.33333333333334</v>
      </c>
      <c r="X127" s="36">
        <v>13.56</v>
      </c>
      <c r="Y127" s="35">
        <v>13.51</v>
      </c>
      <c r="Z127" s="35">
        <v>13.55</v>
      </c>
      <c r="AA127" s="24">
        <f t="shared" si="32"/>
        <v>13.540000000000001</v>
      </c>
      <c r="AB127" s="37">
        <v>52.77</v>
      </c>
      <c r="AC127" s="37">
        <v>53.03</v>
      </c>
      <c r="AD127" s="37">
        <v>52.6</v>
      </c>
      <c r="AE127" s="24">
        <f t="shared" si="33"/>
        <v>52.800000000000004</v>
      </c>
      <c r="AF127" s="37">
        <v>96.22</v>
      </c>
      <c r="AG127" s="37">
        <v>96.18</v>
      </c>
      <c r="AH127" s="37">
        <v>96.4</v>
      </c>
      <c r="AI127" s="24">
        <f t="shared" si="34"/>
        <v>96.266666666666666</v>
      </c>
      <c r="AJ127" s="37">
        <v>32.82</v>
      </c>
      <c r="AK127" s="37">
        <v>32.75</v>
      </c>
      <c r="AL127" s="12">
        <v>32.76</v>
      </c>
      <c r="AM127" s="24">
        <f t="shared" ref="AM127:AM132" si="38">AVERAGE(AJ127:AL127)</f>
        <v>32.776666666666664</v>
      </c>
      <c r="AN127" s="37">
        <v>23.57</v>
      </c>
      <c r="AO127" s="37">
        <v>23.45</v>
      </c>
      <c r="AP127" s="37">
        <v>23.14</v>
      </c>
      <c r="AQ127" s="24">
        <f t="shared" ref="AQ127:AQ132" si="39">AVERAGE(AN127:AP127)</f>
        <v>23.386666666666667</v>
      </c>
      <c r="AX127" s="35">
        <v>56.45</v>
      </c>
      <c r="AY127" s="35">
        <v>57.26</v>
      </c>
      <c r="AZ127" s="35">
        <v>57.75</v>
      </c>
      <c r="BA127" s="24">
        <f t="shared" si="35"/>
        <v>57.153333333333336</v>
      </c>
      <c r="BB127" s="35">
        <v>38.14</v>
      </c>
      <c r="BC127" s="35">
        <v>37.729999999999997</v>
      </c>
      <c r="BD127" s="35">
        <v>37.76</v>
      </c>
      <c r="BE127" s="24">
        <f t="shared" si="36"/>
        <v>37.876666666666665</v>
      </c>
      <c r="BF127" s="35">
        <v>91.34</v>
      </c>
      <c r="BG127" s="35">
        <v>91.08</v>
      </c>
      <c r="BH127" s="35">
        <v>90.91</v>
      </c>
      <c r="BI127" s="24">
        <f t="shared" si="37"/>
        <v>91.110000000000014</v>
      </c>
      <c r="BJ127" t="s">
        <v>51</v>
      </c>
      <c r="BK127" t="s">
        <v>51</v>
      </c>
    </row>
    <row r="128" spans="1:74" x14ac:dyDescent="0.25">
      <c r="A128" s="169" t="s">
        <v>57</v>
      </c>
      <c r="B128" s="170" t="s">
        <v>1073</v>
      </c>
      <c r="C128" s="169" t="s">
        <v>207</v>
      </c>
      <c r="D128" s="169" t="s">
        <v>615</v>
      </c>
      <c r="E128" s="169">
        <v>1307</v>
      </c>
      <c r="F128" s="169"/>
      <c r="G128" s="169"/>
      <c r="H128" s="273" t="s">
        <v>645</v>
      </c>
      <c r="I128" s="169" t="s">
        <v>630</v>
      </c>
      <c r="K128" s="33">
        <v>2</v>
      </c>
      <c r="L128" s="10" t="s">
        <v>50</v>
      </c>
      <c r="M128">
        <v>1024</v>
      </c>
      <c r="N128">
        <v>95</v>
      </c>
      <c r="O128" s="9">
        <f t="shared" si="29"/>
        <v>929</v>
      </c>
      <c r="P128" s="35">
        <v>258</v>
      </c>
      <c r="Q128" s="35">
        <v>258</v>
      </c>
      <c r="R128" s="35">
        <v>259</v>
      </c>
      <c r="S128" s="24">
        <f t="shared" si="30"/>
        <v>258.33333333333331</v>
      </c>
      <c r="T128" s="35">
        <v>150</v>
      </c>
      <c r="U128" s="35">
        <v>150</v>
      </c>
      <c r="V128" s="35">
        <v>151</v>
      </c>
      <c r="W128" s="24">
        <f t="shared" si="31"/>
        <v>150.33333333333334</v>
      </c>
      <c r="X128" s="36">
        <v>10.6</v>
      </c>
      <c r="Y128" s="35">
        <v>10.16</v>
      </c>
      <c r="Z128" s="35">
        <v>10.31</v>
      </c>
      <c r="AA128" s="24">
        <f t="shared" si="32"/>
        <v>10.356666666666667</v>
      </c>
      <c r="AB128" s="37">
        <v>49.36</v>
      </c>
      <c r="AC128" s="37">
        <v>49.65</v>
      </c>
      <c r="AD128" s="37">
        <v>49.25</v>
      </c>
      <c r="AE128" s="24">
        <f t="shared" si="33"/>
        <v>49.419999999999995</v>
      </c>
      <c r="AF128" s="37">
        <v>90.31</v>
      </c>
      <c r="AG128" s="37">
        <v>89.59</v>
      </c>
      <c r="AH128" s="37">
        <v>89.56</v>
      </c>
      <c r="AI128" s="24">
        <f t="shared" si="34"/>
        <v>89.820000000000007</v>
      </c>
      <c r="AJ128" s="37">
        <v>29.5</v>
      </c>
      <c r="AK128" s="37">
        <v>29.78</v>
      </c>
      <c r="AL128" s="37">
        <v>30.37</v>
      </c>
      <c r="AM128" s="24">
        <f t="shared" si="38"/>
        <v>29.883333333333336</v>
      </c>
      <c r="AN128" s="37">
        <v>22.41</v>
      </c>
      <c r="AO128" s="37">
        <v>22.18</v>
      </c>
      <c r="AP128" s="37">
        <v>22.71</v>
      </c>
      <c r="AQ128" s="24">
        <f t="shared" si="39"/>
        <v>22.433333333333337</v>
      </c>
      <c r="AX128" s="35">
        <v>56.78</v>
      </c>
      <c r="AY128" s="35">
        <v>56.73</v>
      </c>
      <c r="AZ128" s="35">
        <v>56.61</v>
      </c>
      <c r="BA128" s="24">
        <f t="shared" si="35"/>
        <v>56.706666666666671</v>
      </c>
      <c r="BB128" s="35">
        <v>31.62</v>
      </c>
      <c r="BC128" s="35">
        <v>31.9</v>
      </c>
      <c r="BD128" s="35">
        <v>32.159999999999997</v>
      </c>
      <c r="BE128" s="24">
        <f t="shared" si="36"/>
        <v>31.893333333333331</v>
      </c>
      <c r="BF128" s="35">
        <v>86.8</v>
      </c>
      <c r="BG128" s="35">
        <v>86.71</v>
      </c>
      <c r="BH128" s="35">
        <v>87.19</v>
      </c>
      <c r="BI128" s="24">
        <f t="shared" si="37"/>
        <v>86.899999999999991</v>
      </c>
      <c r="BJ128" t="s">
        <v>51</v>
      </c>
      <c r="BK128" t="s">
        <v>51</v>
      </c>
      <c r="BU128" t="s">
        <v>629</v>
      </c>
      <c r="BV128" s="169"/>
    </row>
    <row r="129" spans="1:73" x14ac:dyDescent="0.25">
      <c r="A129" t="s">
        <v>57</v>
      </c>
      <c r="B129" s="111" t="s">
        <v>690</v>
      </c>
      <c r="C129" t="s">
        <v>49</v>
      </c>
      <c r="D129" t="s">
        <v>615</v>
      </c>
      <c r="E129">
        <v>1308</v>
      </c>
      <c r="H129" s="274" t="s">
        <v>645</v>
      </c>
      <c r="I129" t="s">
        <v>77</v>
      </c>
      <c r="K129" s="33">
        <v>1</v>
      </c>
      <c r="L129" s="10" t="s">
        <v>50</v>
      </c>
      <c r="M129">
        <v>597</v>
      </c>
      <c r="N129">
        <v>96</v>
      </c>
      <c r="O129" s="9">
        <f t="shared" si="29"/>
        <v>501</v>
      </c>
      <c r="P129" s="35">
        <v>210</v>
      </c>
      <c r="Q129" s="35">
        <v>209</v>
      </c>
      <c r="R129" s="35">
        <v>209</v>
      </c>
      <c r="S129" s="24">
        <f t="shared" si="30"/>
        <v>209.33333333333334</v>
      </c>
      <c r="T129" s="35">
        <v>126</v>
      </c>
      <c r="U129" s="35">
        <v>127</v>
      </c>
      <c r="V129" s="35">
        <v>127</v>
      </c>
      <c r="W129" s="24">
        <f t="shared" si="31"/>
        <v>126.66666666666667</v>
      </c>
      <c r="X129" s="36">
        <v>9.2100000000000009</v>
      </c>
      <c r="Y129" s="35">
        <v>9.1999999999999993</v>
      </c>
      <c r="Z129" s="35">
        <v>9.2100000000000009</v>
      </c>
      <c r="AA129" s="24">
        <f t="shared" si="32"/>
        <v>9.206666666666667</v>
      </c>
      <c r="AB129" s="37">
        <v>41.01</v>
      </c>
      <c r="AC129" s="37">
        <v>41.08</v>
      </c>
      <c r="AD129" s="37">
        <v>41.01</v>
      </c>
      <c r="AE129" s="24">
        <f t="shared" si="33"/>
        <v>41.033333333333331</v>
      </c>
      <c r="AF129" s="37">
        <v>71.12</v>
      </c>
      <c r="AG129" s="37">
        <v>71.58</v>
      </c>
      <c r="AH129" s="37">
        <v>71.44</v>
      </c>
      <c r="AI129" s="24">
        <f t="shared" si="34"/>
        <v>71.38</v>
      </c>
      <c r="AJ129" s="37">
        <v>13.4</v>
      </c>
      <c r="AK129" s="37">
        <v>12.73</v>
      </c>
      <c r="AL129" s="37">
        <v>13.27</v>
      </c>
      <c r="AM129" s="24">
        <f t="shared" si="38"/>
        <v>13.133333333333335</v>
      </c>
      <c r="AN129" s="37">
        <v>8.1</v>
      </c>
      <c r="AO129" s="37">
        <v>8.09</v>
      </c>
      <c r="AP129" s="37">
        <v>7.99</v>
      </c>
      <c r="AQ129" s="24">
        <f t="shared" si="39"/>
        <v>8.06</v>
      </c>
      <c r="AX129" s="35">
        <v>44.16</v>
      </c>
      <c r="AY129" s="35">
        <v>44.35</v>
      </c>
      <c r="AZ129" s="35">
        <v>44.02</v>
      </c>
      <c r="BA129" s="24">
        <f t="shared" si="35"/>
        <v>44.176666666666669</v>
      </c>
      <c r="BB129" s="35">
        <v>29.34</v>
      </c>
      <c r="BC129" s="35">
        <v>29.83</v>
      </c>
      <c r="BD129" s="35">
        <v>29.62</v>
      </c>
      <c r="BE129" s="24">
        <f t="shared" si="36"/>
        <v>29.596666666666668</v>
      </c>
      <c r="BF129" s="35">
        <v>74.03</v>
      </c>
      <c r="BG129" s="35">
        <v>73.989999999999995</v>
      </c>
      <c r="BH129" s="35">
        <v>74.3</v>
      </c>
      <c r="BI129" s="24">
        <f t="shared" si="37"/>
        <v>74.106666666666669</v>
      </c>
      <c r="BJ129" t="s">
        <v>51</v>
      </c>
      <c r="BK129" t="s">
        <v>51</v>
      </c>
    </row>
    <row r="130" spans="1:73" x14ac:dyDescent="0.25">
      <c r="A130" t="s">
        <v>57</v>
      </c>
      <c r="B130" s="111" t="s">
        <v>1074</v>
      </c>
      <c r="C130" t="s">
        <v>49</v>
      </c>
      <c r="D130" t="s">
        <v>615</v>
      </c>
      <c r="E130">
        <v>1309</v>
      </c>
      <c r="H130" s="205" t="s">
        <v>645</v>
      </c>
      <c r="I130" t="s">
        <v>631</v>
      </c>
      <c r="K130" s="33">
        <v>1</v>
      </c>
      <c r="L130" s="10" t="s">
        <v>50</v>
      </c>
      <c r="M130">
        <v>356</v>
      </c>
      <c r="N130">
        <v>95</v>
      </c>
      <c r="O130" s="9">
        <f t="shared" si="29"/>
        <v>261</v>
      </c>
      <c r="P130" s="35">
        <v>165</v>
      </c>
      <c r="Q130" s="35">
        <v>164</v>
      </c>
      <c r="R130" s="35">
        <v>164</v>
      </c>
      <c r="S130" s="24">
        <f t="shared" si="30"/>
        <v>164.33333333333334</v>
      </c>
      <c r="T130" s="35">
        <v>101</v>
      </c>
      <c r="U130" s="35">
        <v>100</v>
      </c>
      <c r="V130" s="35">
        <v>100</v>
      </c>
      <c r="W130" s="24">
        <f t="shared" si="31"/>
        <v>100.33333333333333</v>
      </c>
      <c r="X130" s="36">
        <v>6.75</v>
      </c>
      <c r="Y130" s="35">
        <v>6.9</v>
      </c>
      <c r="Z130" s="35">
        <v>7.28</v>
      </c>
      <c r="AA130" s="24">
        <f t="shared" si="32"/>
        <v>6.9766666666666666</v>
      </c>
      <c r="AB130" s="37">
        <v>34.229999999999997</v>
      </c>
      <c r="AC130" s="37">
        <v>34.229999999999997</v>
      </c>
      <c r="AD130" s="37">
        <v>34.020000000000003</v>
      </c>
      <c r="AE130" s="24">
        <f t="shared" si="33"/>
        <v>34.159999999999997</v>
      </c>
      <c r="AF130" s="37">
        <v>58.47</v>
      </c>
      <c r="AG130" s="37">
        <v>58.45</v>
      </c>
      <c r="AH130" s="37">
        <v>58.48</v>
      </c>
      <c r="AI130" s="24">
        <f t="shared" si="34"/>
        <v>58.466666666666669</v>
      </c>
      <c r="AJ130" s="37">
        <v>9.81</v>
      </c>
      <c r="AK130" s="37">
        <v>9.7200000000000006</v>
      </c>
      <c r="AL130" s="37">
        <v>10.16</v>
      </c>
      <c r="AM130" s="24">
        <f t="shared" si="38"/>
        <v>9.8966666666666665</v>
      </c>
      <c r="AN130" s="37">
        <v>7.87</v>
      </c>
      <c r="AO130" s="37">
        <v>8.14</v>
      </c>
      <c r="AP130" s="37">
        <v>7.76</v>
      </c>
      <c r="AQ130" s="24">
        <f t="shared" si="39"/>
        <v>7.9233333333333347</v>
      </c>
      <c r="AX130" s="35">
        <v>36</v>
      </c>
      <c r="AY130" s="35">
        <v>35.840000000000003</v>
      </c>
      <c r="AZ130" s="35">
        <v>35.299999999999997</v>
      </c>
      <c r="BA130" s="24">
        <f t="shared" si="35"/>
        <v>35.713333333333331</v>
      </c>
      <c r="BB130" s="35">
        <v>26.7</v>
      </c>
      <c r="BC130" s="35">
        <v>26.38</v>
      </c>
      <c r="BD130" s="35">
        <v>26.12</v>
      </c>
      <c r="BE130" s="24">
        <f t="shared" si="36"/>
        <v>26.400000000000002</v>
      </c>
      <c r="BF130" s="35">
        <v>61.4</v>
      </c>
      <c r="BG130" s="35">
        <v>61.72</v>
      </c>
      <c r="BH130" s="35">
        <v>60.77</v>
      </c>
      <c r="BI130" s="24">
        <f t="shared" si="37"/>
        <v>61.296666666666674</v>
      </c>
      <c r="BJ130" t="s">
        <v>51</v>
      </c>
      <c r="BK130" t="s">
        <v>51</v>
      </c>
    </row>
    <row r="131" spans="1:73" x14ac:dyDescent="0.25">
      <c r="A131" t="s">
        <v>57</v>
      </c>
      <c r="B131" s="111" t="s">
        <v>1075</v>
      </c>
      <c r="C131" t="s">
        <v>49</v>
      </c>
      <c r="D131" t="s">
        <v>615</v>
      </c>
      <c r="E131">
        <v>1310</v>
      </c>
      <c r="H131" s="205" t="s">
        <v>645</v>
      </c>
      <c r="I131" t="s">
        <v>227</v>
      </c>
      <c r="K131" s="33">
        <v>2</v>
      </c>
      <c r="L131" s="10" t="s">
        <v>50</v>
      </c>
      <c r="M131">
        <v>1071</v>
      </c>
      <c r="N131">
        <v>94</v>
      </c>
      <c r="O131" s="9">
        <f t="shared" si="29"/>
        <v>977</v>
      </c>
      <c r="P131" s="35">
        <v>170</v>
      </c>
      <c r="Q131" s="35">
        <v>169</v>
      </c>
      <c r="R131" s="35">
        <v>169</v>
      </c>
      <c r="S131" s="24">
        <f t="shared" si="30"/>
        <v>169.33333333333334</v>
      </c>
      <c r="T131" s="35">
        <v>155</v>
      </c>
      <c r="U131" s="35">
        <v>154</v>
      </c>
      <c r="V131" s="35">
        <v>154</v>
      </c>
      <c r="W131" s="24">
        <f t="shared" si="31"/>
        <v>154.33333333333334</v>
      </c>
      <c r="X131" s="36">
        <v>10.53</v>
      </c>
      <c r="Y131" s="35">
        <v>10.33</v>
      </c>
      <c r="Z131" s="35">
        <v>10.84</v>
      </c>
      <c r="AA131" s="24">
        <f t="shared" si="32"/>
        <v>10.566666666666666</v>
      </c>
      <c r="AB131" s="37">
        <v>48.43</v>
      </c>
      <c r="AC131" s="37">
        <v>48.42</v>
      </c>
      <c r="AD131" s="37">
        <v>48.19</v>
      </c>
      <c r="AE131" s="24">
        <f t="shared" si="33"/>
        <v>48.346666666666664</v>
      </c>
      <c r="AF131" s="37">
        <v>89.08</v>
      </c>
      <c r="AG131" s="37">
        <v>89.38</v>
      </c>
      <c r="AH131" s="37">
        <v>89.1</v>
      </c>
      <c r="AI131" s="24">
        <f t="shared" si="34"/>
        <v>89.186666666666653</v>
      </c>
      <c r="AJ131" s="37">
        <v>31.6</v>
      </c>
      <c r="AK131" s="37">
        <v>31.85</v>
      </c>
      <c r="AL131" s="37">
        <v>31.44</v>
      </c>
      <c r="AM131" s="24">
        <f t="shared" si="38"/>
        <v>31.63</v>
      </c>
      <c r="AN131" s="37">
        <v>21.74</v>
      </c>
      <c r="AO131" s="37">
        <v>21.97</v>
      </c>
      <c r="AP131" s="37">
        <v>21.55</v>
      </c>
      <c r="AQ131" s="24">
        <f t="shared" si="39"/>
        <v>21.75333333333333</v>
      </c>
      <c r="AX131" s="35">
        <v>57.15</v>
      </c>
      <c r="AY131" s="35">
        <v>57.43</v>
      </c>
      <c r="AZ131" s="35">
        <v>57.41</v>
      </c>
      <c r="BA131" s="24">
        <f t="shared" si="35"/>
        <v>57.330000000000005</v>
      </c>
      <c r="BB131" s="35">
        <v>33</v>
      </c>
      <c r="BC131" s="35">
        <v>33.18</v>
      </c>
      <c r="BD131" s="35">
        <v>33.04</v>
      </c>
      <c r="BE131" s="24">
        <f t="shared" si="36"/>
        <v>33.073333333333331</v>
      </c>
      <c r="BF131" s="35">
        <v>91.48</v>
      </c>
      <c r="BG131" s="35">
        <v>91.52</v>
      </c>
      <c r="BH131" s="35">
        <v>90.7</v>
      </c>
      <c r="BI131" s="24">
        <f t="shared" si="37"/>
        <v>91.233333333333334</v>
      </c>
      <c r="BJ131" t="s">
        <v>51</v>
      </c>
      <c r="BK131" t="s">
        <v>51</v>
      </c>
    </row>
    <row r="132" spans="1:73" x14ac:dyDescent="0.25">
      <c r="A132" t="s">
        <v>57</v>
      </c>
      <c r="B132" s="111" t="s">
        <v>1076</v>
      </c>
      <c r="C132" t="s">
        <v>49</v>
      </c>
      <c r="D132" t="s">
        <v>615</v>
      </c>
      <c r="E132">
        <v>1312</v>
      </c>
      <c r="H132" s="205" t="s">
        <v>645</v>
      </c>
      <c r="I132" s="111" t="s">
        <v>90</v>
      </c>
      <c r="K132" s="33">
        <v>1</v>
      </c>
      <c r="L132" s="10" t="s">
        <v>50</v>
      </c>
      <c r="M132">
        <v>614</v>
      </c>
      <c r="N132">
        <v>94</v>
      </c>
      <c r="O132" s="9">
        <f t="shared" si="29"/>
        <v>520</v>
      </c>
      <c r="P132" s="35">
        <v>221</v>
      </c>
      <c r="Q132" s="35">
        <v>225</v>
      </c>
      <c r="R132" s="35">
        <v>226</v>
      </c>
      <c r="S132" s="24">
        <f t="shared" si="30"/>
        <v>224</v>
      </c>
      <c r="T132" s="35">
        <v>135</v>
      </c>
      <c r="U132" s="35">
        <v>135</v>
      </c>
      <c r="V132" s="35">
        <v>136</v>
      </c>
      <c r="W132" s="24">
        <f t="shared" si="31"/>
        <v>135.33333333333334</v>
      </c>
      <c r="X132" s="36">
        <v>9.66</v>
      </c>
      <c r="Y132" s="35">
        <v>9.2799999999999994</v>
      </c>
      <c r="Z132" s="35">
        <v>9.36</v>
      </c>
      <c r="AA132" s="24">
        <f t="shared" si="32"/>
        <v>9.4333333333333318</v>
      </c>
      <c r="AB132" s="37">
        <v>40.479999999999997</v>
      </c>
      <c r="AC132" s="37">
        <v>40.590000000000003</v>
      </c>
      <c r="AD132" s="37">
        <v>40.270000000000003</v>
      </c>
      <c r="AE132" s="24">
        <f t="shared" si="33"/>
        <v>40.446666666666665</v>
      </c>
      <c r="AF132" s="37">
        <v>72.75</v>
      </c>
      <c r="AG132" s="37">
        <v>72.58</v>
      </c>
      <c r="AH132" s="37">
        <v>72.38</v>
      </c>
      <c r="AI132" s="24">
        <f t="shared" si="34"/>
        <v>72.569999999999993</v>
      </c>
      <c r="AJ132" s="37">
        <v>15.24</v>
      </c>
      <c r="AK132" s="37">
        <v>15.43</v>
      </c>
      <c r="AL132" s="37">
        <v>15.48</v>
      </c>
      <c r="AM132" s="24">
        <f t="shared" si="38"/>
        <v>15.383333333333335</v>
      </c>
      <c r="AN132" s="37">
        <v>13.34</v>
      </c>
      <c r="AO132" s="37">
        <v>13.32</v>
      </c>
      <c r="AP132" s="37">
        <v>10.65</v>
      </c>
      <c r="AQ132" s="24">
        <f t="shared" si="39"/>
        <v>12.436666666666667</v>
      </c>
      <c r="AX132" s="37">
        <v>43.6</v>
      </c>
      <c r="AY132" s="37">
        <v>43.83</v>
      </c>
      <c r="AZ132" s="37">
        <v>43.35</v>
      </c>
      <c r="BA132" s="24">
        <f t="shared" si="35"/>
        <v>43.593333333333334</v>
      </c>
      <c r="BB132" s="37">
        <v>29.93</v>
      </c>
      <c r="BC132" s="37">
        <v>29.92</v>
      </c>
      <c r="BD132" s="37">
        <v>30.3</v>
      </c>
      <c r="BE132" s="24">
        <f t="shared" si="36"/>
        <v>30.05</v>
      </c>
      <c r="BF132" s="37">
        <v>71.760000000000005</v>
      </c>
      <c r="BG132" s="37">
        <v>72.180000000000007</v>
      </c>
      <c r="BH132" s="37">
        <v>71.89</v>
      </c>
      <c r="BI132" s="24">
        <f t="shared" si="37"/>
        <v>71.943333333333328</v>
      </c>
      <c r="BJ132" t="s">
        <v>51</v>
      </c>
      <c r="BK132" t="s">
        <v>51</v>
      </c>
    </row>
    <row r="133" spans="1:73" x14ac:dyDescent="0.25">
      <c r="A133" t="s">
        <v>57</v>
      </c>
      <c r="B133" s="111" t="s">
        <v>1022</v>
      </c>
      <c r="C133" t="s">
        <v>207</v>
      </c>
      <c r="D133" t="s">
        <v>615</v>
      </c>
      <c r="E133">
        <v>1160</v>
      </c>
      <c r="H133" s="205" t="s">
        <v>646</v>
      </c>
      <c r="I133" s="111" t="s">
        <v>71</v>
      </c>
      <c r="K133" s="33">
        <v>2</v>
      </c>
      <c r="L133" s="10" t="s">
        <v>64</v>
      </c>
      <c r="M133">
        <v>788</v>
      </c>
      <c r="N133">
        <v>94</v>
      </c>
      <c r="O133" s="9">
        <f t="shared" si="29"/>
        <v>694</v>
      </c>
      <c r="P133" s="35">
        <v>237</v>
      </c>
      <c r="Q133" s="35">
        <v>237</v>
      </c>
      <c r="R133" s="35">
        <v>236</v>
      </c>
      <c r="S133" s="24">
        <f t="shared" si="30"/>
        <v>236.66666666666666</v>
      </c>
      <c r="T133" s="35">
        <v>7</v>
      </c>
      <c r="U133" s="35">
        <v>7</v>
      </c>
      <c r="V133" s="35">
        <v>6</v>
      </c>
      <c r="W133" s="24">
        <f t="shared" si="31"/>
        <v>6.666666666666667</v>
      </c>
      <c r="X133" s="36">
        <v>8.89</v>
      </c>
      <c r="Y133" s="35">
        <v>9.19</v>
      </c>
      <c r="Z133" s="35">
        <v>8.89</v>
      </c>
      <c r="AA133" s="24">
        <f t="shared" si="32"/>
        <v>8.99</v>
      </c>
      <c r="AB133" s="37">
        <v>45.17</v>
      </c>
      <c r="AC133" s="37">
        <v>45.07</v>
      </c>
      <c r="AD133" s="37">
        <v>45.35</v>
      </c>
      <c r="AE133" s="24">
        <f t="shared" si="33"/>
        <v>45.196666666666665</v>
      </c>
      <c r="AF133" s="37">
        <v>81.17</v>
      </c>
      <c r="AG133" s="37">
        <v>81.2</v>
      </c>
      <c r="AH133" s="37">
        <v>80.98</v>
      </c>
      <c r="AI133" s="24">
        <f t="shared" si="34"/>
        <v>81.116666666666674</v>
      </c>
      <c r="AS133" t="s">
        <v>65</v>
      </c>
      <c r="AU133">
        <v>4</v>
      </c>
      <c r="AV133">
        <v>2</v>
      </c>
      <c r="AW133" s="9">
        <v>5.88</v>
      </c>
      <c r="AX133" s="35">
        <v>50.75</v>
      </c>
      <c r="AY133" s="35">
        <v>51.04</v>
      </c>
      <c r="AZ133" s="35">
        <v>50.93</v>
      </c>
      <c r="BA133" s="24">
        <f t="shared" si="35"/>
        <v>50.906666666666666</v>
      </c>
      <c r="BB133" s="35">
        <v>30.33</v>
      </c>
      <c r="BC133" s="35">
        <v>29.56</v>
      </c>
      <c r="BD133" s="35">
        <v>30.28</v>
      </c>
      <c r="BE133" s="24">
        <f t="shared" si="36"/>
        <v>30.056666666666668</v>
      </c>
      <c r="BF133" s="35">
        <v>77.36</v>
      </c>
      <c r="BG133" s="35">
        <v>77.98</v>
      </c>
      <c r="BH133" s="35">
        <v>78.34</v>
      </c>
      <c r="BI133" s="24">
        <f t="shared" si="37"/>
        <v>77.893333333333331</v>
      </c>
      <c r="BK133" t="s">
        <v>51</v>
      </c>
    </row>
    <row r="134" spans="1:73" x14ac:dyDescent="0.25">
      <c r="A134" t="s">
        <v>57</v>
      </c>
      <c r="B134" s="111" t="s">
        <v>636</v>
      </c>
      <c r="C134" t="s">
        <v>49</v>
      </c>
      <c r="D134" t="s">
        <v>615</v>
      </c>
      <c r="E134">
        <v>1328</v>
      </c>
      <c r="H134" s="205" t="s">
        <v>647</v>
      </c>
      <c r="I134" s="111" t="s">
        <v>618</v>
      </c>
      <c r="K134" s="33">
        <v>1</v>
      </c>
      <c r="L134" s="10" t="s">
        <v>64</v>
      </c>
      <c r="M134">
        <v>334</v>
      </c>
      <c r="N134">
        <v>93</v>
      </c>
      <c r="O134" s="9">
        <f t="shared" si="29"/>
        <v>241</v>
      </c>
      <c r="P134" s="35">
        <v>152</v>
      </c>
      <c r="Q134" s="35">
        <v>151</v>
      </c>
      <c r="R134" s="35">
        <v>152</v>
      </c>
      <c r="S134" s="24">
        <f t="shared" si="30"/>
        <v>151.66666666666666</v>
      </c>
      <c r="T134" s="35">
        <v>109</v>
      </c>
      <c r="U134" s="35">
        <v>109</v>
      </c>
      <c r="V134" s="35">
        <v>108</v>
      </c>
      <c r="W134" s="24">
        <f t="shared" si="31"/>
        <v>108.66666666666667</v>
      </c>
      <c r="X134" s="36">
        <v>6.5</v>
      </c>
      <c r="Y134" s="35">
        <v>6.86</v>
      </c>
      <c r="Z134" s="35">
        <v>6.61</v>
      </c>
      <c r="AA134" s="24">
        <f t="shared" si="32"/>
        <v>6.6566666666666663</v>
      </c>
      <c r="AB134" s="37">
        <v>34.11</v>
      </c>
      <c r="AC134" s="37">
        <v>34.1</v>
      </c>
      <c r="AD134" s="37">
        <v>34.090000000000003</v>
      </c>
      <c r="AE134" s="24">
        <f t="shared" si="33"/>
        <v>34.1</v>
      </c>
      <c r="AF134" s="37">
        <v>53.18</v>
      </c>
      <c r="AG134" s="37">
        <v>53.2</v>
      </c>
      <c r="AH134" s="37">
        <v>53.14</v>
      </c>
      <c r="AI134" s="24">
        <f t="shared" si="34"/>
        <v>53.173333333333325</v>
      </c>
      <c r="AS134" t="s">
        <v>70</v>
      </c>
      <c r="AT134">
        <v>8</v>
      </c>
      <c r="AU134">
        <v>0</v>
      </c>
      <c r="AX134" s="35">
        <v>34.67</v>
      </c>
      <c r="AY134" s="35">
        <v>34.22</v>
      </c>
      <c r="AZ134" s="35">
        <v>34.450000000000003</v>
      </c>
      <c r="BA134" s="24">
        <f t="shared" si="35"/>
        <v>34.446666666666665</v>
      </c>
      <c r="BB134" s="35">
        <v>24.43</v>
      </c>
      <c r="BC134" s="35">
        <v>24.04</v>
      </c>
      <c r="BD134" s="35">
        <v>24.12</v>
      </c>
      <c r="BE134" s="24">
        <f t="shared" si="36"/>
        <v>24.196666666666669</v>
      </c>
      <c r="BF134" s="35">
        <v>51.28</v>
      </c>
      <c r="BG134" s="35">
        <v>61.41</v>
      </c>
      <c r="BH134" s="35">
        <v>61.45</v>
      </c>
      <c r="BI134" s="24">
        <f t="shared" si="37"/>
        <v>58.04666666666666</v>
      </c>
      <c r="BJ134" t="s">
        <v>51</v>
      </c>
      <c r="BK134" t="s">
        <v>51</v>
      </c>
    </row>
    <row r="135" spans="1:73" x14ac:dyDescent="0.25">
      <c r="A135" t="s">
        <v>57</v>
      </c>
      <c r="B135" s="111" t="s">
        <v>1052</v>
      </c>
      <c r="C135" t="s">
        <v>207</v>
      </c>
      <c r="D135" t="s">
        <v>615</v>
      </c>
      <c r="E135">
        <v>1001</v>
      </c>
      <c r="H135" s="205" t="s">
        <v>647</v>
      </c>
      <c r="I135" s="111" t="s">
        <v>231</v>
      </c>
      <c r="K135" s="34" t="s">
        <v>66</v>
      </c>
      <c r="L135" s="10" t="s">
        <v>64</v>
      </c>
      <c r="M135">
        <v>762</v>
      </c>
      <c r="N135">
        <v>94</v>
      </c>
      <c r="O135" s="9">
        <f t="shared" si="29"/>
        <v>668</v>
      </c>
      <c r="P135" s="35">
        <v>255</v>
      </c>
      <c r="Q135" s="35">
        <v>256</v>
      </c>
      <c r="R135" s="35">
        <v>256</v>
      </c>
      <c r="S135" s="24">
        <f t="shared" si="30"/>
        <v>255.66666666666666</v>
      </c>
      <c r="T135" s="35">
        <v>140</v>
      </c>
      <c r="U135" s="35">
        <v>140</v>
      </c>
      <c r="V135" s="35">
        <v>139</v>
      </c>
      <c r="W135" s="24">
        <f t="shared" si="31"/>
        <v>139.66666666666666</v>
      </c>
      <c r="X135" s="36">
        <v>8.98</v>
      </c>
      <c r="Y135" s="35">
        <v>9.06</v>
      </c>
      <c r="Z135" s="35">
        <v>9.66</v>
      </c>
      <c r="AA135" s="24">
        <f t="shared" si="32"/>
        <v>9.2333333333333325</v>
      </c>
      <c r="AB135" s="37">
        <v>43.48</v>
      </c>
      <c r="AC135" s="37">
        <v>43.62</v>
      </c>
      <c r="AD135" s="37">
        <v>43.58</v>
      </c>
      <c r="AE135" s="24">
        <f t="shared" si="33"/>
        <v>43.56</v>
      </c>
      <c r="AF135" s="37">
        <v>77.290000000000006</v>
      </c>
      <c r="AG135" s="37">
        <v>77.2</v>
      </c>
      <c r="AH135" s="37">
        <v>77.239999999999995</v>
      </c>
      <c r="AI135" s="24">
        <f t="shared" si="34"/>
        <v>77.243333333333339</v>
      </c>
      <c r="AS135" t="s">
        <v>65</v>
      </c>
      <c r="AT135">
        <v>8</v>
      </c>
      <c r="AU135">
        <v>2</v>
      </c>
      <c r="AV135">
        <v>0</v>
      </c>
      <c r="AX135" s="35">
        <v>48.57</v>
      </c>
      <c r="AY135" s="35">
        <v>48.55</v>
      </c>
      <c r="AZ135" s="35">
        <v>48.8</v>
      </c>
      <c r="BA135" s="24">
        <f t="shared" si="35"/>
        <v>48.640000000000008</v>
      </c>
      <c r="BB135" s="35">
        <v>30.76</v>
      </c>
      <c r="BC135" s="35">
        <v>31.16</v>
      </c>
      <c r="BD135" s="35">
        <v>31.21</v>
      </c>
      <c r="BE135" s="24">
        <f t="shared" si="36"/>
        <v>31.043333333333333</v>
      </c>
      <c r="BF135" s="35">
        <v>79.260000000000005</v>
      </c>
      <c r="BG135" s="35">
        <v>79.67</v>
      </c>
      <c r="BH135" s="35">
        <v>78.42</v>
      </c>
      <c r="BI135" s="24">
        <f t="shared" si="37"/>
        <v>79.116666666666674</v>
      </c>
      <c r="BK135" t="s">
        <v>51</v>
      </c>
    </row>
    <row r="136" spans="1:73" x14ac:dyDescent="0.25">
      <c r="A136" t="s">
        <v>57</v>
      </c>
      <c r="B136" s="111" t="s">
        <v>1060</v>
      </c>
      <c r="C136" t="s">
        <v>207</v>
      </c>
      <c r="D136" t="s">
        <v>615</v>
      </c>
      <c r="E136">
        <v>1016</v>
      </c>
      <c r="H136" s="205" t="s">
        <v>647</v>
      </c>
      <c r="I136" s="111" t="s">
        <v>630</v>
      </c>
      <c r="K136" s="33">
        <v>2</v>
      </c>
      <c r="L136" s="10" t="s">
        <v>64</v>
      </c>
      <c r="M136">
        <v>824</v>
      </c>
      <c r="N136">
        <v>89</v>
      </c>
      <c r="O136" s="9">
        <f t="shared" si="29"/>
        <v>735</v>
      </c>
      <c r="P136" s="35">
        <v>240</v>
      </c>
      <c r="Q136" s="35">
        <v>240</v>
      </c>
      <c r="R136" s="35">
        <v>241</v>
      </c>
      <c r="S136" s="24">
        <f t="shared" si="30"/>
        <v>240.33333333333334</v>
      </c>
      <c r="T136" s="35">
        <v>140</v>
      </c>
      <c r="U136" s="35">
        <v>141</v>
      </c>
      <c r="V136" s="35">
        <v>141</v>
      </c>
      <c r="W136" s="24">
        <f t="shared" si="31"/>
        <v>140.66666666666666</v>
      </c>
      <c r="X136" s="36">
        <v>9.51</v>
      </c>
      <c r="Y136" s="35">
        <v>9.59</v>
      </c>
      <c r="Z136" s="35">
        <v>9.5</v>
      </c>
      <c r="AA136" s="24">
        <f t="shared" si="32"/>
        <v>9.5333333333333332</v>
      </c>
      <c r="AB136" s="37">
        <v>44.43</v>
      </c>
      <c r="AC136" s="37">
        <v>44.52</v>
      </c>
      <c r="AD136" s="37">
        <v>44.61</v>
      </c>
      <c r="AE136" s="24">
        <f t="shared" si="33"/>
        <v>44.52</v>
      </c>
      <c r="AF136" s="37">
        <v>79.58</v>
      </c>
      <c r="AG136" s="37">
        <v>80</v>
      </c>
      <c r="AH136" s="37">
        <v>80.319999999999993</v>
      </c>
      <c r="AI136" s="24">
        <f t="shared" si="34"/>
        <v>79.966666666666654</v>
      </c>
      <c r="AS136" t="s">
        <v>65</v>
      </c>
      <c r="AV136">
        <v>2</v>
      </c>
      <c r="AW136" s="9">
        <v>15.77</v>
      </c>
      <c r="AX136" s="35">
        <v>49.67</v>
      </c>
      <c r="AY136" s="35">
        <v>50.3</v>
      </c>
      <c r="AZ136" s="35">
        <v>50.13</v>
      </c>
      <c r="BA136" s="24">
        <f t="shared" si="35"/>
        <v>50.033333333333331</v>
      </c>
      <c r="BB136" s="35">
        <v>30.86</v>
      </c>
      <c r="BC136" s="35">
        <v>30.89</v>
      </c>
      <c r="BD136" s="35">
        <v>31.05</v>
      </c>
      <c r="BE136" s="24">
        <f t="shared" si="36"/>
        <v>30.933333333333334</v>
      </c>
      <c r="BF136" s="35">
        <v>80.69</v>
      </c>
      <c r="BG136" s="35">
        <v>80.55</v>
      </c>
      <c r="BH136" s="35">
        <v>80.540000000000006</v>
      </c>
      <c r="BI136" s="24">
        <f t="shared" si="37"/>
        <v>80.593333333333348</v>
      </c>
      <c r="BK136" t="s">
        <v>51</v>
      </c>
    </row>
    <row r="137" spans="1:73" x14ac:dyDescent="0.25">
      <c r="A137" t="s">
        <v>57</v>
      </c>
      <c r="B137" s="111" t="s">
        <v>1077</v>
      </c>
      <c r="C137" t="s">
        <v>49</v>
      </c>
      <c r="D137" t="s">
        <v>615</v>
      </c>
      <c r="E137">
        <v>1329</v>
      </c>
      <c r="H137" s="205" t="s">
        <v>647</v>
      </c>
      <c r="I137" s="111" t="s">
        <v>637</v>
      </c>
      <c r="K137" s="33">
        <v>4</v>
      </c>
      <c r="L137" s="10" t="s">
        <v>50</v>
      </c>
      <c r="M137">
        <v>1763</v>
      </c>
      <c r="N137">
        <v>94</v>
      </c>
      <c r="O137" s="9">
        <f t="shared" si="29"/>
        <v>1669</v>
      </c>
      <c r="P137" s="35">
        <v>341</v>
      </c>
      <c r="Q137" s="35">
        <v>342</v>
      </c>
      <c r="R137" s="35">
        <v>342</v>
      </c>
      <c r="S137" s="24">
        <f t="shared" si="30"/>
        <v>341.66666666666669</v>
      </c>
      <c r="T137" s="35">
        <v>165</v>
      </c>
      <c r="U137" s="35">
        <v>165</v>
      </c>
      <c r="V137" s="35">
        <v>166</v>
      </c>
      <c r="W137" s="24">
        <f t="shared" si="31"/>
        <v>165.33333333333334</v>
      </c>
      <c r="X137" s="36">
        <v>14.54</v>
      </c>
      <c r="Y137" s="35">
        <v>14.79</v>
      </c>
      <c r="Z137" s="35">
        <v>14.82</v>
      </c>
      <c r="AA137" s="24">
        <f t="shared" si="32"/>
        <v>14.716666666666667</v>
      </c>
      <c r="AB137" s="37">
        <v>52.58</v>
      </c>
      <c r="AC137" s="37">
        <v>52.78</v>
      </c>
      <c r="AD137" s="37">
        <v>52.65</v>
      </c>
      <c r="AE137" s="24">
        <f t="shared" si="33"/>
        <v>52.669999999999995</v>
      </c>
      <c r="AF137" s="37">
        <v>100.06</v>
      </c>
      <c r="AG137" s="37">
        <v>100.33</v>
      </c>
      <c r="AH137" s="37">
        <v>100.44</v>
      </c>
      <c r="AI137" s="24">
        <f t="shared" si="34"/>
        <v>100.27666666666666</v>
      </c>
      <c r="AJ137" s="37">
        <v>33.479999999999997</v>
      </c>
      <c r="AK137" s="37">
        <v>33.869999999999997</v>
      </c>
      <c r="AL137" s="37">
        <v>33.6</v>
      </c>
      <c r="AM137" s="24">
        <f>AVERAGE(AJ137:AL137)</f>
        <v>33.65</v>
      </c>
      <c r="AN137" s="37">
        <v>23.7</v>
      </c>
      <c r="AO137" s="37">
        <v>22.84</v>
      </c>
      <c r="AP137" s="37">
        <v>22.87</v>
      </c>
      <c r="AQ137" s="24">
        <f>AVERAGE(AN137:AP137)</f>
        <v>23.136666666666667</v>
      </c>
      <c r="AX137" s="35">
        <v>63.88</v>
      </c>
      <c r="AY137" s="35">
        <v>64.040000000000006</v>
      </c>
      <c r="AZ137" s="35">
        <v>63.94</v>
      </c>
      <c r="BA137" s="24">
        <f t="shared" si="35"/>
        <v>63.95333333333334</v>
      </c>
      <c r="BB137" s="35">
        <v>40.39</v>
      </c>
      <c r="BC137" s="35">
        <v>39.67</v>
      </c>
      <c r="BD137" s="35">
        <v>39.950000000000003</v>
      </c>
      <c r="BE137" s="24">
        <f t="shared" si="36"/>
        <v>40.003333333333337</v>
      </c>
      <c r="BF137" s="35">
        <v>96.06</v>
      </c>
      <c r="BG137" s="35">
        <v>95.55</v>
      </c>
      <c r="BH137" s="35">
        <v>95.89</v>
      </c>
      <c r="BI137" s="24">
        <f t="shared" si="37"/>
        <v>95.833333333333329</v>
      </c>
      <c r="BJ137" t="s">
        <v>51</v>
      </c>
      <c r="BK137" t="s">
        <v>51</v>
      </c>
    </row>
    <row r="138" spans="1:73" x14ac:dyDescent="0.25">
      <c r="A138" t="s">
        <v>57</v>
      </c>
      <c r="B138" s="111" t="s">
        <v>1078</v>
      </c>
      <c r="C138" t="s">
        <v>49</v>
      </c>
      <c r="D138" t="s">
        <v>615</v>
      </c>
      <c r="E138">
        <v>1335</v>
      </c>
      <c r="H138" s="205" t="s">
        <v>648</v>
      </c>
      <c r="I138" s="111" t="s">
        <v>638</v>
      </c>
      <c r="K138" s="33">
        <v>1</v>
      </c>
      <c r="L138" s="10" t="s">
        <v>50</v>
      </c>
      <c r="M138">
        <v>482</v>
      </c>
      <c r="N138">
        <v>94</v>
      </c>
      <c r="O138" s="9">
        <f t="shared" si="29"/>
        <v>388</v>
      </c>
      <c r="P138" s="35">
        <v>189</v>
      </c>
      <c r="Q138" s="35">
        <v>189</v>
      </c>
      <c r="R138" s="35">
        <v>190</v>
      </c>
      <c r="S138" s="24">
        <f t="shared" si="30"/>
        <v>189.33333333333334</v>
      </c>
      <c r="T138" s="35">
        <v>119</v>
      </c>
      <c r="U138" s="35">
        <v>118</v>
      </c>
      <c r="V138" s="35">
        <v>118</v>
      </c>
      <c r="W138" s="24">
        <f t="shared" si="31"/>
        <v>118.33333333333333</v>
      </c>
      <c r="X138" s="36">
        <v>8.1300000000000008</v>
      </c>
      <c r="Y138" s="35">
        <v>8.08</v>
      </c>
      <c r="Z138" s="35">
        <v>8.01</v>
      </c>
      <c r="AA138" s="24">
        <f t="shared" si="32"/>
        <v>8.0733333333333324</v>
      </c>
      <c r="AB138" s="37">
        <v>37.61</v>
      </c>
      <c r="AC138" s="37">
        <v>37.380000000000003</v>
      </c>
      <c r="AD138" s="37">
        <v>37</v>
      </c>
      <c r="AE138" s="24">
        <f t="shared" si="33"/>
        <v>37.330000000000005</v>
      </c>
      <c r="AF138" s="37">
        <v>60.71</v>
      </c>
      <c r="AG138" s="37">
        <v>60.93</v>
      </c>
      <c r="AH138" s="37">
        <v>61.26</v>
      </c>
      <c r="AI138" s="24">
        <f t="shared" si="34"/>
        <v>60.966666666666669</v>
      </c>
      <c r="AJ138" s="37">
        <v>11.61</v>
      </c>
      <c r="AK138" s="37">
        <v>11.8</v>
      </c>
      <c r="AL138" s="37">
        <v>11.54</v>
      </c>
      <c r="AM138" s="24">
        <f>AVERAGE(AJ138:AL138)</f>
        <v>11.65</v>
      </c>
      <c r="AN138" s="37">
        <v>8.6</v>
      </c>
      <c r="AO138" s="37">
        <v>8.8000000000000007</v>
      </c>
      <c r="AP138" s="37">
        <v>8.98</v>
      </c>
      <c r="AQ138" s="24">
        <f>AVERAGE(AN138:AP138)</f>
        <v>8.793333333333333</v>
      </c>
      <c r="AX138" s="35">
        <v>38.81</v>
      </c>
      <c r="AY138" s="35">
        <v>38.21</v>
      </c>
      <c r="AZ138" s="35">
        <v>38.81</v>
      </c>
      <c r="BA138" s="24">
        <f t="shared" si="35"/>
        <v>38.610000000000007</v>
      </c>
      <c r="BB138" s="35">
        <v>28.05</v>
      </c>
      <c r="BC138" s="35">
        <v>28.28</v>
      </c>
      <c r="BD138" s="35">
        <v>38.58</v>
      </c>
      <c r="BE138" s="24">
        <f t="shared" si="36"/>
        <v>31.636666666666667</v>
      </c>
      <c r="BF138" s="35">
        <v>68.680000000000007</v>
      </c>
      <c r="BG138" s="35">
        <v>68.52</v>
      </c>
      <c r="BH138" s="35">
        <v>69.09</v>
      </c>
      <c r="BI138" s="24">
        <f t="shared" si="37"/>
        <v>68.763333333333335</v>
      </c>
      <c r="BJ138" t="s">
        <v>51</v>
      </c>
      <c r="BK138" t="s">
        <v>51</v>
      </c>
    </row>
    <row r="139" spans="1:73" x14ac:dyDescent="0.25">
      <c r="A139" t="s">
        <v>57</v>
      </c>
      <c r="B139" s="111" t="s">
        <v>1079</v>
      </c>
      <c r="C139" t="s">
        <v>49</v>
      </c>
      <c r="D139" t="s">
        <v>615</v>
      </c>
      <c r="E139">
        <v>1338</v>
      </c>
      <c r="H139" s="205" t="s">
        <v>649</v>
      </c>
      <c r="I139" t="s">
        <v>88</v>
      </c>
      <c r="K139" s="33">
        <v>1</v>
      </c>
      <c r="L139" s="10" t="s">
        <v>64</v>
      </c>
      <c r="M139">
        <v>481</v>
      </c>
      <c r="N139">
        <v>96</v>
      </c>
      <c r="O139" s="9">
        <f t="shared" si="29"/>
        <v>385</v>
      </c>
      <c r="P139" s="35">
        <v>191</v>
      </c>
      <c r="Q139" s="35">
        <v>190</v>
      </c>
      <c r="R139" s="35">
        <v>190</v>
      </c>
      <c r="S139" s="24">
        <f t="shared" si="30"/>
        <v>190.33333333333334</v>
      </c>
      <c r="T139" s="35">
        <v>114</v>
      </c>
      <c r="U139" s="35">
        <v>113</v>
      </c>
      <c r="V139" s="35">
        <v>114</v>
      </c>
      <c r="W139" s="24">
        <f t="shared" si="31"/>
        <v>113.66666666666667</v>
      </c>
      <c r="X139" s="36">
        <v>7.51</v>
      </c>
      <c r="Y139" s="35">
        <v>7.23</v>
      </c>
      <c r="Z139" s="35">
        <v>7.66</v>
      </c>
      <c r="AA139" s="24">
        <f t="shared" si="32"/>
        <v>7.4666666666666659</v>
      </c>
      <c r="AB139" s="37">
        <v>36.770000000000003</v>
      </c>
      <c r="AC139" s="37">
        <v>36.65</v>
      </c>
      <c r="AD139" s="37">
        <v>37.03</v>
      </c>
      <c r="AE139" s="24">
        <f t="shared" si="33"/>
        <v>36.81666666666667</v>
      </c>
      <c r="AF139" s="37">
        <v>67.09</v>
      </c>
      <c r="AG139" s="37">
        <v>64.239999999999995</v>
      </c>
      <c r="AH139" s="37">
        <v>64.180000000000007</v>
      </c>
      <c r="AI139" s="24">
        <f t="shared" si="34"/>
        <v>65.17</v>
      </c>
      <c r="AS139" t="s">
        <v>65</v>
      </c>
      <c r="AT139">
        <v>8</v>
      </c>
      <c r="AU139">
        <v>0</v>
      </c>
      <c r="AV139">
        <v>0</v>
      </c>
      <c r="AX139" s="35">
        <v>40.47</v>
      </c>
      <c r="AY139" s="35">
        <v>40.24</v>
      </c>
      <c r="AZ139" s="35">
        <v>39.39</v>
      </c>
      <c r="BA139" s="24">
        <f t="shared" si="35"/>
        <v>40.033333333333339</v>
      </c>
      <c r="BB139" s="35">
        <v>26.95</v>
      </c>
      <c r="BC139" s="35">
        <v>26.63</v>
      </c>
      <c r="BD139" s="35">
        <v>26.82</v>
      </c>
      <c r="BE139" s="24">
        <f t="shared" si="36"/>
        <v>26.8</v>
      </c>
      <c r="BF139" s="35">
        <v>69.63</v>
      </c>
      <c r="BG139" s="35">
        <v>68.94</v>
      </c>
      <c r="BH139" s="35">
        <v>69.03</v>
      </c>
      <c r="BI139" s="24">
        <f t="shared" si="37"/>
        <v>69.2</v>
      </c>
    </row>
    <row r="140" spans="1:73" x14ac:dyDescent="0.25">
      <c r="A140" t="s">
        <v>57</v>
      </c>
      <c r="B140" s="111" t="s">
        <v>1080</v>
      </c>
      <c r="C140" t="s">
        <v>49</v>
      </c>
      <c r="D140" t="s">
        <v>615</v>
      </c>
      <c r="E140">
        <v>1342</v>
      </c>
      <c r="H140" s="205" t="s">
        <v>650</v>
      </c>
      <c r="I140" t="s">
        <v>639</v>
      </c>
      <c r="K140" s="33">
        <v>2</v>
      </c>
      <c r="L140" s="10" t="s">
        <v>640</v>
      </c>
      <c r="M140">
        <v>944</v>
      </c>
      <c r="N140">
        <v>94</v>
      </c>
      <c r="O140" s="9">
        <f t="shared" si="29"/>
        <v>850</v>
      </c>
      <c r="P140" s="35">
        <v>273</v>
      </c>
      <c r="Q140" s="35">
        <v>272</v>
      </c>
      <c r="R140" s="35">
        <v>272</v>
      </c>
      <c r="S140" s="24">
        <f t="shared" si="30"/>
        <v>272.33333333333331</v>
      </c>
      <c r="T140" s="35">
        <v>165</v>
      </c>
      <c r="U140" s="35">
        <v>164</v>
      </c>
      <c r="V140" s="35">
        <v>164</v>
      </c>
      <c r="W140" s="24">
        <f t="shared" si="31"/>
        <v>164.33333333333334</v>
      </c>
      <c r="X140" s="36">
        <v>10.78</v>
      </c>
      <c r="Y140" s="35">
        <v>11.12</v>
      </c>
      <c r="Z140" s="35">
        <v>11.03</v>
      </c>
      <c r="AA140" s="24">
        <f t="shared" si="32"/>
        <v>10.976666666666667</v>
      </c>
      <c r="AB140" s="37">
        <v>49.41</v>
      </c>
      <c r="AC140" s="37">
        <v>49.6</v>
      </c>
      <c r="AD140" s="37">
        <v>48.84</v>
      </c>
      <c r="AE140" s="24">
        <f t="shared" si="33"/>
        <v>49.283333333333331</v>
      </c>
      <c r="AF140" s="37">
        <v>86.94</v>
      </c>
      <c r="AG140" s="37">
        <v>86.94</v>
      </c>
      <c r="AH140" s="37">
        <v>86.94</v>
      </c>
      <c r="AI140" s="24">
        <f t="shared" si="34"/>
        <v>86.94</v>
      </c>
      <c r="AJ140" s="12">
        <v>30.75</v>
      </c>
      <c r="AK140" s="12">
        <v>30.63</v>
      </c>
      <c r="AL140" s="12">
        <v>30.68</v>
      </c>
      <c r="AM140" s="24">
        <f>AVERAGE(AJ140:AL140)</f>
        <v>30.686666666666667</v>
      </c>
      <c r="AN140" s="35">
        <v>20.43</v>
      </c>
      <c r="AO140" s="35">
        <v>20.29</v>
      </c>
      <c r="AP140" s="35">
        <v>20.43</v>
      </c>
      <c r="AQ140" s="24">
        <f>AVERAGE(AN140:AP140)</f>
        <v>20.383333333333333</v>
      </c>
      <c r="AX140" s="35">
        <v>55.92</v>
      </c>
      <c r="AY140" s="35">
        <v>55.82</v>
      </c>
      <c r="AZ140" s="35">
        <v>55.66</v>
      </c>
      <c r="BA140" s="24">
        <f t="shared" si="35"/>
        <v>55.800000000000004</v>
      </c>
      <c r="BB140" s="35">
        <v>31.73</v>
      </c>
      <c r="BC140" s="35">
        <v>31.87</v>
      </c>
      <c r="BD140" s="35">
        <v>31.52</v>
      </c>
      <c r="BE140" s="24">
        <f t="shared" si="36"/>
        <v>31.706666666666667</v>
      </c>
      <c r="BF140" s="35">
        <v>85.2</v>
      </c>
      <c r="BG140" s="35">
        <v>85.01</v>
      </c>
      <c r="BH140" s="35">
        <v>84.87</v>
      </c>
      <c r="BI140" s="24">
        <f t="shared" si="37"/>
        <v>85.026666666666671</v>
      </c>
    </row>
    <row r="141" spans="1:73" s="176" customFormat="1" x14ac:dyDescent="0.25">
      <c r="A141" s="183" t="s">
        <v>963</v>
      </c>
      <c r="B141" s="184"/>
      <c r="J141" s="177"/>
      <c r="K141" s="178"/>
      <c r="L141" s="179"/>
      <c r="O141" s="177">
        <f t="shared" ref="O141:O172" si="40">M141-N141</f>
        <v>0</v>
      </c>
      <c r="S141" s="180"/>
      <c r="W141" s="180"/>
      <c r="X141" s="181"/>
      <c r="AA141" s="180"/>
      <c r="AE141" s="180"/>
      <c r="AI141" s="180"/>
      <c r="AJ141" s="182"/>
      <c r="AK141" s="182"/>
      <c r="AL141" s="182"/>
      <c r="AM141" s="177"/>
      <c r="AN141" s="182"/>
      <c r="AO141" s="182"/>
      <c r="AP141" s="182"/>
      <c r="AQ141" s="177"/>
      <c r="AR141" s="179"/>
      <c r="AW141" s="177"/>
      <c r="BA141" s="180"/>
      <c r="BE141" s="180"/>
      <c r="BI141" s="180"/>
      <c r="BO141" s="177"/>
      <c r="BP141" s="182"/>
      <c r="BQ141" s="182"/>
      <c r="BR141" s="182"/>
      <c r="BS141" s="182"/>
      <c r="BT141" s="177"/>
    </row>
    <row r="142" spans="1:73" x14ac:dyDescent="0.25">
      <c r="A142" t="s">
        <v>57</v>
      </c>
      <c r="B142" s="111" t="s">
        <v>1067</v>
      </c>
      <c r="C142" t="s">
        <v>207</v>
      </c>
      <c r="D142" t="s">
        <v>656</v>
      </c>
      <c r="E142">
        <v>1098</v>
      </c>
      <c r="H142" s="100">
        <v>42870</v>
      </c>
      <c r="I142" t="s">
        <v>220</v>
      </c>
      <c r="K142" s="33">
        <v>3</v>
      </c>
      <c r="L142" s="10" t="s">
        <v>64</v>
      </c>
      <c r="M142">
        <v>818</v>
      </c>
      <c r="N142">
        <v>96</v>
      </c>
      <c r="O142" s="9">
        <f t="shared" si="40"/>
        <v>722</v>
      </c>
      <c r="P142" s="35">
        <v>250</v>
      </c>
      <c r="Q142" s="35">
        <v>249</v>
      </c>
      <c r="R142" s="35">
        <v>250</v>
      </c>
      <c r="S142" s="24">
        <f t="shared" ref="S142:S173" si="41">AVERAGE(P142:R142)</f>
        <v>249.66666666666666</v>
      </c>
      <c r="T142" s="35">
        <v>153</v>
      </c>
      <c r="U142" s="35">
        <v>152</v>
      </c>
      <c r="V142" s="35">
        <v>153</v>
      </c>
      <c r="W142" s="24">
        <f t="shared" ref="W142:W173" si="42">AVERAGE(T142:V142)</f>
        <v>152.66666666666666</v>
      </c>
      <c r="X142" s="36">
        <v>10.6</v>
      </c>
      <c r="Y142" s="35">
        <v>10.5</v>
      </c>
      <c r="Z142" s="35">
        <v>10.36</v>
      </c>
      <c r="AA142" s="24">
        <f t="shared" ref="AA142:AA173" si="43">AVERAGE(X142:Z142)</f>
        <v>10.486666666666666</v>
      </c>
      <c r="AB142" s="37">
        <v>44.3</v>
      </c>
      <c r="AC142" s="37">
        <v>44.34</v>
      </c>
      <c r="AD142" s="37">
        <v>44.96</v>
      </c>
      <c r="AE142" s="24">
        <f t="shared" ref="AE142:AE173" si="44">AVERAGE(AB142:AD142)</f>
        <v>44.533333333333331</v>
      </c>
      <c r="AF142" s="37">
        <v>78.430000000000007</v>
      </c>
      <c r="AG142" s="37">
        <v>78.7</v>
      </c>
      <c r="AH142" s="37">
        <v>78.760000000000005</v>
      </c>
      <c r="AI142" s="24">
        <f t="shared" ref="AI142:AI173" si="45">AVERAGE(AF142:AH142)</f>
        <v>78.63</v>
      </c>
      <c r="AS142" t="s">
        <v>65</v>
      </c>
      <c r="AT142">
        <v>8</v>
      </c>
      <c r="AU142">
        <v>2</v>
      </c>
      <c r="AV142">
        <v>2</v>
      </c>
      <c r="AW142" s="9">
        <v>11.38</v>
      </c>
      <c r="AX142" s="35">
        <v>48.19</v>
      </c>
      <c r="AY142" s="35">
        <v>48.71</v>
      </c>
      <c r="AZ142" s="35">
        <v>48.48</v>
      </c>
      <c r="BA142" s="24">
        <f t="shared" ref="BA142:BA173" si="46">AVERAGE(AX142:AZ142)</f>
        <v>48.46</v>
      </c>
      <c r="BB142" s="35">
        <v>30.08</v>
      </c>
      <c r="BC142" s="35">
        <v>30.38</v>
      </c>
      <c r="BD142" s="35">
        <v>30.56</v>
      </c>
      <c r="BE142" s="24">
        <f t="shared" ref="BE142:BE173" si="47">AVERAGE(BB142:BD142)</f>
        <v>30.34</v>
      </c>
      <c r="BF142" s="35">
        <v>76.39</v>
      </c>
      <c r="BG142" s="35">
        <v>76.55</v>
      </c>
      <c r="BH142" s="35">
        <v>75.92</v>
      </c>
      <c r="BI142" s="24">
        <f t="shared" ref="BI142:BI173" si="48">AVERAGE(BF142:BH142)</f>
        <v>76.286666666666676</v>
      </c>
      <c r="BK142" t="s">
        <v>51</v>
      </c>
    </row>
    <row r="143" spans="1:73" x14ac:dyDescent="0.25">
      <c r="A143" t="s">
        <v>57</v>
      </c>
      <c r="B143" s="111" t="s">
        <v>1081</v>
      </c>
      <c r="C143" t="s">
        <v>49</v>
      </c>
      <c r="D143" t="s">
        <v>656</v>
      </c>
      <c r="E143">
        <v>1402</v>
      </c>
      <c r="H143" s="100">
        <v>42870</v>
      </c>
      <c r="I143" t="s">
        <v>88</v>
      </c>
      <c r="K143" s="33">
        <v>3</v>
      </c>
      <c r="L143" s="10" t="s">
        <v>64</v>
      </c>
      <c r="M143">
        <v>749</v>
      </c>
      <c r="N143">
        <v>92</v>
      </c>
      <c r="O143" s="9">
        <f t="shared" si="40"/>
        <v>657</v>
      </c>
      <c r="P143" s="35">
        <v>246</v>
      </c>
      <c r="Q143" s="35">
        <v>245</v>
      </c>
      <c r="R143" s="35">
        <v>246</v>
      </c>
      <c r="S143" s="24">
        <f t="shared" si="41"/>
        <v>245.66666666666666</v>
      </c>
      <c r="T143" s="35">
        <v>152</v>
      </c>
      <c r="U143" s="35">
        <v>152</v>
      </c>
      <c r="V143" s="35">
        <v>151</v>
      </c>
      <c r="W143" s="24">
        <f t="shared" si="42"/>
        <v>151.66666666666666</v>
      </c>
      <c r="X143" s="36">
        <v>9.39</v>
      </c>
      <c r="Y143" s="35">
        <v>9.1199999999999992</v>
      </c>
      <c r="Z143" s="35">
        <v>9.15</v>
      </c>
      <c r="AA143" s="24">
        <f t="shared" si="43"/>
        <v>9.2199999999999989</v>
      </c>
      <c r="AB143" s="37">
        <v>42.93</v>
      </c>
      <c r="AC143" s="37">
        <v>43.06</v>
      </c>
      <c r="AD143" s="37">
        <v>42.87</v>
      </c>
      <c r="AE143" s="24">
        <f t="shared" si="44"/>
        <v>42.95333333333334</v>
      </c>
      <c r="AF143" s="37">
        <v>77.290000000000006</v>
      </c>
      <c r="AG143" s="37">
        <v>77.180000000000007</v>
      </c>
      <c r="AH143" s="37">
        <v>76.97</v>
      </c>
      <c r="AI143" s="24">
        <f t="shared" si="45"/>
        <v>77.146666666666675</v>
      </c>
      <c r="AS143" t="s">
        <v>65</v>
      </c>
      <c r="AT143">
        <v>8</v>
      </c>
      <c r="AU143">
        <v>1</v>
      </c>
      <c r="AV143">
        <v>1</v>
      </c>
      <c r="AW143" s="9">
        <v>9.98</v>
      </c>
      <c r="AX143" s="35">
        <v>50.02</v>
      </c>
      <c r="AY143" s="35">
        <v>50.25</v>
      </c>
      <c r="AZ143" s="35">
        <v>50.32</v>
      </c>
      <c r="BA143" s="24">
        <f t="shared" si="46"/>
        <v>50.196666666666665</v>
      </c>
      <c r="BB143" s="35">
        <v>31.89</v>
      </c>
      <c r="BC143" s="35">
        <v>31.5</v>
      </c>
      <c r="BD143" s="35">
        <v>31.52</v>
      </c>
      <c r="BE143" s="24">
        <f t="shared" si="47"/>
        <v>31.636666666666667</v>
      </c>
      <c r="BF143" s="35">
        <v>76.45</v>
      </c>
      <c r="BG143" s="35">
        <v>76.83</v>
      </c>
      <c r="BH143" s="35">
        <v>76.569999999999993</v>
      </c>
      <c r="BI143" s="24">
        <f t="shared" si="48"/>
        <v>76.61666666666666</v>
      </c>
      <c r="BJ143" t="s">
        <v>51</v>
      </c>
      <c r="BK143" t="s">
        <v>51</v>
      </c>
      <c r="BU143" t="s">
        <v>657</v>
      </c>
    </row>
    <row r="144" spans="1:73" x14ac:dyDescent="0.25">
      <c r="A144" t="s">
        <v>57</v>
      </c>
      <c r="B144" s="111" t="s">
        <v>1038</v>
      </c>
      <c r="C144" t="s">
        <v>207</v>
      </c>
      <c r="D144" t="s">
        <v>656</v>
      </c>
      <c r="E144">
        <v>1057</v>
      </c>
      <c r="H144" s="100">
        <v>42870</v>
      </c>
      <c r="I144" t="s">
        <v>225</v>
      </c>
      <c r="K144" s="33">
        <v>3</v>
      </c>
      <c r="L144" s="10" t="s">
        <v>64</v>
      </c>
      <c r="M144">
        <v>774</v>
      </c>
      <c r="N144">
        <v>94</v>
      </c>
      <c r="O144" s="9">
        <f t="shared" si="40"/>
        <v>680</v>
      </c>
      <c r="P144" s="35">
        <v>247</v>
      </c>
      <c r="Q144" s="35">
        <v>246</v>
      </c>
      <c r="R144" s="35">
        <v>246</v>
      </c>
      <c r="S144" s="24">
        <f t="shared" si="41"/>
        <v>246.33333333333334</v>
      </c>
      <c r="T144" s="35">
        <v>136</v>
      </c>
      <c r="U144" s="35">
        <v>135</v>
      </c>
      <c r="V144" s="35">
        <v>135</v>
      </c>
      <c r="W144" s="24">
        <f t="shared" si="42"/>
        <v>135.33333333333334</v>
      </c>
      <c r="X144" s="36">
        <v>9.86</v>
      </c>
      <c r="Y144" s="35">
        <v>10.16</v>
      </c>
      <c r="Z144" s="35">
        <v>9.8000000000000007</v>
      </c>
      <c r="AA144" s="24">
        <f t="shared" si="43"/>
        <v>9.94</v>
      </c>
      <c r="AB144" s="37">
        <v>42.55</v>
      </c>
      <c r="AC144" s="37">
        <v>42.1</v>
      </c>
      <c r="AD144" s="37">
        <v>41.88</v>
      </c>
      <c r="AE144" s="24">
        <f t="shared" si="44"/>
        <v>42.176666666666669</v>
      </c>
      <c r="AF144" s="37">
        <v>79.61</v>
      </c>
      <c r="AG144" s="37">
        <v>79.819999999999993</v>
      </c>
      <c r="AH144" s="37">
        <v>79.790000000000006</v>
      </c>
      <c r="AI144" s="24">
        <f t="shared" si="45"/>
        <v>79.740000000000009</v>
      </c>
      <c r="AS144" t="s">
        <v>65</v>
      </c>
      <c r="AT144">
        <v>8</v>
      </c>
      <c r="AU144">
        <v>2</v>
      </c>
      <c r="AV144">
        <v>0</v>
      </c>
      <c r="AX144" s="35">
        <v>49.19</v>
      </c>
      <c r="AY144" s="35">
        <v>49.18</v>
      </c>
      <c r="AZ144" s="35">
        <v>49.19</v>
      </c>
      <c r="BA144" s="24">
        <f t="shared" si="46"/>
        <v>49.186666666666667</v>
      </c>
      <c r="BB144" s="35">
        <v>31.72</v>
      </c>
      <c r="BC144" s="35">
        <v>31.22</v>
      </c>
      <c r="BD144" s="35">
        <v>31.42</v>
      </c>
      <c r="BE144" s="24">
        <f t="shared" si="47"/>
        <v>31.453333333333333</v>
      </c>
      <c r="BF144" s="35">
        <v>85.92</v>
      </c>
      <c r="BG144" s="35">
        <v>85.72</v>
      </c>
      <c r="BH144" s="35">
        <v>85.78</v>
      </c>
      <c r="BI144" s="24">
        <f t="shared" si="48"/>
        <v>85.806666666666658</v>
      </c>
      <c r="BK144" t="s">
        <v>51</v>
      </c>
    </row>
    <row r="145" spans="1:74" x14ac:dyDescent="0.25">
      <c r="A145" t="s">
        <v>57</v>
      </c>
      <c r="B145" s="111" t="s">
        <v>1031</v>
      </c>
      <c r="C145" t="s">
        <v>207</v>
      </c>
      <c r="D145" t="s">
        <v>656</v>
      </c>
      <c r="E145">
        <v>1174</v>
      </c>
      <c r="H145" s="100">
        <v>42870</v>
      </c>
      <c r="I145" t="s">
        <v>658</v>
      </c>
      <c r="K145" s="33">
        <v>4</v>
      </c>
      <c r="L145" s="10" t="s">
        <v>64</v>
      </c>
      <c r="M145">
        <v>1010</v>
      </c>
      <c r="N145">
        <v>94</v>
      </c>
      <c r="O145" s="9">
        <f t="shared" si="40"/>
        <v>916</v>
      </c>
      <c r="P145" s="35">
        <v>290</v>
      </c>
      <c r="Q145" s="35">
        <v>289</v>
      </c>
      <c r="R145" s="35">
        <v>290</v>
      </c>
      <c r="S145" s="24">
        <f t="shared" si="41"/>
        <v>289.66666666666669</v>
      </c>
      <c r="T145" s="35">
        <v>160</v>
      </c>
      <c r="U145" s="35">
        <v>159</v>
      </c>
      <c r="V145" s="35">
        <v>159</v>
      </c>
      <c r="W145" s="24">
        <f t="shared" si="42"/>
        <v>159.33333333333334</v>
      </c>
      <c r="X145" s="36">
        <v>11.17</v>
      </c>
      <c r="Y145" s="35">
        <v>11.27</v>
      </c>
      <c r="Z145" s="35">
        <v>11.16</v>
      </c>
      <c r="AA145" s="24">
        <f t="shared" si="43"/>
        <v>11.199999999999998</v>
      </c>
      <c r="AB145" s="37">
        <v>45.81</v>
      </c>
      <c r="AC145" s="37">
        <v>45.3</v>
      </c>
      <c r="AD145" s="37">
        <v>45.39</v>
      </c>
      <c r="AE145" s="24">
        <f t="shared" si="44"/>
        <v>45.5</v>
      </c>
      <c r="AF145" s="37">
        <v>89.24</v>
      </c>
      <c r="AG145" s="37">
        <v>89.11</v>
      </c>
      <c r="AH145" s="37">
        <v>88.97</v>
      </c>
      <c r="AI145" s="24">
        <f t="shared" si="45"/>
        <v>89.106666666666669</v>
      </c>
      <c r="AS145" t="s">
        <v>65</v>
      </c>
      <c r="AT145">
        <v>8</v>
      </c>
      <c r="AU145">
        <v>2</v>
      </c>
      <c r="AV145">
        <v>2</v>
      </c>
      <c r="AX145" s="35">
        <v>53.98</v>
      </c>
      <c r="AY145" s="35">
        <v>54.05</v>
      </c>
      <c r="AZ145" s="35">
        <v>54.44</v>
      </c>
      <c r="BA145" s="24">
        <f t="shared" si="46"/>
        <v>54.156666666666666</v>
      </c>
      <c r="BB145" s="35">
        <v>34.17</v>
      </c>
      <c r="BC145" s="35">
        <v>34.659999999999997</v>
      </c>
      <c r="BD145" s="35">
        <v>35.08</v>
      </c>
      <c r="BE145" s="24">
        <f t="shared" si="47"/>
        <v>34.636666666666663</v>
      </c>
      <c r="BF145" s="35">
        <v>89.81</v>
      </c>
      <c r="BG145" s="35">
        <v>88.43</v>
      </c>
      <c r="BH145" s="35">
        <v>89.66</v>
      </c>
      <c r="BI145" s="24">
        <f t="shared" si="48"/>
        <v>89.3</v>
      </c>
      <c r="BK145" t="s">
        <v>51</v>
      </c>
      <c r="BU145" t="s">
        <v>659</v>
      </c>
    </row>
    <row r="146" spans="1:74" x14ac:dyDescent="0.25">
      <c r="A146" t="s">
        <v>57</v>
      </c>
      <c r="B146" s="111" t="s">
        <v>1037</v>
      </c>
      <c r="C146" t="s">
        <v>207</v>
      </c>
      <c r="D146" t="s">
        <v>656</v>
      </c>
      <c r="E146">
        <v>1180</v>
      </c>
      <c r="H146" s="100">
        <v>42870</v>
      </c>
      <c r="I146" t="s">
        <v>97</v>
      </c>
      <c r="K146" s="33">
        <v>3</v>
      </c>
      <c r="L146" s="10" t="s">
        <v>64</v>
      </c>
      <c r="M146">
        <v>955</v>
      </c>
      <c r="N146">
        <v>94</v>
      </c>
      <c r="O146" s="9">
        <f t="shared" si="40"/>
        <v>861</v>
      </c>
      <c r="P146" s="35">
        <v>290</v>
      </c>
      <c r="Q146" s="35">
        <v>290</v>
      </c>
      <c r="R146" s="35">
        <v>289</v>
      </c>
      <c r="S146" s="24">
        <f t="shared" si="41"/>
        <v>289.66666666666669</v>
      </c>
      <c r="T146" s="35">
        <v>36</v>
      </c>
      <c r="U146" s="35">
        <v>37</v>
      </c>
      <c r="V146" s="35">
        <v>37</v>
      </c>
      <c r="W146" s="24">
        <f t="shared" si="42"/>
        <v>36.666666666666664</v>
      </c>
      <c r="X146" s="36">
        <v>9.4499999999999993</v>
      </c>
      <c r="Y146" s="35">
        <v>9.1199999999999992</v>
      </c>
      <c r="Z146" s="35">
        <v>9.44</v>
      </c>
      <c r="AA146" s="24">
        <f t="shared" si="43"/>
        <v>9.336666666666666</v>
      </c>
      <c r="AB146" s="37">
        <v>47.4</v>
      </c>
      <c r="AC146" s="37">
        <v>47.61</v>
      </c>
      <c r="AD146" s="37">
        <v>47.09</v>
      </c>
      <c r="AE146" s="24">
        <f t="shared" si="44"/>
        <v>47.366666666666667</v>
      </c>
      <c r="AF146" s="37">
        <v>88.09</v>
      </c>
      <c r="AG146" s="37">
        <v>88</v>
      </c>
      <c r="AH146" s="37">
        <v>88.08</v>
      </c>
      <c r="AI146" s="24">
        <f t="shared" si="45"/>
        <v>88.056666666666672</v>
      </c>
      <c r="AS146" t="s">
        <v>65</v>
      </c>
      <c r="AT146">
        <v>8</v>
      </c>
      <c r="AU146">
        <v>3</v>
      </c>
      <c r="AV146">
        <v>3</v>
      </c>
      <c r="AW146" s="9">
        <v>6.2</v>
      </c>
      <c r="AX146" s="35">
        <v>54.93</v>
      </c>
      <c r="AY146" s="35">
        <v>55.2</v>
      </c>
      <c r="AZ146" s="35">
        <v>55.27</v>
      </c>
      <c r="BA146" s="24">
        <f t="shared" si="46"/>
        <v>55.133333333333333</v>
      </c>
      <c r="BB146" s="35">
        <v>33.51</v>
      </c>
      <c r="BC146" s="35">
        <v>33.909999999999997</v>
      </c>
      <c r="BD146" s="35">
        <v>33.700000000000003</v>
      </c>
      <c r="BE146" s="24">
        <f t="shared" si="47"/>
        <v>33.706666666666663</v>
      </c>
      <c r="BF146" s="35">
        <v>82.12</v>
      </c>
      <c r="BG146" s="35">
        <v>82.63</v>
      </c>
      <c r="BH146" s="35">
        <v>82.27</v>
      </c>
      <c r="BI146" s="24">
        <f t="shared" si="48"/>
        <v>82.339999999999989</v>
      </c>
      <c r="BK146" t="s">
        <v>51</v>
      </c>
    </row>
    <row r="147" spans="1:74" x14ac:dyDescent="0.25">
      <c r="A147" t="s">
        <v>57</v>
      </c>
      <c r="B147" s="111" t="s">
        <v>1071</v>
      </c>
      <c r="C147" t="s">
        <v>207</v>
      </c>
      <c r="D147" t="s">
        <v>656</v>
      </c>
      <c r="E147">
        <v>1304</v>
      </c>
      <c r="H147" s="100">
        <v>42870</v>
      </c>
      <c r="I147" t="s">
        <v>101</v>
      </c>
      <c r="K147" s="33">
        <v>3</v>
      </c>
      <c r="L147" s="10" t="s">
        <v>64</v>
      </c>
      <c r="M147">
        <v>757</v>
      </c>
      <c r="N147">
        <v>93</v>
      </c>
      <c r="O147" s="9">
        <f t="shared" si="40"/>
        <v>664</v>
      </c>
      <c r="P147" s="35">
        <v>261</v>
      </c>
      <c r="Q147" s="35">
        <v>260</v>
      </c>
      <c r="R147" s="35">
        <v>260</v>
      </c>
      <c r="S147" s="24">
        <f t="shared" si="41"/>
        <v>260.33333333333331</v>
      </c>
      <c r="T147" s="35">
        <v>146</v>
      </c>
      <c r="U147" s="35">
        <v>145</v>
      </c>
      <c r="V147" s="35">
        <v>145</v>
      </c>
      <c r="W147" s="24">
        <f t="shared" si="42"/>
        <v>145.33333333333334</v>
      </c>
      <c r="X147" s="36">
        <v>9.68</v>
      </c>
      <c r="Y147" s="35">
        <v>9.7200000000000006</v>
      </c>
      <c r="Z147" s="35">
        <v>9.7200000000000006</v>
      </c>
      <c r="AA147" s="24">
        <f t="shared" si="43"/>
        <v>9.7066666666666652</v>
      </c>
      <c r="AB147" s="37">
        <v>42.48</v>
      </c>
      <c r="AC147" s="37">
        <v>42.35</v>
      </c>
      <c r="AD147" s="37">
        <v>42.34</v>
      </c>
      <c r="AE147" s="24">
        <f t="shared" si="44"/>
        <v>42.39</v>
      </c>
      <c r="AF147" s="37">
        <v>76.739999999999995</v>
      </c>
      <c r="AG147" s="37">
        <v>76.400000000000006</v>
      </c>
      <c r="AH147" s="37">
        <v>76.19</v>
      </c>
      <c r="AI147" s="24">
        <f t="shared" si="45"/>
        <v>76.443333333333328</v>
      </c>
      <c r="AS147" t="s">
        <v>65</v>
      </c>
      <c r="AT147">
        <v>8</v>
      </c>
      <c r="AV147">
        <v>1</v>
      </c>
      <c r="AW147" s="9">
        <v>8.9</v>
      </c>
      <c r="AX147" s="35">
        <v>49.58</v>
      </c>
      <c r="AY147" s="35">
        <v>49.78</v>
      </c>
      <c r="AZ147" s="35">
        <v>49.77</v>
      </c>
      <c r="BA147" s="24">
        <f t="shared" si="46"/>
        <v>49.71</v>
      </c>
      <c r="BB147" s="35">
        <v>31.36</v>
      </c>
      <c r="BC147" s="35">
        <v>31.2</v>
      </c>
      <c r="BD147" s="35">
        <v>31.68</v>
      </c>
      <c r="BE147" s="24">
        <f t="shared" si="47"/>
        <v>31.413333333333338</v>
      </c>
      <c r="BF147" s="35">
        <v>76.14</v>
      </c>
      <c r="BG147" s="35">
        <v>75.75</v>
      </c>
      <c r="BH147" s="35">
        <v>75.739999999999995</v>
      </c>
      <c r="BI147" s="24">
        <f t="shared" si="48"/>
        <v>75.876666666666665</v>
      </c>
      <c r="BK147" t="s">
        <v>51</v>
      </c>
      <c r="BU147" t="s">
        <v>660</v>
      </c>
    </row>
    <row r="148" spans="1:74" x14ac:dyDescent="0.25">
      <c r="A148" t="s">
        <v>57</v>
      </c>
      <c r="B148" s="111" t="s">
        <v>1029</v>
      </c>
      <c r="C148" t="s">
        <v>207</v>
      </c>
      <c r="D148" t="s">
        <v>656</v>
      </c>
      <c r="E148">
        <v>1172</v>
      </c>
      <c r="H148" s="100">
        <v>42870</v>
      </c>
      <c r="I148" t="s">
        <v>94</v>
      </c>
      <c r="K148" s="33">
        <v>3</v>
      </c>
      <c r="L148" s="10" t="s">
        <v>64</v>
      </c>
      <c r="M148">
        <v>886</v>
      </c>
      <c r="N148">
        <v>96</v>
      </c>
      <c r="O148" s="9">
        <f t="shared" si="40"/>
        <v>790</v>
      </c>
      <c r="P148" s="35">
        <v>262</v>
      </c>
      <c r="Q148" s="35">
        <v>263</v>
      </c>
      <c r="R148" s="35">
        <v>262</v>
      </c>
      <c r="S148" s="24">
        <f t="shared" si="41"/>
        <v>262.33333333333331</v>
      </c>
      <c r="T148" s="35">
        <v>161</v>
      </c>
      <c r="U148" s="35">
        <v>160</v>
      </c>
      <c r="V148" s="35">
        <v>161</v>
      </c>
      <c r="W148" s="24">
        <f t="shared" si="42"/>
        <v>160.66666666666666</v>
      </c>
      <c r="X148" s="36">
        <v>9.92</v>
      </c>
      <c r="Y148" s="35">
        <v>9.82</v>
      </c>
      <c r="Z148" s="35">
        <v>9.9499999999999993</v>
      </c>
      <c r="AA148" s="24">
        <f t="shared" si="43"/>
        <v>9.8966666666666665</v>
      </c>
      <c r="AB148" s="37">
        <v>45.15</v>
      </c>
      <c r="AC148" s="37">
        <v>45.57</v>
      </c>
      <c r="AD148" s="37">
        <v>45.55</v>
      </c>
      <c r="AE148" s="24">
        <f t="shared" si="44"/>
        <v>45.423333333333325</v>
      </c>
      <c r="AF148" s="37">
        <v>85.69</v>
      </c>
      <c r="AG148" s="37">
        <v>85.86</v>
      </c>
      <c r="AH148" s="37">
        <v>85.63</v>
      </c>
      <c r="AI148" s="24">
        <f t="shared" si="45"/>
        <v>85.726666666666674</v>
      </c>
      <c r="AS148" t="s">
        <v>65</v>
      </c>
      <c r="AT148">
        <v>8</v>
      </c>
      <c r="AU148">
        <v>1</v>
      </c>
      <c r="AV148">
        <v>0</v>
      </c>
      <c r="AX148" s="35">
        <v>54.22</v>
      </c>
      <c r="AY148" s="35">
        <v>54.52</v>
      </c>
      <c r="AZ148" s="35">
        <v>54.12</v>
      </c>
      <c r="BA148" s="24">
        <f t="shared" si="46"/>
        <v>54.286666666666669</v>
      </c>
      <c r="BB148" s="35">
        <v>33.51</v>
      </c>
      <c r="BC148" s="35">
        <v>33.94</v>
      </c>
      <c r="BD148" s="35">
        <v>33.659999999999997</v>
      </c>
      <c r="BE148" s="24">
        <f t="shared" si="47"/>
        <v>33.703333333333326</v>
      </c>
      <c r="BF148" s="35">
        <v>84.32</v>
      </c>
      <c r="BG148" s="35">
        <v>84.5</v>
      </c>
      <c r="BH148" s="35">
        <v>84.26</v>
      </c>
      <c r="BI148" s="24">
        <f t="shared" si="48"/>
        <v>84.36</v>
      </c>
      <c r="BK148" t="s">
        <v>51</v>
      </c>
    </row>
    <row r="149" spans="1:74" x14ac:dyDescent="0.25">
      <c r="A149" t="s">
        <v>57</v>
      </c>
      <c r="B149" s="111" t="s">
        <v>1082</v>
      </c>
      <c r="C149" t="s">
        <v>49</v>
      </c>
      <c r="D149" t="s">
        <v>656</v>
      </c>
      <c r="E149">
        <v>1403</v>
      </c>
      <c r="H149" s="100">
        <v>42870</v>
      </c>
      <c r="I149" t="s">
        <v>661</v>
      </c>
      <c r="K149" s="33" t="s">
        <v>61</v>
      </c>
      <c r="L149" s="10" t="s">
        <v>50</v>
      </c>
      <c r="M149">
        <v>674</v>
      </c>
      <c r="N149">
        <v>94</v>
      </c>
      <c r="O149" s="9">
        <f t="shared" si="40"/>
        <v>580</v>
      </c>
      <c r="P149" s="35">
        <v>222</v>
      </c>
      <c r="Q149" s="35">
        <v>223</v>
      </c>
      <c r="R149" s="35">
        <v>223</v>
      </c>
      <c r="S149" s="24">
        <f t="shared" si="41"/>
        <v>222.66666666666666</v>
      </c>
      <c r="T149" s="35">
        <v>145</v>
      </c>
      <c r="U149" s="35">
        <v>144</v>
      </c>
      <c r="V149" s="35">
        <v>144</v>
      </c>
      <c r="W149" s="24">
        <f t="shared" si="42"/>
        <v>144.33333333333334</v>
      </c>
      <c r="X149" s="36">
        <v>9.99</v>
      </c>
      <c r="Y149" s="35">
        <v>10.23</v>
      </c>
      <c r="Z149" s="35">
        <v>10.1</v>
      </c>
      <c r="AA149" s="24">
        <f t="shared" si="43"/>
        <v>10.106666666666667</v>
      </c>
      <c r="AB149" s="37">
        <v>43.31</v>
      </c>
      <c r="AC149" s="37">
        <v>43.39</v>
      </c>
      <c r="AD149" s="37">
        <v>43.1</v>
      </c>
      <c r="AE149" s="24">
        <f t="shared" si="44"/>
        <v>43.266666666666673</v>
      </c>
      <c r="AF149" s="37">
        <v>72.290000000000006</v>
      </c>
      <c r="AG149" s="37">
        <v>71.67</v>
      </c>
      <c r="AH149" s="37">
        <v>71.569999999999993</v>
      </c>
      <c r="AI149" s="24">
        <f t="shared" si="45"/>
        <v>71.843333333333334</v>
      </c>
      <c r="AJ149" s="37">
        <v>19.57</v>
      </c>
      <c r="AK149" s="37">
        <v>19.45</v>
      </c>
      <c r="AL149" s="37">
        <v>19.47</v>
      </c>
      <c r="AM149" s="24">
        <f>AVERAGE(AJ149:AL149)</f>
        <v>19.496666666666666</v>
      </c>
      <c r="AN149" s="37">
        <v>15.12</v>
      </c>
      <c r="AO149" s="37">
        <v>14.43</v>
      </c>
      <c r="AP149" s="37">
        <v>14.6</v>
      </c>
      <c r="AQ149" s="24">
        <f>AVERAGE(AN149:AP149)</f>
        <v>14.716666666666667</v>
      </c>
      <c r="AX149" s="35">
        <v>46.18</v>
      </c>
      <c r="AY149" s="35">
        <v>46.69</v>
      </c>
      <c r="AZ149" s="35">
        <v>46.32</v>
      </c>
      <c r="BA149" s="24">
        <f t="shared" si="46"/>
        <v>46.396666666666668</v>
      </c>
      <c r="BB149" s="35">
        <v>32.549999999999997</v>
      </c>
      <c r="BC149" s="35">
        <v>32.46</v>
      </c>
      <c r="BD149" s="35">
        <v>32.69</v>
      </c>
      <c r="BE149" s="24">
        <f t="shared" si="47"/>
        <v>32.566666666666663</v>
      </c>
      <c r="BF149" s="35">
        <v>81.93</v>
      </c>
      <c r="BG149" s="35">
        <v>81.680000000000007</v>
      </c>
      <c r="BH149" s="35">
        <v>81.31</v>
      </c>
      <c r="BI149" s="24">
        <f t="shared" si="48"/>
        <v>81.64</v>
      </c>
      <c r="BJ149" t="s">
        <v>51</v>
      </c>
      <c r="BK149" t="s">
        <v>51</v>
      </c>
      <c r="BU149" t="s">
        <v>662</v>
      </c>
    </row>
    <row r="150" spans="1:74" x14ac:dyDescent="0.25">
      <c r="A150" t="s">
        <v>57</v>
      </c>
      <c r="B150" s="111" t="s">
        <v>604</v>
      </c>
      <c r="C150" t="s">
        <v>207</v>
      </c>
      <c r="D150" t="s">
        <v>656</v>
      </c>
      <c r="E150">
        <v>1099</v>
      </c>
      <c r="H150" s="100">
        <v>42870</v>
      </c>
      <c r="I150" t="s">
        <v>589</v>
      </c>
      <c r="K150" s="33">
        <v>2</v>
      </c>
      <c r="L150" s="10" t="s">
        <v>64</v>
      </c>
      <c r="M150">
        <v>709</v>
      </c>
      <c r="N150">
        <v>89</v>
      </c>
      <c r="O150" s="9">
        <f t="shared" si="40"/>
        <v>620</v>
      </c>
      <c r="P150" s="35">
        <v>226</v>
      </c>
      <c r="Q150" s="35">
        <v>225</v>
      </c>
      <c r="R150" s="35">
        <v>225</v>
      </c>
      <c r="S150" s="24">
        <f t="shared" si="41"/>
        <v>225.33333333333334</v>
      </c>
      <c r="T150" s="35">
        <v>0</v>
      </c>
      <c r="U150" s="35">
        <v>0</v>
      </c>
      <c r="V150" s="35">
        <v>0</v>
      </c>
      <c r="W150" s="24">
        <f t="shared" si="42"/>
        <v>0</v>
      </c>
      <c r="X150" s="36">
        <v>0</v>
      </c>
      <c r="Y150" s="35">
        <v>0</v>
      </c>
      <c r="Z150" s="35">
        <v>0</v>
      </c>
      <c r="AA150" s="24">
        <f t="shared" si="43"/>
        <v>0</v>
      </c>
      <c r="AB150" s="37">
        <v>43.44</v>
      </c>
      <c r="AC150" s="37">
        <v>43.37</v>
      </c>
      <c r="AD150" s="37">
        <v>43.09</v>
      </c>
      <c r="AE150" s="24">
        <f t="shared" si="44"/>
        <v>43.300000000000004</v>
      </c>
      <c r="AF150" s="37">
        <v>78.05</v>
      </c>
      <c r="AG150" s="37">
        <v>78.12</v>
      </c>
      <c r="AH150" s="37">
        <v>78.2</v>
      </c>
      <c r="AI150" s="24">
        <f t="shared" si="45"/>
        <v>78.123333333333335</v>
      </c>
      <c r="AS150" t="s">
        <v>65</v>
      </c>
      <c r="AT150">
        <v>8</v>
      </c>
      <c r="AU150">
        <v>1</v>
      </c>
      <c r="AV150">
        <v>0</v>
      </c>
      <c r="AX150" s="35">
        <v>48.54</v>
      </c>
      <c r="AY150" s="35">
        <v>49.05</v>
      </c>
      <c r="AZ150" s="35">
        <v>48.48</v>
      </c>
      <c r="BA150" s="24">
        <f t="shared" si="46"/>
        <v>48.69</v>
      </c>
      <c r="BB150" s="35">
        <v>32.17</v>
      </c>
      <c r="BC150" s="35">
        <v>32.700000000000003</v>
      </c>
      <c r="BD150" s="35">
        <v>32.51</v>
      </c>
      <c r="BE150" s="24">
        <f t="shared" si="47"/>
        <v>32.46</v>
      </c>
      <c r="BF150" s="35">
        <v>80.8</v>
      </c>
      <c r="BG150" s="35">
        <v>81.09</v>
      </c>
      <c r="BH150" s="35">
        <v>80.819999999999993</v>
      </c>
      <c r="BI150" s="24">
        <f t="shared" si="48"/>
        <v>80.903333333333322</v>
      </c>
      <c r="BK150" t="s">
        <v>51</v>
      </c>
      <c r="BU150" t="s">
        <v>663</v>
      </c>
    </row>
    <row r="151" spans="1:74" x14ac:dyDescent="0.25">
      <c r="A151" t="s">
        <v>57</v>
      </c>
      <c r="B151" s="111" t="s">
        <v>1076</v>
      </c>
      <c r="C151" t="s">
        <v>207</v>
      </c>
      <c r="D151" t="s">
        <v>656</v>
      </c>
      <c r="E151">
        <v>1312</v>
      </c>
      <c r="H151" s="100">
        <v>42870</v>
      </c>
      <c r="I151" t="s">
        <v>86</v>
      </c>
      <c r="K151" s="33">
        <v>1</v>
      </c>
      <c r="L151" s="10" t="s">
        <v>50</v>
      </c>
      <c r="M151">
        <v>797</v>
      </c>
      <c r="N151">
        <v>93</v>
      </c>
      <c r="O151" s="9">
        <f t="shared" si="40"/>
        <v>704</v>
      </c>
      <c r="P151" s="35">
        <v>241</v>
      </c>
      <c r="Q151" s="35">
        <v>241</v>
      </c>
      <c r="R151" s="35">
        <v>242</v>
      </c>
      <c r="S151" s="24">
        <f t="shared" si="41"/>
        <v>241.33333333333334</v>
      </c>
      <c r="T151" s="35">
        <v>160</v>
      </c>
      <c r="U151" s="35">
        <v>159</v>
      </c>
      <c r="V151" s="35">
        <v>159</v>
      </c>
      <c r="W151" s="24">
        <f t="shared" si="42"/>
        <v>159.33333333333334</v>
      </c>
      <c r="X151" s="36">
        <v>10.49</v>
      </c>
      <c r="Y151" s="35">
        <v>10.06</v>
      </c>
      <c r="Z151" s="35">
        <v>10.28</v>
      </c>
      <c r="AA151" s="24">
        <f t="shared" si="43"/>
        <v>10.276666666666666</v>
      </c>
      <c r="AB151" s="37">
        <v>45.31</v>
      </c>
      <c r="AC151" s="37">
        <v>45.04</v>
      </c>
      <c r="AD151" s="37">
        <v>45.03</v>
      </c>
      <c r="AE151" s="24">
        <f t="shared" si="44"/>
        <v>45.126666666666665</v>
      </c>
      <c r="AF151" s="37">
        <v>81.819999999999993</v>
      </c>
      <c r="AG151" s="37">
        <v>81.77</v>
      </c>
      <c r="AH151" s="37">
        <v>81.77</v>
      </c>
      <c r="AI151" s="24">
        <f t="shared" si="45"/>
        <v>81.786666666666648</v>
      </c>
      <c r="AJ151" s="37">
        <v>24.01</v>
      </c>
      <c r="AK151" s="37">
        <v>24.38</v>
      </c>
      <c r="AL151" s="37">
        <v>24.58</v>
      </c>
      <c r="AM151" s="24">
        <f>AVERAGE(AJ151:AL151)</f>
        <v>24.323333333333334</v>
      </c>
      <c r="AN151" s="37">
        <v>17.46</v>
      </c>
      <c r="AO151" s="37">
        <v>16.920000000000002</v>
      </c>
      <c r="AP151" s="37">
        <v>16.920000000000002</v>
      </c>
      <c r="AQ151" s="24">
        <f>AVERAGE(AN151:AP151)</f>
        <v>17.100000000000001</v>
      </c>
      <c r="AX151" s="35">
        <v>49.51</v>
      </c>
      <c r="AY151" s="35">
        <v>49.1</v>
      </c>
      <c r="AZ151" s="35">
        <v>49.03</v>
      </c>
      <c r="BA151" s="24">
        <f t="shared" si="46"/>
        <v>49.213333333333331</v>
      </c>
      <c r="BB151" s="35">
        <v>31.68</v>
      </c>
      <c r="BC151" s="35">
        <v>32.229999999999997</v>
      </c>
      <c r="BD151" s="35">
        <v>31.95</v>
      </c>
      <c r="BE151" s="24">
        <f t="shared" si="47"/>
        <v>31.953333333333333</v>
      </c>
      <c r="BF151" s="35">
        <v>81.93</v>
      </c>
      <c r="BG151" s="35">
        <v>81.39</v>
      </c>
      <c r="BH151" s="35">
        <v>81.400000000000006</v>
      </c>
      <c r="BI151" s="24">
        <f t="shared" si="48"/>
        <v>81.573333333333338</v>
      </c>
      <c r="BK151" t="s">
        <v>51</v>
      </c>
    </row>
    <row r="152" spans="1:74" x14ac:dyDescent="0.25">
      <c r="A152" t="s">
        <v>57</v>
      </c>
      <c r="B152" s="111" t="s">
        <v>1035</v>
      </c>
      <c r="C152" t="s">
        <v>207</v>
      </c>
      <c r="D152" t="s">
        <v>656</v>
      </c>
      <c r="E152">
        <v>1352</v>
      </c>
      <c r="H152" s="100">
        <v>42871</v>
      </c>
      <c r="I152" t="s">
        <v>101</v>
      </c>
      <c r="K152" s="33">
        <v>4</v>
      </c>
      <c r="L152" s="10" t="s">
        <v>50</v>
      </c>
      <c r="M152">
        <v>1822</v>
      </c>
      <c r="N152">
        <v>95</v>
      </c>
      <c r="O152" s="9">
        <f t="shared" si="40"/>
        <v>1727</v>
      </c>
      <c r="P152" s="35">
        <v>339</v>
      </c>
      <c r="Q152" s="35">
        <v>339</v>
      </c>
      <c r="R152" s="35">
        <v>340</v>
      </c>
      <c r="S152" s="24">
        <f t="shared" si="41"/>
        <v>339.33333333333331</v>
      </c>
      <c r="T152" s="35">
        <v>130</v>
      </c>
      <c r="U152" s="35">
        <v>129</v>
      </c>
      <c r="V152" s="35">
        <v>128</v>
      </c>
      <c r="W152" s="24">
        <f t="shared" si="42"/>
        <v>129</v>
      </c>
      <c r="X152" s="36">
        <v>13.42</v>
      </c>
      <c r="Y152" s="35">
        <v>13.2</v>
      </c>
      <c r="Z152" s="35">
        <v>13.02</v>
      </c>
      <c r="AA152" s="24">
        <f t="shared" si="43"/>
        <v>13.213333333333333</v>
      </c>
      <c r="AB152" s="37">
        <v>49.75</v>
      </c>
      <c r="AC152" s="37">
        <v>50.03</v>
      </c>
      <c r="AD152" s="37">
        <v>49.31</v>
      </c>
      <c r="AE152" s="24">
        <f t="shared" si="44"/>
        <v>49.696666666666665</v>
      </c>
      <c r="AF152" s="37">
        <v>93.75</v>
      </c>
      <c r="AG152" s="37">
        <v>93.31</v>
      </c>
      <c r="AH152" s="37">
        <v>93.32</v>
      </c>
      <c r="AI152" s="24">
        <f t="shared" si="45"/>
        <v>93.46</v>
      </c>
      <c r="AJ152" s="37">
        <v>29.39</v>
      </c>
      <c r="AK152" s="37">
        <v>29.17</v>
      </c>
      <c r="AL152" s="37">
        <v>30.1</v>
      </c>
      <c r="AM152" s="24">
        <f>AVERAGE(AJ152:AL152)</f>
        <v>29.553333333333331</v>
      </c>
      <c r="AN152" s="37">
        <v>21.32</v>
      </c>
      <c r="AO152" s="37">
        <v>21.71</v>
      </c>
      <c r="AP152" s="37">
        <v>21.82</v>
      </c>
      <c r="AQ152" s="24">
        <f>AVERAGE(AN152:AP152)</f>
        <v>21.616666666666664</v>
      </c>
      <c r="AX152" s="35">
        <v>66.11</v>
      </c>
      <c r="AY152" s="35">
        <v>66.33</v>
      </c>
      <c r="AZ152" s="35">
        <v>66.150000000000006</v>
      </c>
      <c r="BA152" s="24">
        <f t="shared" si="46"/>
        <v>66.196666666666673</v>
      </c>
      <c r="BB152" s="35">
        <v>41.82</v>
      </c>
      <c r="BC152" s="35">
        <v>41.64</v>
      </c>
      <c r="BD152" s="35">
        <v>41.07</v>
      </c>
      <c r="BE152" s="24">
        <f t="shared" si="47"/>
        <v>41.51</v>
      </c>
      <c r="BF152" s="35">
        <v>97.23</v>
      </c>
      <c r="BG152" s="35">
        <v>97.31</v>
      </c>
      <c r="BH152" s="35">
        <v>97.11</v>
      </c>
      <c r="BI152" s="24">
        <f t="shared" si="48"/>
        <v>97.216666666666683</v>
      </c>
      <c r="BJ152" t="s">
        <v>51</v>
      </c>
      <c r="BK152" t="s">
        <v>51</v>
      </c>
      <c r="BU152" t="s">
        <v>664</v>
      </c>
    </row>
    <row r="153" spans="1:74" x14ac:dyDescent="0.25">
      <c r="A153" t="s">
        <v>57</v>
      </c>
      <c r="B153" s="111" t="s">
        <v>1083</v>
      </c>
      <c r="C153" t="s">
        <v>49</v>
      </c>
      <c r="D153" t="s">
        <v>656</v>
      </c>
      <c r="E153">
        <v>1353</v>
      </c>
      <c r="H153" s="100">
        <v>42871</v>
      </c>
      <c r="I153" t="s">
        <v>227</v>
      </c>
      <c r="K153" s="33">
        <v>1</v>
      </c>
      <c r="L153" s="10" t="s">
        <v>64</v>
      </c>
      <c r="M153">
        <v>607</v>
      </c>
      <c r="N153">
        <v>92</v>
      </c>
      <c r="O153" s="9">
        <f t="shared" si="40"/>
        <v>515</v>
      </c>
      <c r="P153" s="35">
        <v>220</v>
      </c>
      <c r="Q153" s="35">
        <v>220</v>
      </c>
      <c r="R153" s="35">
        <v>221</v>
      </c>
      <c r="S153" s="24">
        <f t="shared" si="41"/>
        <v>220.33333333333334</v>
      </c>
      <c r="T153" s="35">
        <v>140</v>
      </c>
      <c r="U153" s="35">
        <v>139</v>
      </c>
      <c r="V153" s="35">
        <v>140</v>
      </c>
      <c r="W153" s="24">
        <f t="shared" si="42"/>
        <v>139.66666666666666</v>
      </c>
      <c r="X153" s="36">
        <v>7.98</v>
      </c>
      <c r="Y153" s="35">
        <v>8.15</v>
      </c>
      <c r="Z153" s="35">
        <v>7.97</v>
      </c>
      <c r="AA153" s="24">
        <f t="shared" si="43"/>
        <v>8.0333333333333332</v>
      </c>
      <c r="AB153" s="37">
        <v>40.29</v>
      </c>
      <c r="AC153" s="37">
        <v>40.380000000000003</v>
      </c>
      <c r="AD153" s="37">
        <v>40.1</v>
      </c>
      <c r="AE153" s="24">
        <f t="shared" si="44"/>
        <v>40.256666666666668</v>
      </c>
      <c r="AF153" s="37">
        <v>70.56</v>
      </c>
      <c r="AG153">
        <v>70.64</v>
      </c>
      <c r="AH153" s="37">
        <v>70.650000000000006</v>
      </c>
      <c r="AI153" s="24">
        <f t="shared" si="45"/>
        <v>70.61666666666666</v>
      </c>
      <c r="AS153" t="s">
        <v>65</v>
      </c>
      <c r="AT153">
        <v>8</v>
      </c>
      <c r="AU153">
        <v>0</v>
      </c>
      <c r="AV153">
        <v>0</v>
      </c>
      <c r="AX153" s="35">
        <v>44.65</v>
      </c>
      <c r="AY153" s="35">
        <v>44.85</v>
      </c>
      <c r="AZ153" s="35">
        <v>44.64</v>
      </c>
      <c r="BA153" s="24">
        <f t="shared" si="46"/>
        <v>44.713333333333331</v>
      </c>
      <c r="BB153" s="35">
        <v>30.4</v>
      </c>
      <c r="BC153" s="35">
        <v>30.22</v>
      </c>
      <c r="BD153" s="35">
        <v>30.46</v>
      </c>
      <c r="BE153" s="24">
        <f t="shared" si="47"/>
        <v>30.36</v>
      </c>
      <c r="BF153" s="35">
        <v>77.2</v>
      </c>
      <c r="BG153" s="35">
        <v>77.39</v>
      </c>
      <c r="BH153" s="35">
        <v>77.510000000000005</v>
      </c>
      <c r="BI153" s="24">
        <f t="shared" si="48"/>
        <v>77.366666666666674</v>
      </c>
      <c r="BJ153" t="s">
        <v>51</v>
      </c>
      <c r="BK153" t="s">
        <v>51</v>
      </c>
    </row>
    <row r="154" spans="1:74" x14ac:dyDescent="0.25">
      <c r="A154" t="s">
        <v>57</v>
      </c>
      <c r="B154" s="111" t="s">
        <v>1045</v>
      </c>
      <c r="C154" t="s">
        <v>207</v>
      </c>
      <c r="D154" t="s">
        <v>656</v>
      </c>
      <c r="E154">
        <v>1194</v>
      </c>
      <c r="H154" s="100">
        <v>42871</v>
      </c>
      <c r="I154" t="s">
        <v>605</v>
      </c>
      <c r="K154" s="33">
        <v>2</v>
      </c>
      <c r="L154" s="10" t="s">
        <v>64</v>
      </c>
      <c r="M154">
        <v>847</v>
      </c>
      <c r="N154">
        <v>94</v>
      </c>
      <c r="O154" s="9">
        <f t="shared" si="40"/>
        <v>753</v>
      </c>
      <c r="P154" s="35">
        <v>260</v>
      </c>
      <c r="Q154" s="35">
        <v>261</v>
      </c>
      <c r="R154" s="35">
        <v>260</v>
      </c>
      <c r="S154" s="24">
        <f t="shared" si="41"/>
        <v>260.33333333333331</v>
      </c>
      <c r="T154" s="35">
        <v>0</v>
      </c>
      <c r="U154" s="35">
        <v>0</v>
      </c>
      <c r="V154" s="35">
        <v>0</v>
      </c>
      <c r="W154" s="24">
        <f t="shared" si="42"/>
        <v>0</v>
      </c>
      <c r="X154" s="36">
        <v>0</v>
      </c>
      <c r="Y154" s="35">
        <v>0</v>
      </c>
      <c r="Z154" s="35">
        <v>0</v>
      </c>
      <c r="AA154" s="24">
        <f t="shared" si="43"/>
        <v>0</v>
      </c>
      <c r="AB154" s="37">
        <v>44.62</v>
      </c>
      <c r="AC154" s="37">
        <v>44.55</v>
      </c>
      <c r="AD154" s="37">
        <v>44.65</v>
      </c>
      <c r="AE154" s="24">
        <f t="shared" si="44"/>
        <v>44.606666666666662</v>
      </c>
      <c r="AF154" s="37">
        <v>83.91</v>
      </c>
      <c r="AG154" s="37">
        <v>83.69</v>
      </c>
      <c r="AH154" s="37">
        <v>83.68</v>
      </c>
      <c r="AI154" s="24">
        <f t="shared" si="45"/>
        <v>83.76</v>
      </c>
      <c r="AS154" t="s">
        <v>65</v>
      </c>
      <c r="AT154">
        <v>8</v>
      </c>
      <c r="AU154">
        <v>3</v>
      </c>
      <c r="AV154">
        <v>0</v>
      </c>
      <c r="AX154" s="35">
        <v>55.75</v>
      </c>
      <c r="AY154" s="35">
        <v>55.28</v>
      </c>
      <c r="AZ154" s="35">
        <v>55.92</v>
      </c>
      <c r="BA154" s="24">
        <f t="shared" si="46"/>
        <v>55.65</v>
      </c>
      <c r="BB154" s="35">
        <v>31.66</v>
      </c>
      <c r="BC154" s="35">
        <v>31.45</v>
      </c>
      <c r="BD154" s="35">
        <v>31.54</v>
      </c>
      <c r="BE154" s="24">
        <f t="shared" si="47"/>
        <v>31.55</v>
      </c>
      <c r="BF154" s="35">
        <v>81.290000000000006</v>
      </c>
      <c r="BG154" s="35">
        <v>80.900000000000006</v>
      </c>
      <c r="BH154" s="35">
        <v>80.94</v>
      </c>
      <c r="BI154" s="24">
        <f t="shared" si="48"/>
        <v>81.043333333333337</v>
      </c>
      <c r="BK154" t="s">
        <v>51</v>
      </c>
    </row>
    <row r="155" spans="1:74" x14ac:dyDescent="0.25">
      <c r="A155" t="s">
        <v>57</v>
      </c>
      <c r="B155" s="111" t="s">
        <v>1032</v>
      </c>
      <c r="C155" t="s">
        <v>207</v>
      </c>
      <c r="D155" t="s">
        <v>656</v>
      </c>
      <c r="E155">
        <v>1175</v>
      </c>
      <c r="H155" s="100">
        <v>42872</v>
      </c>
      <c r="I155" t="s">
        <v>90</v>
      </c>
      <c r="K155" s="33">
        <v>4</v>
      </c>
      <c r="L155" s="10" t="s">
        <v>64</v>
      </c>
      <c r="M155">
        <v>1154</v>
      </c>
      <c r="N155">
        <v>95</v>
      </c>
      <c r="O155" s="9">
        <f t="shared" si="40"/>
        <v>1059</v>
      </c>
      <c r="P155" s="35">
        <v>255</v>
      </c>
      <c r="Q155" s="35">
        <v>254</v>
      </c>
      <c r="R155" s="35">
        <v>255</v>
      </c>
      <c r="S155" s="24">
        <f t="shared" si="41"/>
        <v>254.66666666666666</v>
      </c>
      <c r="T155" s="35">
        <v>163</v>
      </c>
      <c r="U155" s="35">
        <v>162</v>
      </c>
      <c r="V155" s="35">
        <v>163</v>
      </c>
      <c r="W155" s="24">
        <f t="shared" si="42"/>
        <v>162.66666666666666</v>
      </c>
      <c r="X155" s="36">
        <v>11.49</v>
      </c>
      <c r="Y155" s="35">
        <v>11.2</v>
      </c>
      <c r="Z155" s="35">
        <v>11.3</v>
      </c>
      <c r="AA155" s="24">
        <f t="shared" si="43"/>
        <v>11.329999999999998</v>
      </c>
      <c r="AB155" s="37">
        <v>47.43</v>
      </c>
      <c r="AC155" s="37">
        <v>47.24</v>
      </c>
      <c r="AD155" s="37">
        <v>47.65</v>
      </c>
      <c r="AE155" s="24">
        <f t="shared" si="44"/>
        <v>47.44</v>
      </c>
      <c r="AF155" s="37">
        <v>91.26</v>
      </c>
      <c r="AG155" s="37">
        <v>91.38</v>
      </c>
      <c r="AH155" s="37">
        <v>91.14</v>
      </c>
      <c r="AI155" s="24">
        <f t="shared" si="45"/>
        <v>91.259999999999991</v>
      </c>
      <c r="AS155" t="s">
        <v>65</v>
      </c>
      <c r="AT155">
        <v>8</v>
      </c>
      <c r="AU155">
        <v>2</v>
      </c>
      <c r="AV155">
        <v>2</v>
      </c>
      <c r="AW155" s="9">
        <v>15.26</v>
      </c>
      <c r="AX155" s="35">
        <v>56.46</v>
      </c>
      <c r="AY155" s="35">
        <v>56.74</v>
      </c>
      <c r="AZ155" s="35">
        <v>56.01</v>
      </c>
      <c r="BA155" s="24">
        <f t="shared" si="46"/>
        <v>56.403333333333336</v>
      </c>
      <c r="BB155" s="35">
        <v>32.92</v>
      </c>
      <c r="BC155" s="35">
        <v>33.229999999999997</v>
      </c>
      <c r="BD155" s="35">
        <v>33.159999999999997</v>
      </c>
      <c r="BE155" s="24">
        <f t="shared" si="47"/>
        <v>33.103333333333332</v>
      </c>
      <c r="BF155" s="35">
        <v>85.16</v>
      </c>
      <c r="BG155" s="35">
        <v>85.3</v>
      </c>
      <c r="BH155" s="35">
        <v>84.86</v>
      </c>
      <c r="BI155" s="24">
        <f t="shared" si="48"/>
        <v>85.106666666666669</v>
      </c>
      <c r="BK155" t="s">
        <v>51</v>
      </c>
    </row>
    <row r="156" spans="1:74" x14ac:dyDescent="0.25">
      <c r="A156" t="s">
        <v>57</v>
      </c>
      <c r="B156" s="111" t="s">
        <v>1084</v>
      </c>
      <c r="C156" t="s">
        <v>49</v>
      </c>
      <c r="D156" t="s">
        <v>656</v>
      </c>
      <c r="E156">
        <v>1354</v>
      </c>
      <c r="H156" s="100">
        <v>42872</v>
      </c>
      <c r="I156" t="s">
        <v>55</v>
      </c>
      <c r="K156" s="33">
        <v>1</v>
      </c>
      <c r="L156" s="10" t="s">
        <v>64</v>
      </c>
      <c r="M156">
        <v>415</v>
      </c>
      <c r="N156">
        <v>96</v>
      </c>
      <c r="O156" s="9">
        <f t="shared" si="40"/>
        <v>319</v>
      </c>
      <c r="P156" s="35">
        <v>180</v>
      </c>
      <c r="Q156" s="35">
        <v>180</v>
      </c>
      <c r="R156" s="35">
        <v>179</v>
      </c>
      <c r="S156" s="24">
        <f t="shared" si="41"/>
        <v>179.66666666666666</v>
      </c>
      <c r="T156" s="35">
        <v>108</v>
      </c>
      <c r="U156" s="35">
        <v>107</v>
      </c>
      <c r="V156" s="35">
        <v>107</v>
      </c>
      <c r="W156" s="24">
        <f t="shared" si="42"/>
        <v>107.33333333333333</v>
      </c>
      <c r="X156" s="36">
        <v>6.4</v>
      </c>
      <c r="Y156" s="35">
        <v>6.15</v>
      </c>
      <c r="Z156" s="35">
        <v>6.58</v>
      </c>
      <c r="AA156" s="24">
        <f t="shared" si="43"/>
        <v>6.3766666666666678</v>
      </c>
      <c r="AB156" s="37">
        <v>34.78</v>
      </c>
      <c r="AC156" s="37">
        <v>34.83</v>
      </c>
      <c r="AD156" s="37">
        <v>34.729999999999997</v>
      </c>
      <c r="AE156" s="24">
        <f t="shared" si="44"/>
        <v>34.78</v>
      </c>
      <c r="AF156" s="37">
        <v>60.73</v>
      </c>
      <c r="AG156" s="37">
        <v>60.84</v>
      </c>
      <c r="AH156" s="37">
        <v>60.86</v>
      </c>
      <c r="AI156" s="24">
        <f t="shared" si="45"/>
        <v>60.81</v>
      </c>
      <c r="AS156" t="s">
        <v>70</v>
      </c>
      <c r="AT156">
        <v>8</v>
      </c>
      <c r="AU156">
        <v>0</v>
      </c>
      <c r="AV156">
        <v>0</v>
      </c>
      <c r="AX156" s="35">
        <v>37.35</v>
      </c>
      <c r="AY156" s="35">
        <v>38.04</v>
      </c>
      <c r="AZ156" s="35">
        <v>37.82</v>
      </c>
      <c r="BA156" s="24">
        <f t="shared" si="46"/>
        <v>37.736666666666672</v>
      </c>
      <c r="BB156" s="35">
        <v>27.33</v>
      </c>
      <c r="BC156" s="35">
        <v>27.15</v>
      </c>
      <c r="BD156" s="35">
        <v>27.33</v>
      </c>
      <c r="BE156" s="24">
        <f t="shared" si="47"/>
        <v>27.27</v>
      </c>
      <c r="BF156" s="35">
        <v>64.900000000000006</v>
      </c>
      <c r="BG156" s="35">
        <v>64.47</v>
      </c>
      <c r="BH156" s="35">
        <v>64.459999999999994</v>
      </c>
      <c r="BI156" s="24">
        <f t="shared" si="48"/>
        <v>64.61</v>
      </c>
      <c r="BJ156" t="s">
        <v>51</v>
      </c>
      <c r="BK156" t="s">
        <v>51</v>
      </c>
    </row>
    <row r="157" spans="1:74" x14ac:dyDescent="0.25">
      <c r="A157" t="s">
        <v>57</v>
      </c>
      <c r="B157" s="111" t="s">
        <v>1085</v>
      </c>
      <c r="C157" t="s">
        <v>49</v>
      </c>
      <c r="D157" t="s">
        <v>656</v>
      </c>
      <c r="E157">
        <v>1355</v>
      </c>
      <c r="H157" s="100">
        <v>42872</v>
      </c>
      <c r="I157" t="s">
        <v>95</v>
      </c>
      <c r="K157" s="33">
        <v>1</v>
      </c>
      <c r="L157" s="10" t="s">
        <v>64</v>
      </c>
      <c r="M157">
        <v>580</v>
      </c>
      <c r="N157">
        <v>94</v>
      </c>
      <c r="O157" s="9">
        <f t="shared" si="40"/>
        <v>486</v>
      </c>
      <c r="P157" s="35">
        <v>210</v>
      </c>
      <c r="Q157" s="35">
        <v>209</v>
      </c>
      <c r="R157" s="35">
        <v>209</v>
      </c>
      <c r="S157" s="24">
        <f t="shared" si="41"/>
        <v>209.33333333333334</v>
      </c>
      <c r="T157" s="35">
        <v>132</v>
      </c>
      <c r="U157" s="35">
        <v>131</v>
      </c>
      <c r="V157" s="35">
        <v>131</v>
      </c>
      <c r="W157" s="24">
        <f t="shared" si="42"/>
        <v>131.33333333333334</v>
      </c>
      <c r="X157" s="36">
        <v>8.08</v>
      </c>
      <c r="Y157" s="35">
        <v>8.01</v>
      </c>
      <c r="Z157" s="35">
        <v>7.85</v>
      </c>
      <c r="AA157" s="24">
        <f t="shared" si="43"/>
        <v>7.9799999999999995</v>
      </c>
      <c r="AB157" s="37">
        <v>40.94</v>
      </c>
      <c r="AC157" s="37">
        <v>41.18</v>
      </c>
      <c r="AD157" s="37">
        <v>40.85</v>
      </c>
      <c r="AE157" s="24">
        <f t="shared" si="44"/>
        <v>40.99</v>
      </c>
      <c r="AF157" s="37">
        <v>70.42</v>
      </c>
      <c r="AG157" s="37">
        <v>69.989999999999995</v>
      </c>
      <c r="AH157" s="37">
        <v>69.7</v>
      </c>
      <c r="AI157" s="24">
        <f t="shared" si="45"/>
        <v>70.036666666666676</v>
      </c>
      <c r="AS157" t="s">
        <v>70</v>
      </c>
      <c r="AT157">
        <v>8</v>
      </c>
      <c r="AU157">
        <v>0</v>
      </c>
      <c r="AV157">
        <v>0</v>
      </c>
      <c r="AX157" s="35">
        <v>42.93</v>
      </c>
      <c r="AY157" s="35">
        <v>43.38</v>
      </c>
      <c r="AZ157" s="35">
        <v>43.13</v>
      </c>
      <c r="BA157" s="24">
        <f t="shared" si="46"/>
        <v>43.146666666666668</v>
      </c>
      <c r="BB157" s="35">
        <v>29.05</v>
      </c>
      <c r="BC157" s="35">
        <v>29.26</v>
      </c>
      <c r="BD157" s="35">
        <v>28.6</v>
      </c>
      <c r="BE157" s="24">
        <f t="shared" si="47"/>
        <v>28.97</v>
      </c>
      <c r="BF157" s="35">
        <v>77.81</v>
      </c>
      <c r="BG157" s="35">
        <v>78.239999999999995</v>
      </c>
      <c r="BH157" s="35">
        <v>78.05</v>
      </c>
      <c r="BI157" s="24">
        <f t="shared" si="48"/>
        <v>78.033333333333346</v>
      </c>
      <c r="BJ157" t="s">
        <v>51</v>
      </c>
      <c r="BK157" t="s">
        <v>51</v>
      </c>
    </row>
    <row r="158" spans="1:74" x14ac:dyDescent="0.25">
      <c r="A158" t="s">
        <v>57</v>
      </c>
      <c r="B158" s="111" t="s">
        <v>1025</v>
      </c>
      <c r="C158" t="s">
        <v>207</v>
      </c>
      <c r="D158" t="s">
        <v>656</v>
      </c>
      <c r="E158">
        <v>1166</v>
      </c>
      <c r="H158" s="100">
        <v>42872</v>
      </c>
      <c r="I158" t="s">
        <v>77</v>
      </c>
      <c r="K158" s="33" t="s">
        <v>82</v>
      </c>
      <c r="L158" s="10" t="s">
        <v>50</v>
      </c>
      <c r="M158">
        <v>1188</v>
      </c>
      <c r="N158">
        <v>96</v>
      </c>
      <c r="O158" s="9">
        <f t="shared" si="40"/>
        <v>1092</v>
      </c>
      <c r="P158" s="35">
        <v>286</v>
      </c>
      <c r="Q158" s="35">
        <v>285</v>
      </c>
      <c r="R158" s="35">
        <v>286</v>
      </c>
      <c r="S158" s="24">
        <f t="shared" si="41"/>
        <v>285.66666666666669</v>
      </c>
      <c r="T158" s="35">
        <v>158</v>
      </c>
      <c r="U158" s="35">
        <v>156</v>
      </c>
      <c r="V158" s="35">
        <v>155</v>
      </c>
      <c r="W158" s="24">
        <f t="shared" si="42"/>
        <v>156.33333333333334</v>
      </c>
      <c r="X158" s="36">
        <v>10.119999999999999</v>
      </c>
      <c r="Y158" s="35">
        <v>10.1</v>
      </c>
      <c r="Z158" s="35">
        <v>9.92</v>
      </c>
      <c r="AA158" s="24">
        <f t="shared" si="43"/>
        <v>10.046666666666667</v>
      </c>
      <c r="AB158" s="37">
        <v>46.21</v>
      </c>
      <c r="AC158" s="37">
        <v>46.85</v>
      </c>
      <c r="AD158" s="37">
        <v>46.26</v>
      </c>
      <c r="AE158" s="24">
        <f t="shared" si="44"/>
        <v>46.44</v>
      </c>
      <c r="AF158" s="37">
        <v>94.88</v>
      </c>
      <c r="AG158" s="37">
        <v>94.49</v>
      </c>
      <c r="AH158" s="37">
        <v>94.95</v>
      </c>
      <c r="AI158" s="24">
        <f t="shared" si="45"/>
        <v>94.773333333333326</v>
      </c>
      <c r="AJ158" s="37">
        <v>31.04</v>
      </c>
      <c r="AK158" s="37">
        <v>31.27</v>
      </c>
      <c r="AL158" s="37">
        <v>30.94</v>
      </c>
      <c r="AM158" s="24">
        <f>AVERAGE(AJ158:AL158)</f>
        <v>31.083333333333332</v>
      </c>
      <c r="AN158" s="37">
        <v>21.51</v>
      </c>
      <c r="AO158" s="37">
        <v>20.63</v>
      </c>
      <c r="AP158" s="37">
        <v>20.86</v>
      </c>
      <c r="AQ158" s="24">
        <f>AVERAGE(AN158:AP158)</f>
        <v>21</v>
      </c>
      <c r="AX158" s="35">
        <v>58.58</v>
      </c>
      <c r="AY158" s="35">
        <v>58.15</v>
      </c>
      <c r="AZ158" s="35">
        <v>58.36</v>
      </c>
      <c r="BA158" s="24">
        <f t="shared" si="46"/>
        <v>58.363333333333323</v>
      </c>
      <c r="BB158" s="35">
        <v>34.39</v>
      </c>
      <c r="BC158" s="35">
        <v>34.54</v>
      </c>
      <c r="BD158" s="35">
        <v>34.590000000000003</v>
      </c>
      <c r="BE158" s="24">
        <f t="shared" si="47"/>
        <v>34.506666666666668</v>
      </c>
      <c r="BF158" s="35">
        <v>88.44</v>
      </c>
      <c r="BG158" s="35">
        <v>89.03</v>
      </c>
      <c r="BH158" s="35">
        <v>89.02</v>
      </c>
      <c r="BI158" s="24">
        <f t="shared" si="48"/>
        <v>88.83</v>
      </c>
      <c r="BK158" t="s">
        <v>51</v>
      </c>
      <c r="BU158" t="s">
        <v>977</v>
      </c>
    </row>
    <row r="159" spans="1:74" x14ac:dyDescent="0.25">
      <c r="A159" t="s">
        <v>57</v>
      </c>
      <c r="B159" s="111" t="s">
        <v>1080</v>
      </c>
      <c r="C159" t="s">
        <v>207</v>
      </c>
      <c r="D159" t="s">
        <v>656</v>
      </c>
      <c r="E159">
        <v>1342</v>
      </c>
      <c r="H159" s="100">
        <v>42872</v>
      </c>
      <c r="I159" t="s">
        <v>74</v>
      </c>
      <c r="K159" s="33">
        <v>2</v>
      </c>
      <c r="L159" s="10" t="s">
        <v>50</v>
      </c>
      <c r="M159">
        <v>967</v>
      </c>
      <c r="N159">
        <v>95</v>
      </c>
      <c r="O159" s="9">
        <f t="shared" si="40"/>
        <v>872</v>
      </c>
      <c r="P159" s="35">
        <v>266</v>
      </c>
      <c r="Q159" s="35">
        <v>266</v>
      </c>
      <c r="R159" s="35">
        <v>265</v>
      </c>
      <c r="S159" s="24">
        <f t="shared" si="41"/>
        <v>265.66666666666669</v>
      </c>
      <c r="T159" s="35">
        <v>156</v>
      </c>
      <c r="U159" s="35">
        <v>156</v>
      </c>
      <c r="V159" s="35">
        <v>156</v>
      </c>
      <c r="W159" s="24">
        <f t="shared" si="42"/>
        <v>156</v>
      </c>
      <c r="X159" s="36">
        <v>10.07</v>
      </c>
      <c r="Y159" s="35">
        <v>10.130000000000001</v>
      </c>
      <c r="Z159" s="35">
        <v>10.050000000000001</v>
      </c>
      <c r="AA159" s="24">
        <f t="shared" si="43"/>
        <v>10.083333333333334</v>
      </c>
      <c r="AB159" s="37">
        <v>49.31</v>
      </c>
      <c r="AC159" s="37">
        <v>49.4</v>
      </c>
      <c r="AD159" s="37">
        <v>49.63</v>
      </c>
      <c r="AE159" s="24">
        <f t="shared" si="44"/>
        <v>49.446666666666665</v>
      </c>
      <c r="AF159" s="37">
        <v>92.25</v>
      </c>
      <c r="AG159" s="37">
        <v>92.21</v>
      </c>
      <c r="AH159" s="37">
        <v>90.03</v>
      </c>
      <c r="AI159" s="24">
        <f t="shared" si="45"/>
        <v>91.49666666666667</v>
      </c>
      <c r="AJ159" s="37">
        <v>31.08</v>
      </c>
      <c r="AK159" s="37">
        <v>30.97</v>
      </c>
      <c r="AL159" s="37">
        <v>30.7</v>
      </c>
      <c r="AM159" s="24">
        <f>AVERAGE(AJ159:AL159)</f>
        <v>30.916666666666668</v>
      </c>
      <c r="AN159" s="37">
        <v>19.63</v>
      </c>
      <c r="AO159" s="37">
        <v>20.079999999999998</v>
      </c>
      <c r="AP159" s="37">
        <v>19.829999999999998</v>
      </c>
      <c r="AQ159" s="24">
        <f>AVERAGE(AN159:AP159)</f>
        <v>19.846666666666664</v>
      </c>
      <c r="AX159" s="35">
        <v>56.53</v>
      </c>
      <c r="AY159" s="35">
        <v>55.9</v>
      </c>
      <c r="AZ159" s="35">
        <v>55.95</v>
      </c>
      <c r="BA159" s="24">
        <f t="shared" si="46"/>
        <v>56.126666666666665</v>
      </c>
      <c r="BB159" s="35">
        <v>33.130000000000003</v>
      </c>
      <c r="BC159" s="35">
        <v>33.25</v>
      </c>
      <c r="BD159" s="35">
        <v>33.450000000000003</v>
      </c>
      <c r="BE159" s="24">
        <f t="shared" si="47"/>
        <v>33.276666666666664</v>
      </c>
      <c r="BF159" s="35">
        <v>86.46</v>
      </c>
      <c r="BG159" s="35">
        <v>86.69</v>
      </c>
      <c r="BH159" s="35">
        <v>87.01</v>
      </c>
      <c r="BI159" s="24">
        <f t="shared" si="48"/>
        <v>86.719999999999985</v>
      </c>
      <c r="BK159" t="s">
        <v>51</v>
      </c>
      <c r="BU159" t="s">
        <v>975</v>
      </c>
      <c r="BV159" t="s">
        <v>976</v>
      </c>
    </row>
    <row r="160" spans="1:74" x14ac:dyDescent="0.25">
      <c r="A160" t="s">
        <v>57</v>
      </c>
      <c r="B160" s="111" t="s">
        <v>1059</v>
      </c>
      <c r="C160" t="s">
        <v>207</v>
      </c>
      <c r="D160" t="s">
        <v>656</v>
      </c>
      <c r="E160">
        <v>1014</v>
      </c>
      <c r="H160" s="100">
        <v>42873</v>
      </c>
      <c r="I160" t="s">
        <v>665</v>
      </c>
      <c r="K160" s="33">
        <v>3</v>
      </c>
      <c r="L160" s="10" t="s">
        <v>64</v>
      </c>
      <c r="M160">
        <v>851</v>
      </c>
      <c r="N160">
        <v>95</v>
      </c>
      <c r="O160" s="9">
        <f t="shared" si="40"/>
        <v>756</v>
      </c>
      <c r="P160" s="35">
        <v>265</v>
      </c>
      <c r="Q160" s="35">
        <v>265</v>
      </c>
      <c r="R160" s="35">
        <v>266</v>
      </c>
      <c r="S160" s="24">
        <f t="shared" si="41"/>
        <v>265.33333333333331</v>
      </c>
      <c r="T160" s="35">
        <v>152</v>
      </c>
      <c r="U160" s="35">
        <v>151</v>
      </c>
      <c r="V160" s="35">
        <v>152</v>
      </c>
      <c r="W160" s="24">
        <f t="shared" si="42"/>
        <v>151.66666666666666</v>
      </c>
      <c r="X160" s="36">
        <v>9.4600000000000009</v>
      </c>
      <c r="Y160" s="35">
        <v>9.82</v>
      </c>
      <c r="Z160" s="35">
        <v>9.82</v>
      </c>
      <c r="AA160" s="24">
        <f t="shared" si="43"/>
        <v>9.7000000000000011</v>
      </c>
      <c r="AB160" s="37">
        <v>45.66</v>
      </c>
      <c r="AC160" s="37">
        <v>45.65</v>
      </c>
      <c r="AD160" s="37">
        <v>45.87</v>
      </c>
      <c r="AE160" s="24">
        <f t="shared" si="44"/>
        <v>45.726666666666667</v>
      </c>
      <c r="AF160" s="37">
        <v>85.28</v>
      </c>
      <c r="AG160" s="37">
        <v>85.25</v>
      </c>
      <c r="AH160" s="37">
        <v>85.3</v>
      </c>
      <c r="AI160" s="24">
        <f t="shared" si="45"/>
        <v>85.276666666666657</v>
      </c>
      <c r="AS160" t="s">
        <v>65</v>
      </c>
      <c r="AT160">
        <v>8</v>
      </c>
      <c r="AU160">
        <v>2</v>
      </c>
      <c r="AV160">
        <v>0</v>
      </c>
      <c r="AX160" s="35">
        <v>52.1</v>
      </c>
      <c r="AY160" s="35">
        <v>52.16</v>
      </c>
      <c r="AZ160" s="35">
        <v>51.86</v>
      </c>
      <c r="BA160" s="24">
        <f t="shared" si="46"/>
        <v>52.04</v>
      </c>
      <c r="BB160" s="35">
        <v>30.84</v>
      </c>
      <c r="BC160" s="35">
        <v>31.25</v>
      </c>
      <c r="BD160" s="35">
        <v>31.15</v>
      </c>
      <c r="BE160" s="24">
        <f t="shared" si="47"/>
        <v>31.080000000000002</v>
      </c>
      <c r="BF160" s="35">
        <v>85.3</v>
      </c>
      <c r="BG160" s="35">
        <v>85.12</v>
      </c>
      <c r="BH160" s="35">
        <v>85.11</v>
      </c>
      <c r="BI160" s="24">
        <f t="shared" si="48"/>
        <v>85.176666666666677</v>
      </c>
      <c r="BK160" t="s">
        <v>51</v>
      </c>
    </row>
    <row r="161" spans="1:73" x14ac:dyDescent="0.25">
      <c r="A161" t="s">
        <v>57</v>
      </c>
      <c r="B161" s="111" t="s">
        <v>1060</v>
      </c>
      <c r="C161" t="s">
        <v>207</v>
      </c>
      <c r="D161" t="s">
        <v>656</v>
      </c>
      <c r="E161">
        <v>1016</v>
      </c>
      <c r="H161" s="100">
        <v>42874</v>
      </c>
      <c r="I161" t="s">
        <v>74</v>
      </c>
      <c r="K161" s="33">
        <v>2</v>
      </c>
      <c r="L161" s="10" t="s">
        <v>64</v>
      </c>
      <c r="M161">
        <v>765</v>
      </c>
      <c r="N161">
        <v>95</v>
      </c>
      <c r="O161" s="9">
        <f t="shared" si="40"/>
        <v>670</v>
      </c>
      <c r="P161" s="35">
        <v>243</v>
      </c>
      <c r="Q161" s="35">
        <v>244</v>
      </c>
      <c r="R161" s="35">
        <v>244</v>
      </c>
      <c r="S161" s="24">
        <f t="shared" si="41"/>
        <v>243.66666666666666</v>
      </c>
      <c r="T161" s="35">
        <v>132</v>
      </c>
      <c r="U161" s="35">
        <v>131</v>
      </c>
      <c r="V161" s="35">
        <v>131</v>
      </c>
      <c r="W161" s="24">
        <f t="shared" si="42"/>
        <v>131.33333333333334</v>
      </c>
      <c r="X161" s="36">
        <v>8.85</v>
      </c>
      <c r="Y161" s="35">
        <v>9.07</v>
      </c>
      <c r="Z161" s="35">
        <v>9.02</v>
      </c>
      <c r="AA161" s="24">
        <f t="shared" si="43"/>
        <v>8.98</v>
      </c>
      <c r="AB161" s="37">
        <v>44.16</v>
      </c>
      <c r="AC161" s="37">
        <v>44.17</v>
      </c>
      <c r="AD161" s="37">
        <v>44.05</v>
      </c>
      <c r="AE161" s="24">
        <f t="shared" si="44"/>
        <v>44.126666666666665</v>
      </c>
      <c r="AF161" s="37">
        <v>79.55</v>
      </c>
      <c r="AG161" s="37">
        <v>79.58</v>
      </c>
      <c r="AH161" s="37">
        <v>79.400000000000006</v>
      </c>
      <c r="AI161" s="24">
        <f t="shared" si="45"/>
        <v>79.510000000000005</v>
      </c>
      <c r="AS161" t="s">
        <v>65</v>
      </c>
      <c r="AT161">
        <v>8</v>
      </c>
      <c r="AU161">
        <v>2</v>
      </c>
      <c r="AV161">
        <v>0</v>
      </c>
      <c r="AX161" s="35">
        <v>49.97</v>
      </c>
      <c r="AY161" s="35">
        <v>50.48</v>
      </c>
      <c r="AZ161" s="35">
        <v>50.41</v>
      </c>
      <c r="BA161" s="24">
        <f t="shared" si="46"/>
        <v>50.286666666666662</v>
      </c>
      <c r="BB161" s="35">
        <v>30.84</v>
      </c>
      <c r="BC161" s="35">
        <v>30.95</v>
      </c>
      <c r="BD161" s="35">
        <v>31.11</v>
      </c>
      <c r="BE161" s="24">
        <f t="shared" si="47"/>
        <v>30.966666666666669</v>
      </c>
      <c r="BF161" s="35">
        <v>81.5</v>
      </c>
      <c r="BG161" s="35">
        <v>82</v>
      </c>
      <c r="BH161" s="35">
        <v>81.48</v>
      </c>
      <c r="BI161" s="24">
        <f t="shared" si="48"/>
        <v>81.660000000000011</v>
      </c>
      <c r="BK161" t="s">
        <v>51</v>
      </c>
    </row>
    <row r="162" spans="1:73" x14ac:dyDescent="0.25">
      <c r="A162" t="s">
        <v>57</v>
      </c>
      <c r="B162" s="111" t="s">
        <v>1063</v>
      </c>
      <c r="C162" t="s">
        <v>207</v>
      </c>
      <c r="D162" t="s">
        <v>656</v>
      </c>
      <c r="E162">
        <v>1356</v>
      </c>
      <c r="H162" s="100">
        <v>42874</v>
      </c>
      <c r="I162" t="s">
        <v>75</v>
      </c>
      <c r="K162" s="33">
        <v>3</v>
      </c>
      <c r="L162" s="10" t="s">
        <v>64</v>
      </c>
      <c r="M162">
        <v>973</v>
      </c>
      <c r="N162">
        <v>96</v>
      </c>
      <c r="O162" s="9">
        <f t="shared" si="40"/>
        <v>877</v>
      </c>
      <c r="P162" s="35">
        <v>250</v>
      </c>
      <c r="Q162" s="35">
        <v>251</v>
      </c>
      <c r="R162" s="35">
        <v>250</v>
      </c>
      <c r="S162" s="24">
        <f t="shared" si="41"/>
        <v>250.33333333333334</v>
      </c>
      <c r="T162" s="35">
        <v>151</v>
      </c>
      <c r="U162" s="35">
        <v>150</v>
      </c>
      <c r="V162" s="35">
        <v>150</v>
      </c>
      <c r="W162" s="24">
        <f t="shared" si="42"/>
        <v>150.33333333333334</v>
      </c>
      <c r="X162" s="36">
        <v>10.75</v>
      </c>
      <c r="Y162" s="35">
        <v>10.92</v>
      </c>
      <c r="Z162" s="35">
        <v>10.29</v>
      </c>
      <c r="AA162" s="24">
        <f t="shared" si="43"/>
        <v>10.653333333333334</v>
      </c>
      <c r="AB162" s="37">
        <v>44.45</v>
      </c>
      <c r="AC162" s="37">
        <v>44.05</v>
      </c>
      <c r="AD162" s="37">
        <v>44.04</v>
      </c>
      <c r="AE162" s="24">
        <f t="shared" si="44"/>
        <v>44.18</v>
      </c>
      <c r="AF162" s="37">
        <v>85.76</v>
      </c>
      <c r="AG162" s="37">
        <v>85.63</v>
      </c>
      <c r="AH162" s="37">
        <v>85.52</v>
      </c>
      <c r="AI162" s="24">
        <f t="shared" si="45"/>
        <v>85.636666666666656</v>
      </c>
      <c r="AS162" t="s">
        <v>65</v>
      </c>
      <c r="AT162">
        <v>8</v>
      </c>
      <c r="AU162">
        <v>4</v>
      </c>
      <c r="AV162">
        <v>2</v>
      </c>
      <c r="AW162" s="9">
        <v>6.76</v>
      </c>
      <c r="AX162" s="35">
        <v>53.62</v>
      </c>
      <c r="AY162" s="35">
        <v>53.87</v>
      </c>
      <c r="AZ162" s="35">
        <v>53.9</v>
      </c>
      <c r="BA162" s="24">
        <f t="shared" si="46"/>
        <v>53.79666666666666</v>
      </c>
      <c r="BB162" s="35">
        <v>34.18</v>
      </c>
      <c r="BC162" s="35">
        <v>34.53</v>
      </c>
      <c r="BD162" s="35">
        <v>34.520000000000003</v>
      </c>
      <c r="BE162" s="24">
        <f t="shared" si="47"/>
        <v>34.410000000000004</v>
      </c>
      <c r="BF162" s="35">
        <v>80.45</v>
      </c>
      <c r="BG162" s="35">
        <v>80.34</v>
      </c>
      <c r="BH162" s="35">
        <v>80.489999999999995</v>
      </c>
      <c r="BI162" s="24">
        <f t="shared" si="48"/>
        <v>80.426666666666677</v>
      </c>
      <c r="BK162" t="s">
        <v>51</v>
      </c>
      <c r="BU162" t="s">
        <v>667</v>
      </c>
    </row>
    <row r="163" spans="1:73" x14ac:dyDescent="0.25">
      <c r="A163" t="s">
        <v>57</v>
      </c>
      <c r="B163" s="111" t="s">
        <v>1086</v>
      </c>
      <c r="C163" t="s">
        <v>207</v>
      </c>
      <c r="D163" t="s">
        <v>656</v>
      </c>
      <c r="E163">
        <v>1143</v>
      </c>
      <c r="H163" s="100">
        <v>42874</v>
      </c>
      <c r="I163" t="s">
        <v>666</v>
      </c>
      <c r="K163" s="33">
        <v>2</v>
      </c>
      <c r="L163" s="10" t="s">
        <v>64</v>
      </c>
      <c r="M163">
        <v>903</v>
      </c>
      <c r="N163">
        <v>97</v>
      </c>
      <c r="O163" s="9">
        <f t="shared" si="40"/>
        <v>806</v>
      </c>
      <c r="P163" s="35">
        <v>247</v>
      </c>
      <c r="Q163" s="35">
        <v>247</v>
      </c>
      <c r="R163" s="35">
        <v>248</v>
      </c>
      <c r="S163" s="24">
        <f t="shared" si="41"/>
        <v>247.33333333333334</v>
      </c>
      <c r="T163" s="35">
        <v>150</v>
      </c>
      <c r="U163" s="35">
        <v>149</v>
      </c>
      <c r="V163" s="35">
        <v>149</v>
      </c>
      <c r="W163" s="24">
        <f t="shared" si="42"/>
        <v>149.33333333333334</v>
      </c>
      <c r="X163" s="36">
        <v>9.67</v>
      </c>
      <c r="Y163" s="35">
        <v>9.73</v>
      </c>
      <c r="Z163" s="35">
        <v>9.8800000000000008</v>
      </c>
      <c r="AA163" s="24">
        <f t="shared" si="43"/>
        <v>9.76</v>
      </c>
      <c r="AB163" s="37">
        <v>44.09</v>
      </c>
      <c r="AC163" s="37">
        <v>44.69</v>
      </c>
      <c r="AD163" s="37">
        <v>44.2</v>
      </c>
      <c r="AE163" s="24">
        <f t="shared" si="44"/>
        <v>44.326666666666675</v>
      </c>
      <c r="AF163" s="37">
        <v>81.05</v>
      </c>
      <c r="AG163" s="37">
        <v>81.17</v>
      </c>
      <c r="AH163" s="37">
        <v>81.239999999999995</v>
      </c>
      <c r="AI163" s="24">
        <f t="shared" si="45"/>
        <v>81.153333333333322</v>
      </c>
      <c r="AS163" t="s">
        <v>65</v>
      </c>
      <c r="AT163">
        <v>8</v>
      </c>
      <c r="AU163">
        <v>1</v>
      </c>
      <c r="AV163">
        <v>1</v>
      </c>
      <c r="AW163" s="9">
        <v>10.18</v>
      </c>
      <c r="AX163" s="35">
        <v>49.26</v>
      </c>
      <c r="AY163" s="35">
        <v>48.73</v>
      </c>
      <c r="AZ163" s="35">
        <v>48.94</v>
      </c>
      <c r="BA163" s="24">
        <f t="shared" si="46"/>
        <v>48.976666666666667</v>
      </c>
      <c r="BB163" s="35">
        <v>34.65</v>
      </c>
      <c r="BC163" s="35">
        <v>34.840000000000003</v>
      </c>
      <c r="BD163" s="35">
        <v>34.770000000000003</v>
      </c>
      <c r="BE163" s="24">
        <f t="shared" si="47"/>
        <v>34.753333333333337</v>
      </c>
      <c r="BF163" s="35">
        <v>76.19</v>
      </c>
      <c r="BG163" s="35">
        <v>75.8</v>
      </c>
      <c r="BH163" s="35">
        <v>75.25</v>
      </c>
      <c r="BI163" s="24">
        <f t="shared" si="48"/>
        <v>75.74666666666667</v>
      </c>
      <c r="BK163" t="s">
        <v>51</v>
      </c>
    </row>
    <row r="164" spans="1:73" x14ac:dyDescent="0.25">
      <c r="A164" t="s">
        <v>57</v>
      </c>
      <c r="B164" s="111" t="s">
        <v>1058</v>
      </c>
      <c r="C164" t="s">
        <v>207</v>
      </c>
      <c r="D164" t="s">
        <v>656</v>
      </c>
      <c r="E164">
        <v>1012</v>
      </c>
      <c r="H164" s="100">
        <v>42875</v>
      </c>
      <c r="I164" t="s">
        <v>668</v>
      </c>
      <c r="K164" s="33">
        <v>2</v>
      </c>
      <c r="L164" s="10" t="s">
        <v>50</v>
      </c>
      <c r="M164">
        <v>972</v>
      </c>
      <c r="N164">
        <v>95</v>
      </c>
      <c r="O164" s="9">
        <f t="shared" si="40"/>
        <v>877</v>
      </c>
      <c r="P164" s="35">
        <v>265</v>
      </c>
      <c r="Q164" s="35">
        <v>264</v>
      </c>
      <c r="R164" s="35">
        <v>264</v>
      </c>
      <c r="S164" s="24">
        <f t="shared" si="41"/>
        <v>264.33333333333331</v>
      </c>
      <c r="T164" s="35">
        <v>161</v>
      </c>
      <c r="U164" s="35">
        <v>160</v>
      </c>
      <c r="V164" s="35">
        <v>160</v>
      </c>
      <c r="W164" s="24">
        <f t="shared" si="42"/>
        <v>160.33333333333334</v>
      </c>
      <c r="X164" s="36">
        <v>10.130000000000001</v>
      </c>
      <c r="Y164" s="35">
        <v>10.06</v>
      </c>
      <c r="Z164" s="35">
        <v>9.67</v>
      </c>
      <c r="AA164" s="24">
        <f t="shared" si="43"/>
        <v>9.9533333333333331</v>
      </c>
      <c r="AB164" s="37">
        <v>49.63</v>
      </c>
      <c r="AC164" s="37">
        <v>49.71</v>
      </c>
      <c r="AD164" s="37">
        <v>49.66</v>
      </c>
      <c r="AE164" s="24">
        <f t="shared" si="44"/>
        <v>49.666666666666664</v>
      </c>
      <c r="AF164" s="37">
        <v>91.74</v>
      </c>
      <c r="AG164" s="37">
        <v>91.91</v>
      </c>
      <c r="AH164" s="37">
        <v>91.67</v>
      </c>
      <c r="AI164" s="24">
        <f t="shared" si="45"/>
        <v>91.773333333333326</v>
      </c>
      <c r="AJ164" s="37">
        <v>30.27</v>
      </c>
      <c r="AK164" s="37">
        <v>29.75</v>
      </c>
      <c r="AL164" s="37">
        <v>30.05</v>
      </c>
      <c r="AM164" s="24">
        <f>AVERAGE(AJ164:AL164)</f>
        <v>30.02333333333333</v>
      </c>
      <c r="AN164" s="37">
        <v>21.5</v>
      </c>
      <c r="AO164" s="37">
        <v>21.51</v>
      </c>
      <c r="AP164" s="37">
        <v>20.8</v>
      </c>
      <c r="AQ164" s="24">
        <f>AVERAGE(AN164:AP164)</f>
        <v>21.27</v>
      </c>
      <c r="AX164" s="35">
        <v>55.16</v>
      </c>
      <c r="AY164" s="35">
        <v>55.16</v>
      </c>
      <c r="AZ164" s="35">
        <v>55.53</v>
      </c>
      <c r="BA164" s="24">
        <f t="shared" si="46"/>
        <v>55.283333333333331</v>
      </c>
      <c r="BB164" s="35">
        <v>33.46</v>
      </c>
      <c r="BC164" s="35">
        <v>33.75</v>
      </c>
      <c r="BD164" s="35">
        <v>33.81</v>
      </c>
      <c r="BE164" s="24">
        <f t="shared" si="47"/>
        <v>33.673333333333339</v>
      </c>
      <c r="BF164" s="35">
        <v>83.6</v>
      </c>
      <c r="BG164" s="35">
        <v>83.53</v>
      </c>
      <c r="BH164" s="35">
        <v>83.79</v>
      </c>
      <c r="BI164" s="24">
        <f t="shared" si="48"/>
        <v>83.64</v>
      </c>
      <c r="BK164" t="s">
        <v>51</v>
      </c>
    </row>
    <row r="165" spans="1:73" x14ac:dyDescent="0.25">
      <c r="A165" t="s">
        <v>57</v>
      </c>
      <c r="B165" s="111" t="s">
        <v>1055</v>
      </c>
      <c r="C165" t="s">
        <v>207</v>
      </c>
      <c r="D165" t="s">
        <v>656</v>
      </c>
      <c r="E165">
        <v>1006</v>
      </c>
      <c r="H165" s="100">
        <v>42875</v>
      </c>
      <c r="I165" t="s">
        <v>669</v>
      </c>
      <c r="K165" s="33">
        <v>3</v>
      </c>
      <c r="L165" s="10" t="s">
        <v>64</v>
      </c>
      <c r="M165">
        <v>863</v>
      </c>
      <c r="N165">
        <v>97</v>
      </c>
      <c r="O165" s="9">
        <f t="shared" si="40"/>
        <v>766</v>
      </c>
      <c r="P165" s="35">
        <v>255</v>
      </c>
      <c r="Q165" s="35">
        <v>256</v>
      </c>
      <c r="R165" s="35">
        <v>256</v>
      </c>
      <c r="S165" s="24">
        <f t="shared" si="41"/>
        <v>255.66666666666666</v>
      </c>
      <c r="T165" s="35">
        <v>155</v>
      </c>
      <c r="U165" s="35">
        <v>154</v>
      </c>
      <c r="V165" s="35">
        <v>154</v>
      </c>
      <c r="W165" s="24">
        <f t="shared" si="42"/>
        <v>154.33333333333334</v>
      </c>
      <c r="X165" s="36">
        <v>10.37</v>
      </c>
      <c r="Y165" s="35">
        <v>10.32</v>
      </c>
      <c r="Z165" s="35">
        <v>10.25</v>
      </c>
      <c r="AA165" s="24">
        <f t="shared" si="43"/>
        <v>10.313333333333333</v>
      </c>
      <c r="AB165" s="37">
        <v>45.8</v>
      </c>
      <c r="AC165" s="37">
        <v>45.57</v>
      </c>
      <c r="AD165" s="37">
        <v>45.56</v>
      </c>
      <c r="AE165" s="24">
        <f t="shared" si="44"/>
        <v>45.643333333333338</v>
      </c>
      <c r="AF165" s="37">
        <v>83.68</v>
      </c>
      <c r="AG165" s="37">
        <v>83.86</v>
      </c>
      <c r="AH165" s="37">
        <v>83.99</v>
      </c>
      <c r="AI165" s="24">
        <f t="shared" si="45"/>
        <v>83.843333333333348</v>
      </c>
      <c r="AS165" t="s">
        <v>65</v>
      </c>
      <c r="AT165">
        <v>8</v>
      </c>
      <c r="AU165">
        <v>2</v>
      </c>
      <c r="AV165">
        <v>2</v>
      </c>
      <c r="AW165" s="9">
        <v>10.02</v>
      </c>
      <c r="AX165" s="35">
        <v>53.6</v>
      </c>
      <c r="AY165" s="35">
        <v>53.29</v>
      </c>
      <c r="AZ165" s="35">
        <v>53.05</v>
      </c>
      <c r="BA165" s="24">
        <f t="shared" si="46"/>
        <v>53.313333333333333</v>
      </c>
      <c r="BB165" s="35">
        <v>31.72</v>
      </c>
      <c r="BC165">
        <v>31.55</v>
      </c>
      <c r="BD165" s="35">
        <v>31.72</v>
      </c>
      <c r="BE165" s="24">
        <f t="shared" si="47"/>
        <v>31.66333333333333</v>
      </c>
      <c r="BF165" s="35">
        <v>81.19</v>
      </c>
      <c r="BG165" s="35">
        <v>81.099999999999994</v>
      </c>
      <c r="BH165" s="35">
        <v>81.38</v>
      </c>
      <c r="BI165" s="24">
        <f t="shared" si="48"/>
        <v>81.223333333333329</v>
      </c>
      <c r="BK165" t="s">
        <v>51</v>
      </c>
    </row>
    <row r="166" spans="1:73" x14ac:dyDescent="0.25">
      <c r="A166" t="s">
        <v>57</v>
      </c>
      <c r="B166" s="111" t="s">
        <v>1068</v>
      </c>
      <c r="C166" t="s">
        <v>207</v>
      </c>
      <c r="D166" t="s">
        <v>656</v>
      </c>
      <c r="E166">
        <v>941</v>
      </c>
      <c r="H166" s="100">
        <v>42878</v>
      </c>
      <c r="I166" t="s">
        <v>961</v>
      </c>
      <c r="K166" s="33">
        <v>3</v>
      </c>
      <c r="L166" s="10" t="s">
        <v>64</v>
      </c>
      <c r="M166">
        <v>950</v>
      </c>
      <c r="N166">
        <v>95</v>
      </c>
      <c r="O166" s="9">
        <f t="shared" si="40"/>
        <v>855</v>
      </c>
      <c r="P166" s="35">
        <v>259</v>
      </c>
      <c r="Q166" s="35">
        <v>258</v>
      </c>
      <c r="R166" s="35">
        <v>258</v>
      </c>
      <c r="S166" s="24">
        <f t="shared" si="41"/>
        <v>258.33333333333331</v>
      </c>
      <c r="T166" s="35">
        <v>66</v>
      </c>
      <c r="U166" s="35">
        <v>65</v>
      </c>
      <c r="V166" s="35">
        <v>65</v>
      </c>
      <c r="W166" s="24">
        <f t="shared" si="42"/>
        <v>65.333333333333329</v>
      </c>
      <c r="X166" s="36">
        <v>9.49</v>
      </c>
      <c r="Y166" s="35">
        <v>9.85</v>
      </c>
      <c r="Z166" s="35">
        <v>9.9700000000000006</v>
      </c>
      <c r="AA166" s="24">
        <f t="shared" si="43"/>
        <v>9.7700000000000014</v>
      </c>
      <c r="AB166" s="37">
        <v>46.16</v>
      </c>
      <c r="AC166" s="37">
        <v>46.26</v>
      </c>
      <c r="AD166" s="37">
        <v>46.19</v>
      </c>
      <c r="AE166" s="24">
        <f t="shared" si="44"/>
        <v>46.203333333333326</v>
      </c>
      <c r="AF166" s="37">
        <v>85.86</v>
      </c>
      <c r="AG166" s="37">
        <v>85.88</v>
      </c>
      <c r="AH166" s="37">
        <v>85.93</v>
      </c>
      <c r="AI166" s="24">
        <f t="shared" si="45"/>
        <v>85.89</v>
      </c>
      <c r="AS166" t="s">
        <v>65</v>
      </c>
      <c r="AT166">
        <v>8</v>
      </c>
      <c r="AU166">
        <v>0</v>
      </c>
      <c r="AV166">
        <v>0</v>
      </c>
      <c r="AX166" s="35">
        <v>54.27</v>
      </c>
      <c r="AY166" s="35">
        <v>54.5</v>
      </c>
      <c r="AZ166" s="35">
        <v>54.09</v>
      </c>
      <c r="BA166" s="24">
        <f t="shared" si="46"/>
        <v>54.286666666666669</v>
      </c>
      <c r="BB166" s="35">
        <v>33.479999999999997</v>
      </c>
      <c r="BC166" s="35">
        <v>33.700000000000003</v>
      </c>
      <c r="BD166" s="35">
        <v>33.47</v>
      </c>
      <c r="BE166" s="24">
        <f t="shared" si="47"/>
        <v>33.550000000000004</v>
      </c>
      <c r="BF166" s="35">
        <v>83.24</v>
      </c>
      <c r="BG166" s="35">
        <v>82.96</v>
      </c>
      <c r="BH166" s="35">
        <v>82.78</v>
      </c>
      <c r="BI166" s="24">
        <f t="shared" si="48"/>
        <v>82.993333333333325</v>
      </c>
      <c r="BK166" t="s">
        <v>51</v>
      </c>
    </row>
    <row r="167" spans="1:73" x14ac:dyDescent="0.25">
      <c r="A167" t="s">
        <v>57</v>
      </c>
      <c r="B167" s="111" t="s">
        <v>282</v>
      </c>
      <c r="C167" t="s">
        <v>207</v>
      </c>
      <c r="D167" t="s">
        <v>656</v>
      </c>
      <c r="E167">
        <v>1171</v>
      </c>
      <c r="H167" s="100">
        <v>42880</v>
      </c>
      <c r="I167" t="s">
        <v>617</v>
      </c>
      <c r="K167" s="33" t="s">
        <v>66</v>
      </c>
      <c r="L167" s="10" t="s">
        <v>64</v>
      </c>
      <c r="M167">
        <v>916</v>
      </c>
      <c r="N167">
        <v>93</v>
      </c>
      <c r="O167" s="9">
        <f t="shared" si="40"/>
        <v>823</v>
      </c>
      <c r="P167" s="35">
        <v>265</v>
      </c>
      <c r="Q167" s="35">
        <v>265</v>
      </c>
      <c r="R167" s="35">
        <v>265</v>
      </c>
      <c r="S167" s="24">
        <f t="shared" si="41"/>
        <v>265</v>
      </c>
      <c r="T167" s="35">
        <v>76</v>
      </c>
      <c r="U167" s="35">
        <v>76</v>
      </c>
      <c r="V167" s="35">
        <v>76</v>
      </c>
      <c r="W167" s="24">
        <f t="shared" si="42"/>
        <v>76</v>
      </c>
      <c r="X167" s="36">
        <v>10.99</v>
      </c>
      <c r="Y167" s="35">
        <v>11.12</v>
      </c>
      <c r="Z167" s="35">
        <v>10.8</v>
      </c>
      <c r="AA167" s="24">
        <f t="shared" si="43"/>
        <v>10.969999999999999</v>
      </c>
      <c r="AB167" s="37">
        <v>46.71</v>
      </c>
      <c r="AC167" s="37">
        <v>46.11</v>
      </c>
      <c r="AD167" s="37">
        <v>46.28</v>
      </c>
      <c r="AE167" s="24">
        <f t="shared" si="44"/>
        <v>46.366666666666667</v>
      </c>
      <c r="AF167" s="37">
        <v>85.8</v>
      </c>
      <c r="AG167" s="37">
        <v>85.99</v>
      </c>
      <c r="AH167" s="37">
        <v>86.26</v>
      </c>
      <c r="AI167" s="24">
        <f t="shared" si="45"/>
        <v>86.016666666666666</v>
      </c>
      <c r="AS167" t="s">
        <v>65</v>
      </c>
      <c r="AT167">
        <v>8</v>
      </c>
      <c r="AU167">
        <v>0</v>
      </c>
      <c r="AV167">
        <v>0</v>
      </c>
      <c r="AX167" s="35">
        <v>53.32</v>
      </c>
      <c r="AY167" s="35">
        <v>53.53</v>
      </c>
      <c r="AZ167" s="35">
        <v>53.86</v>
      </c>
      <c r="BA167" s="24">
        <f t="shared" si="46"/>
        <v>53.569999999999993</v>
      </c>
      <c r="BB167" s="35">
        <v>36.369999999999997</v>
      </c>
      <c r="BC167" s="35">
        <v>36.31</v>
      </c>
      <c r="BD167" s="35">
        <v>36.380000000000003</v>
      </c>
      <c r="BE167" s="24">
        <f t="shared" si="47"/>
        <v>36.353333333333332</v>
      </c>
      <c r="BF167" s="35">
        <v>87.2</v>
      </c>
      <c r="BG167" s="35">
        <v>87.13</v>
      </c>
      <c r="BH167" s="35">
        <v>87.22</v>
      </c>
      <c r="BI167" s="24">
        <f t="shared" si="48"/>
        <v>87.183333333333323</v>
      </c>
      <c r="BK167" t="s">
        <v>51</v>
      </c>
    </row>
    <row r="168" spans="1:73" x14ac:dyDescent="0.25">
      <c r="A168" t="s">
        <v>57</v>
      </c>
      <c r="B168" s="111" t="s">
        <v>1056</v>
      </c>
      <c r="C168" t="s">
        <v>207</v>
      </c>
      <c r="D168" t="s">
        <v>656</v>
      </c>
      <c r="E168">
        <v>1007</v>
      </c>
      <c r="H168" s="100">
        <v>42900</v>
      </c>
      <c r="I168" t="s">
        <v>638</v>
      </c>
      <c r="K168" s="33">
        <v>1</v>
      </c>
      <c r="L168" s="10" t="s">
        <v>64</v>
      </c>
      <c r="M168">
        <v>773</v>
      </c>
      <c r="N168">
        <v>95</v>
      </c>
      <c r="O168" s="9">
        <f t="shared" si="40"/>
        <v>678</v>
      </c>
      <c r="P168" s="35">
        <v>250</v>
      </c>
      <c r="Q168" s="35">
        <v>251</v>
      </c>
      <c r="R168" s="35">
        <v>250</v>
      </c>
      <c r="S168" s="24">
        <f t="shared" si="41"/>
        <v>250.33333333333334</v>
      </c>
      <c r="T168" s="35">
        <v>156</v>
      </c>
      <c r="U168" s="35">
        <v>155</v>
      </c>
      <c r="V168" s="35">
        <v>155</v>
      </c>
      <c r="W168" s="24">
        <f t="shared" si="42"/>
        <v>155.33333333333334</v>
      </c>
      <c r="X168" s="36">
        <v>8.73</v>
      </c>
      <c r="Y168" s="35">
        <v>9.9</v>
      </c>
      <c r="Z168" s="35">
        <v>9.0500000000000007</v>
      </c>
      <c r="AA168" s="24">
        <f t="shared" si="43"/>
        <v>9.2266666666666683</v>
      </c>
      <c r="AB168" s="37">
        <v>42.73</v>
      </c>
      <c r="AC168" s="37">
        <v>42.97</v>
      </c>
      <c r="AD168" s="37">
        <v>42.79</v>
      </c>
      <c r="AE168" s="24">
        <f t="shared" si="44"/>
        <v>42.829999999999991</v>
      </c>
      <c r="AF168" s="37">
        <v>80.44</v>
      </c>
      <c r="AG168" s="37">
        <v>80.52</v>
      </c>
      <c r="AH168" s="37">
        <v>80.45</v>
      </c>
      <c r="AI168" s="24">
        <f t="shared" si="45"/>
        <v>80.469999999999985</v>
      </c>
      <c r="AS168" t="s">
        <v>65</v>
      </c>
      <c r="AT168">
        <v>8</v>
      </c>
      <c r="AU168">
        <v>3</v>
      </c>
      <c r="AV168">
        <v>2</v>
      </c>
      <c r="AW168" s="9">
        <v>6.69</v>
      </c>
      <c r="AX168" s="35">
        <v>48.98</v>
      </c>
      <c r="AY168" s="35">
        <v>49.24</v>
      </c>
      <c r="AZ168" s="35">
        <v>48.27</v>
      </c>
      <c r="BA168" s="24">
        <f t="shared" si="46"/>
        <v>48.830000000000005</v>
      </c>
      <c r="BB168" s="35">
        <v>31.11</v>
      </c>
      <c r="BC168" s="35">
        <v>31.16</v>
      </c>
      <c r="BD168" s="35">
        <v>31.04</v>
      </c>
      <c r="BE168" s="24">
        <f t="shared" si="47"/>
        <v>31.103333333333335</v>
      </c>
      <c r="BF168" s="35">
        <v>80.14</v>
      </c>
      <c r="BG168" s="35">
        <v>80.66</v>
      </c>
      <c r="BH168" s="35">
        <v>80.08</v>
      </c>
      <c r="BI168" s="24">
        <f t="shared" si="48"/>
        <v>80.293333333333337</v>
      </c>
      <c r="BK168" t="s">
        <v>51</v>
      </c>
    </row>
    <row r="169" spans="1:73" x14ac:dyDescent="0.25">
      <c r="A169" t="s">
        <v>57</v>
      </c>
      <c r="B169" s="111" t="s">
        <v>1087</v>
      </c>
      <c r="C169" t="s">
        <v>49</v>
      </c>
      <c r="D169" t="s">
        <v>656</v>
      </c>
      <c r="E169">
        <v>1425</v>
      </c>
      <c r="H169" s="100">
        <v>42900</v>
      </c>
      <c r="I169" t="s">
        <v>547</v>
      </c>
      <c r="K169" s="33">
        <v>3</v>
      </c>
      <c r="L169" s="10" t="s">
        <v>64</v>
      </c>
      <c r="M169">
        <v>856</v>
      </c>
      <c r="N169">
        <v>96</v>
      </c>
      <c r="O169" s="9">
        <f t="shared" si="40"/>
        <v>760</v>
      </c>
      <c r="P169" s="35">
        <v>252</v>
      </c>
      <c r="Q169" s="35">
        <v>251</v>
      </c>
      <c r="R169" s="35">
        <v>251</v>
      </c>
      <c r="S169" s="24">
        <f t="shared" si="41"/>
        <v>251.33333333333334</v>
      </c>
      <c r="T169" s="35">
        <v>150</v>
      </c>
      <c r="U169" s="35">
        <v>150</v>
      </c>
      <c r="V169" s="35">
        <v>151</v>
      </c>
      <c r="W169" s="24">
        <f t="shared" si="42"/>
        <v>150.33333333333334</v>
      </c>
      <c r="X169" s="36">
        <v>11.06</v>
      </c>
      <c r="Y169" s="35">
        <v>10.94</v>
      </c>
      <c r="Z169" s="35">
        <v>10.87</v>
      </c>
      <c r="AA169" s="24">
        <f t="shared" si="43"/>
        <v>10.956666666666665</v>
      </c>
      <c r="AB169" s="37">
        <v>45.06</v>
      </c>
      <c r="AC169" s="37">
        <v>45.31</v>
      </c>
      <c r="AD169" s="37">
        <v>45.08</v>
      </c>
      <c r="AE169" s="24">
        <f t="shared" si="44"/>
        <v>45.15</v>
      </c>
      <c r="AF169" s="37">
        <v>83.91</v>
      </c>
      <c r="AG169" s="37">
        <v>83.1</v>
      </c>
      <c r="AH169" s="37">
        <v>83.94</v>
      </c>
      <c r="AI169" s="24">
        <f t="shared" si="45"/>
        <v>83.649999999999991</v>
      </c>
      <c r="AS169" t="s">
        <v>65</v>
      </c>
      <c r="AT169">
        <v>8</v>
      </c>
      <c r="AU169">
        <v>1</v>
      </c>
      <c r="AX169" s="35">
        <v>52.71</v>
      </c>
      <c r="AY169" s="35">
        <v>52.71</v>
      </c>
      <c r="AZ169" s="35">
        <v>52.69</v>
      </c>
      <c r="BA169" s="24">
        <f t="shared" si="46"/>
        <v>52.70333333333334</v>
      </c>
      <c r="BB169" s="35">
        <v>31.62</v>
      </c>
      <c r="BC169" s="35">
        <v>31.33</v>
      </c>
      <c r="BD169" s="35">
        <v>31.46</v>
      </c>
      <c r="BE169" s="24">
        <f t="shared" si="47"/>
        <v>31.47</v>
      </c>
      <c r="BF169" s="35">
        <v>81.55</v>
      </c>
      <c r="BG169" s="35">
        <v>81.08</v>
      </c>
      <c r="BH169" s="35">
        <v>81.62</v>
      </c>
      <c r="BI169" s="24">
        <f t="shared" si="48"/>
        <v>81.416666666666671</v>
      </c>
      <c r="BJ169" t="s">
        <v>51</v>
      </c>
      <c r="BK169" t="s">
        <v>51</v>
      </c>
    </row>
    <row r="170" spans="1:73" x14ac:dyDescent="0.25">
      <c r="A170" t="s">
        <v>57</v>
      </c>
      <c r="B170" s="111" t="s">
        <v>396</v>
      </c>
      <c r="C170" t="s">
        <v>49</v>
      </c>
      <c r="D170" t="s">
        <v>656</v>
      </c>
      <c r="E170">
        <v>1365</v>
      </c>
      <c r="H170" s="100">
        <v>42905</v>
      </c>
      <c r="I170" t="s">
        <v>962</v>
      </c>
      <c r="K170" s="33">
        <v>1</v>
      </c>
      <c r="L170" s="10" t="s">
        <v>64</v>
      </c>
      <c r="M170">
        <v>516</v>
      </c>
      <c r="N170">
        <v>94</v>
      </c>
      <c r="O170" s="9">
        <f t="shared" si="40"/>
        <v>422</v>
      </c>
      <c r="P170" s="35">
        <v>205</v>
      </c>
      <c r="Q170" s="35">
        <v>204</v>
      </c>
      <c r="R170" s="35">
        <v>204</v>
      </c>
      <c r="S170" s="24">
        <f t="shared" si="41"/>
        <v>204.33333333333334</v>
      </c>
      <c r="T170" s="35">
        <v>129</v>
      </c>
      <c r="U170" s="35">
        <v>129</v>
      </c>
      <c r="V170" s="35">
        <v>129</v>
      </c>
      <c r="W170" s="24">
        <f t="shared" si="42"/>
        <v>129</v>
      </c>
      <c r="X170" s="36">
        <v>6.41</v>
      </c>
      <c r="Y170" s="35">
        <v>6.6</v>
      </c>
      <c r="Z170" s="35">
        <v>6.36</v>
      </c>
      <c r="AA170" s="24">
        <f t="shared" si="43"/>
        <v>6.456666666666667</v>
      </c>
      <c r="AB170">
        <v>37.18</v>
      </c>
      <c r="AC170" s="37">
        <v>37.1</v>
      </c>
      <c r="AD170">
        <v>37.26</v>
      </c>
      <c r="AE170" s="24">
        <f t="shared" si="44"/>
        <v>37.18</v>
      </c>
      <c r="AF170" s="37">
        <v>65.209999999999994</v>
      </c>
      <c r="AG170" s="37">
        <v>65.209999999999994</v>
      </c>
      <c r="AH170" s="37">
        <v>65.63</v>
      </c>
      <c r="AI170" s="24">
        <f t="shared" si="45"/>
        <v>65.349999999999994</v>
      </c>
      <c r="AS170" t="s">
        <v>65</v>
      </c>
      <c r="AT170">
        <v>8</v>
      </c>
      <c r="AX170" s="35">
        <v>42.14</v>
      </c>
      <c r="AY170" s="35">
        <v>41.93</v>
      </c>
      <c r="AZ170" s="35">
        <v>42.4</v>
      </c>
      <c r="BA170" s="24">
        <f t="shared" si="46"/>
        <v>42.156666666666666</v>
      </c>
      <c r="BB170" s="35">
        <v>30.14</v>
      </c>
      <c r="BC170" s="35">
        <v>30.54</v>
      </c>
      <c r="BD170" s="35">
        <v>30.27</v>
      </c>
      <c r="BE170" s="24">
        <f t="shared" si="47"/>
        <v>30.316666666666666</v>
      </c>
      <c r="BF170" s="35">
        <v>69.41</v>
      </c>
      <c r="BG170" s="35">
        <v>69.89</v>
      </c>
      <c r="BH170" s="35">
        <v>69.959999999999994</v>
      </c>
      <c r="BI170" s="24">
        <f t="shared" si="48"/>
        <v>69.75333333333333</v>
      </c>
      <c r="BJ170" t="s">
        <v>51</v>
      </c>
      <c r="BK170" t="s">
        <v>51</v>
      </c>
    </row>
    <row r="171" spans="1:73" x14ac:dyDescent="0.25">
      <c r="A171" t="s">
        <v>57</v>
      </c>
      <c r="B171" s="111" t="s">
        <v>1088</v>
      </c>
      <c r="C171" t="s">
        <v>49</v>
      </c>
      <c r="D171" t="s">
        <v>656</v>
      </c>
      <c r="E171">
        <v>1366</v>
      </c>
      <c r="H171" s="100">
        <v>42905</v>
      </c>
      <c r="I171" t="s">
        <v>94</v>
      </c>
      <c r="K171" s="33">
        <v>2</v>
      </c>
      <c r="L171" s="10" t="s">
        <v>50</v>
      </c>
      <c r="M171">
        <v>1837</v>
      </c>
      <c r="N171">
        <v>94</v>
      </c>
      <c r="O171" s="9">
        <f t="shared" si="40"/>
        <v>1743</v>
      </c>
      <c r="P171" s="35">
        <v>340</v>
      </c>
      <c r="Q171" s="35">
        <v>341</v>
      </c>
      <c r="R171" s="35">
        <v>340</v>
      </c>
      <c r="S171" s="24">
        <f t="shared" si="41"/>
        <v>340.33333333333331</v>
      </c>
      <c r="T171" s="35">
        <v>36</v>
      </c>
      <c r="U171" s="35">
        <v>36</v>
      </c>
      <c r="V171" s="35">
        <v>36</v>
      </c>
      <c r="W171" s="24">
        <f t="shared" si="42"/>
        <v>36</v>
      </c>
      <c r="X171" s="36">
        <v>14.69</v>
      </c>
      <c r="Y171" s="35">
        <v>14.66</v>
      </c>
      <c r="Z171" s="35">
        <v>14.2</v>
      </c>
      <c r="AA171" s="24">
        <f t="shared" si="43"/>
        <v>14.516666666666666</v>
      </c>
      <c r="AB171" s="37">
        <v>55.5</v>
      </c>
      <c r="AC171" s="37">
        <v>55.95</v>
      </c>
      <c r="AD171" s="37">
        <v>56.01</v>
      </c>
      <c r="AE171" s="24">
        <f t="shared" si="44"/>
        <v>55.82</v>
      </c>
      <c r="AF171" s="37">
        <v>106.04</v>
      </c>
      <c r="AG171" s="37">
        <v>106.02</v>
      </c>
      <c r="AH171" s="37">
        <v>105.94</v>
      </c>
      <c r="AI171" s="24">
        <f t="shared" si="45"/>
        <v>106</v>
      </c>
      <c r="AJ171" s="37">
        <v>31.31</v>
      </c>
      <c r="AK171" s="37">
        <v>31.57</v>
      </c>
      <c r="AL171" s="37">
        <v>31.54</v>
      </c>
      <c r="AM171" s="24">
        <f>AVERAGE(AJ171:AL171)</f>
        <v>31.473333333333329</v>
      </c>
      <c r="AN171" s="37">
        <v>23.09</v>
      </c>
      <c r="AO171" s="37">
        <v>22.64</v>
      </c>
      <c r="AP171" s="37">
        <v>22.86</v>
      </c>
      <c r="AQ171" s="24">
        <f>AVERAGE(AN171:AP171)</f>
        <v>22.863333333333333</v>
      </c>
      <c r="AX171" s="35">
        <v>68.59</v>
      </c>
      <c r="AY171" s="35">
        <v>68.180000000000007</v>
      </c>
      <c r="AZ171" s="35">
        <v>68.790000000000006</v>
      </c>
      <c r="BA171" s="24">
        <f t="shared" si="46"/>
        <v>68.52</v>
      </c>
      <c r="BB171" s="35">
        <v>40.299999999999997</v>
      </c>
      <c r="BC171" s="35">
        <v>39.840000000000003</v>
      </c>
      <c r="BD171" s="35">
        <v>39.82</v>
      </c>
      <c r="BE171" s="24">
        <f t="shared" si="47"/>
        <v>39.986666666666672</v>
      </c>
      <c r="BF171" s="35">
        <v>96.86</v>
      </c>
      <c r="BG171" s="35">
        <v>97.03</v>
      </c>
      <c r="BH171" s="35">
        <v>96.66</v>
      </c>
      <c r="BI171" s="24">
        <f t="shared" si="48"/>
        <v>96.84999999999998</v>
      </c>
      <c r="BJ171" t="s">
        <v>51</v>
      </c>
      <c r="BK171" t="s">
        <v>51</v>
      </c>
    </row>
    <row r="172" spans="1:73" s="158" customFormat="1" x14ac:dyDescent="0.25">
      <c r="A172" s="158" t="s">
        <v>57</v>
      </c>
      <c r="B172" s="158" t="s">
        <v>1089</v>
      </c>
      <c r="C172" s="158" t="s">
        <v>207</v>
      </c>
      <c r="D172" s="158" t="s">
        <v>656</v>
      </c>
      <c r="E172" s="158">
        <v>1287</v>
      </c>
      <c r="H172" s="159">
        <v>42903</v>
      </c>
      <c r="I172" s="158" t="s">
        <v>86</v>
      </c>
      <c r="J172" s="160"/>
      <c r="K172" s="161">
        <v>3</v>
      </c>
      <c r="L172" s="162" t="s">
        <v>50</v>
      </c>
      <c r="M172" s="158">
        <v>1920</v>
      </c>
      <c r="N172" s="158">
        <v>95</v>
      </c>
      <c r="O172" s="160">
        <f t="shared" si="40"/>
        <v>1825</v>
      </c>
      <c r="P172" s="163">
        <v>271</v>
      </c>
      <c r="Q172" s="163">
        <v>272</v>
      </c>
      <c r="R172" s="163">
        <v>271</v>
      </c>
      <c r="S172" s="24">
        <f t="shared" si="41"/>
        <v>271.33333333333331</v>
      </c>
      <c r="T172" s="163">
        <v>176</v>
      </c>
      <c r="U172" s="163">
        <v>177</v>
      </c>
      <c r="V172" s="163">
        <v>176</v>
      </c>
      <c r="W172" s="24">
        <f t="shared" si="42"/>
        <v>176.33333333333334</v>
      </c>
      <c r="X172" s="164">
        <v>14.87</v>
      </c>
      <c r="Y172" s="163">
        <v>15.09</v>
      </c>
      <c r="Z172" s="163">
        <v>15.04</v>
      </c>
      <c r="AA172" s="24">
        <f t="shared" si="43"/>
        <v>15</v>
      </c>
      <c r="AB172" s="165">
        <v>54.12</v>
      </c>
      <c r="AC172" s="165">
        <v>54.09</v>
      </c>
      <c r="AD172" s="165">
        <v>54.27</v>
      </c>
      <c r="AE172" s="24">
        <f t="shared" si="44"/>
        <v>54.160000000000004</v>
      </c>
      <c r="AF172" s="165">
        <v>108.46</v>
      </c>
      <c r="AG172" s="158">
        <v>108.39</v>
      </c>
      <c r="AH172" s="165">
        <v>108.26</v>
      </c>
      <c r="AI172" s="24">
        <f t="shared" si="45"/>
        <v>108.37</v>
      </c>
      <c r="AJ172" s="165">
        <v>32.17</v>
      </c>
      <c r="AK172" s="165">
        <v>32.14</v>
      </c>
      <c r="AL172" s="165">
        <v>31.99</v>
      </c>
      <c r="AM172" s="24">
        <f>AVERAGE(AJ172:AL172)</f>
        <v>32.1</v>
      </c>
      <c r="AN172" s="165">
        <v>23.55</v>
      </c>
      <c r="AO172" s="165">
        <v>23.1</v>
      </c>
      <c r="AP172" s="165">
        <v>23.28</v>
      </c>
      <c r="AQ172" s="24">
        <f>AVERAGE(AN172:AP172)</f>
        <v>23.310000000000002</v>
      </c>
      <c r="AR172" s="162"/>
      <c r="AW172" s="160"/>
      <c r="AX172" s="163">
        <v>61.94</v>
      </c>
      <c r="AY172" s="163">
        <v>61.76</v>
      </c>
      <c r="AZ172" s="163">
        <v>62.16</v>
      </c>
      <c r="BA172" s="24">
        <f t="shared" si="46"/>
        <v>61.953333333333326</v>
      </c>
      <c r="BB172" s="163">
        <v>39.130000000000003</v>
      </c>
      <c r="BC172" s="163">
        <v>39.44</v>
      </c>
      <c r="BD172" s="163">
        <v>39.33</v>
      </c>
      <c r="BE172" s="24">
        <f t="shared" si="47"/>
        <v>39.299999999999997</v>
      </c>
      <c r="BF172" s="163">
        <v>97.98</v>
      </c>
      <c r="BG172" s="163">
        <v>97.45</v>
      </c>
      <c r="BH172" s="163">
        <v>98.07</v>
      </c>
      <c r="BI172" s="24">
        <f t="shared" si="48"/>
        <v>97.833333333333329</v>
      </c>
      <c r="BJ172" s="158" t="s">
        <v>51</v>
      </c>
      <c r="BK172" s="158" t="s">
        <v>51</v>
      </c>
      <c r="BO172" s="160"/>
      <c r="BP172" s="166"/>
      <c r="BQ172" s="166"/>
      <c r="BR172" s="166"/>
      <c r="BS172" s="166"/>
      <c r="BT172" s="160"/>
    </row>
    <row r="173" spans="1:73" x14ac:dyDescent="0.25">
      <c r="A173" t="s">
        <v>57</v>
      </c>
      <c r="B173" s="111" t="s">
        <v>1070</v>
      </c>
      <c r="C173" t="s">
        <v>207</v>
      </c>
      <c r="D173" t="s">
        <v>656</v>
      </c>
      <c r="E173">
        <v>1058</v>
      </c>
      <c r="H173" s="100">
        <v>42903</v>
      </c>
      <c r="I173" t="s">
        <v>97</v>
      </c>
      <c r="K173" s="33">
        <v>3</v>
      </c>
      <c r="L173" s="10" t="s">
        <v>50</v>
      </c>
      <c r="M173">
        <v>1370</v>
      </c>
      <c r="N173">
        <v>91</v>
      </c>
      <c r="O173" s="9">
        <f t="shared" ref="O173" si="49">M173-N173</f>
        <v>1279</v>
      </c>
      <c r="P173" s="35">
        <v>316</v>
      </c>
      <c r="Q173" s="35">
        <v>315</v>
      </c>
      <c r="R173" s="35">
        <v>315</v>
      </c>
      <c r="S173" s="24">
        <f t="shared" si="41"/>
        <v>315.33333333333331</v>
      </c>
      <c r="T173" s="35">
        <v>144</v>
      </c>
      <c r="U173" s="35">
        <v>144</v>
      </c>
      <c r="V173" s="35">
        <v>143</v>
      </c>
      <c r="W173" s="24">
        <f t="shared" si="42"/>
        <v>143.66666666666666</v>
      </c>
      <c r="X173" s="36">
        <v>11.38</v>
      </c>
      <c r="Y173" s="35">
        <v>11.62</v>
      </c>
      <c r="Z173" s="35">
        <v>11.73</v>
      </c>
      <c r="AA173" s="24">
        <f t="shared" si="43"/>
        <v>11.576666666666668</v>
      </c>
      <c r="AB173" s="37">
        <v>50.05</v>
      </c>
      <c r="AC173" s="37">
        <v>50.48</v>
      </c>
      <c r="AD173" s="37">
        <v>50.53</v>
      </c>
      <c r="AE173" s="24">
        <f t="shared" si="44"/>
        <v>50.353333333333332</v>
      </c>
      <c r="AF173" s="37">
        <v>96.39</v>
      </c>
      <c r="AG173" s="37">
        <v>96.59</v>
      </c>
      <c r="AH173" s="37">
        <v>96.56</v>
      </c>
      <c r="AI173" s="24">
        <f t="shared" si="45"/>
        <v>96.513333333333335</v>
      </c>
      <c r="AJ173" s="37">
        <v>31.46</v>
      </c>
      <c r="AK173" s="37">
        <v>61.36</v>
      </c>
      <c r="AL173" s="37">
        <v>31.29</v>
      </c>
      <c r="AM173" s="24">
        <f>AVERAGE(AJ173:AL173)</f>
        <v>41.37</v>
      </c>
      <c r="AN173" s="37">
        <v>23.5</v>
      </c>
      <c r="AO173" s="37">
        <v>23.77</v>
      </c>
      <c r="AP173" s="37">
        <v>23.43</v>
      </c>
      <c r="AQ173" s="24">
        <f>AVERAGE(AN173:AP173)</f>
        <v>23.566666666666663</v>
      </c>
      <c r="AX173" s="35">
        <v>59.46</v>
      </c>
      <c r="AY173">
        <v>59.47</v>
      </c>
      <c r="AZ173">
        <v>59.44</v>
      </c>
      <c r="BA173" s="24">
        <f t="shared" si="46"/>
        <v>59.456666666666671</v>
      </c>
      <c r="BB173" s="35">
        <v>35.520000000000003</v>
      </c>
      <c r="BC173" s="35">
        <v>35.15</v>
      </c>
      <c r="BD173" s="35">
        <v>35.869999999999997</v>
      </c>
      <c r="BE173" s="24">
        <f t="shared" si="47"/>
        <v>35.513333333333328</v>
      </c>
      <c r="BF173" s="35">
        <v>91.84</v>
      </c>
      <c r="BG173" s="35">
        <v>92.12</v>
      </c>
      <c r="BH173" s="35">
        <v>91.93</v>
      </c>
      <c r="BI173" s="24">
        <f t="shared" si="48"/>
        <v>91.963333333333324</v>
      </c>
    </row>
    <row r="174" spans="1:73" s="176" customFormat="1" x14ac:dyDescent="0.25">
      <c r="A174" s="183" t="s">
        <v>964</v>
      </c>
      <c r="B174" s="184"/>
      <c r="J174" s="177"/>
      <c r="K174" s="178"/>
      <c r="L174" s="179"/>
      <c r="O174" s="177"/>
      <c r="S174" s="180"/>
      <c r="W174" s="180"/>
      <c r="X174" s="181"/>
      <c r="AA174" s="180"/>
      <c r="AE174" s="180"/>
      <c r="AI174" s="24"/>
      <c r="AJ174" s="182"/>
      <c r="AK174" s="182"/>
      <c r="AL174" s="182"/>
      <c r="AM174" s="177"/>
      <c r="AN174" s="182"/>
      <c r="AO174" s="182"/>
      <c r="AP174" s="182"/>
      <c r="AQ174" s="177"/>
      <c r="AR174" s="179"/>
      <c r="AW174" s="177"/>
      <c r="BA174" s="180"/>
      <c r="BE174" s="180"/>
      <c r="BI174" s="180"/>
      <c r="BO174" s="177"/>
      <c r="BP174" s="182"/>
      <c r="BQ174" s="182"/>
      <c r="BR174" s="182"/>
      <c r="BS174" s="182"/>
      <c r="BT174" s="177"/>
    </row>
    <row r="175" spans="1:73" x14ac:dyDescent="0.25">
      <c r="A175" t="s">
        <v>57</v>
      </c>
      <c r="B175" s="111" t="s">
        <v>1090</v>
      </c>
      <c r="C175" t="s">
        <v>49</v>
      </c>
      <c r="D175" t="s">
        <v>208</v>
      </c>
      <c r="E175">
        <v>1368</v>
      </c>
      <c r="H175" s="100">
        <v>42937</v>
      </c>
      <c r="I175" t="s">
        <v>225</v>
      </c>
      <c r="K175" s="33">
        <v>1</v>
      </c>
      <c r="L175" s="10" t="s">
        <v>50</v>
      </c>
      <c r="M175">
        <v>794</v>
      </c>
      <c r="N175">
        <v>94</v>
      </c>
      <c r="O175" s="9">
        <f t="shared" ref="O175:O203" si="50">M175-N175</f>
        <v>700</v>
      </c>
      <c r="P175" s="35">
        <v>243</v>
      </c>
      <c r="Q175" s="35">
        <v>242</v>
      </c>
      <c r="R175" s="35">
        <v>242</v>
      </c>
      <c r="S175" s="24">
        <f t="shared" ref="S175:S203" si="51">AVERAGE(P175:R175)</f>
        <v>242.33333333333334</v>
      </c>
      <c r="T175" s="35">
        <v>156</v>
      </c>
      <c r="U175" s="35">
        <v>156</v>
      </c>
      <c r="V175" s="35">
        <v>155</v>
      </c>
      <c r="W175" s="24">
        <f t="shared" ref="W175:W203" si="52">AVERAGE(T175:V175)</f>
        <v>155.66666666666666</v>
      </c>
      <c r="X175" s="36">
        <v>9.17</v>
      </c>
      <c r="Y175" s="35">
        <v>9.25</v>
      </c>
      <c r="Z175" s="35">
        <v>9.32</v>
      </c>
      <c r="AA175" s="24">
        <f t="shared" ref="AA175:AA203" si="53">AVERAGE(X175:Z175)</f>
        <v>9.2466666666666679</v>
      </c>
      <c r="AB175" s="37">
        <v>45.3</v>
      </c>
      <c r="AC175" s="37">
        <v>45.16</v>
      </c>
      <c r="AD175" s="37">
        <v>44.91</v>
      </c>
      <c r="AF175" s="37">
        <v>79.5</v>
      </c>
      <c r="AG175" s="37">
        <v>79.69</v>
      </c>
      <c r="AH175" s="37">
        <v>79.709999999999994</v>
      </c>
      <c r="AI175" s="24">
        <f t="shared" ref="AI175:AI203" si="54">AVERAGE(AF175:AH175)</f>
        <v>79.633333333333326</v>
      </c>
      <c r="AJ175" s="37">
        <v>28.6</v>
      </c>
      <c r="AK175" s="37">
        <v>28.52</v>
      </c>
      <c r="AL175" s="37">
        <v>28.22</v>
      </c>
      <c r="AM175" s="24">
        <f>AVERAGE(AJ175:AL175)</f>
        <v>28.446666666666669</v>
      </c>
      <c r="AN175" s="37">
        <v>17.87</v>
      </c>
      <c r="AO175" s="37">
        <v>18.100000000000001</v>
      </c>
      <c r="AP175" s="37">
        <v>18.16</v>
      </c>
      <c r="AQ175" s="24">
        <f>AVERAGE(AN175:AP175)</f>
        <v>18.043333333333333</v>
      </c>
      <c r="AX175" s="35">
        <v>50.5</v>
      </c>
      <c r="AY175">
        <v>50.63</v>
      </c>
      <c r="AZ175">
        <v>50.71</v>
      </c>
      <c r="BA175" s="24">
        <f t="shared" ref="BA175:BA203" si="55">AVERAGE(AX175:AZ175)</f>
        <v>50.613333333333337</v>
      </c>
      <c r="BB175" s="35">
        <v>34.520000000000003</v>
      </c>
      <c r="BC175" s="35">
        <v>35.200000000000003</v>
      </c>
      <c r="BD175" s="35">
        <v>34.25</v>
      </c>
      <c r="BE175" s="24">
        <f t="shared" ref="BE175:BE203" si="56">AVERAGE(BB175:BD175)</f>
        <v>34.656666666666666</v>
      </c>
      <c r="BF175" s="35">
        <v>80.569999999999993</v>
      </c>
      <c r="BG175" s="35">
        <v>80.77</v>
      </c>
      <c r="BH175" s="35">
        <v>80.680000000000007</v>
      </c>
      <c r="BI175" s="24">
        <f t="shared" ref="BI175:BI203" si="57">AVERAGE(BF175:BH175)</f>
        <v>80.673333333333332</v>
      </c>
      <c r="BJ175" t="s">
        <v>51</v>
      </c>
      <c r="BK175" t="s">
        <v>51</v>
      </c>
      <c r="BU175" t="s">
        <v>965</v>
      </c>
    </row>
    <row r="176" spans="1:73" x14ac:dyDescent="0.25">
      <c r="A176" t="s">
        <v>57</v>
      </c>
      <c r="B176" s="111" t="s">
        <v>1029</v>
      </c>
      <c r="C176" t="s">
        <v>207</v>
      </c>
      <c r="D176" t="s">
        <v>208</v>
      </c>
      <c r="E176">
        <v>1172</v>
      </c>
      <c r="H176" s="100">
        <v>42937</v>
      </c>
      <c r="I176" t="s">
        <v>86</v>
      </c>
      <c r="K176" s="33">
        <v>2</v>
      </c>
      <c r="L176" s="10" t="s">
        <v>64</v>
      </c>
      <c r="M176">
        <v>846</v>
      </c>
      <c r="N176">
        <v>97</v>
      </c>
      <c r="O176" s="9">
        <f t="shared" si="50"/>
        <v>749</v>
      </c>
      <c r="P176" s="35">
        <v>265</v>
      </c>
      <c r="Q176" s="35">
        <v>265</v>
      </c>
      <c r="R176" s="35">
        <v>266</v>
      </c>
      <c r="S176" s="24">
        <f t="shared" si="51"/>
        <v>265.33333333333331</v>
      </c>
      <c r="T176" s="35">
        <v>156</v>
      </c>
      <c r="U176" s="35">
        <v>156</v>
      </c>
      <c r="V176" s="35">
        <v>157</v>
      </c>
      <c r="W176" s="24">
        <f t="shared" si="52"/>
        <v>156.33333333333334</v>
      </c>
      <c r="X176" s="36">
        <v>8.7100000000000009</v>
      </c>
      <c r="Y176" s="35">
        <v>8.65</v>
      </c>
      <c r="Z176" s="35">
        <v>8.4600000000000009</v>
      </c>
      <c r="AA176" s="24">
        <f t="shared" si="53"/>
        <v>8.6066666666666674</v>
      </c>
      <c r="AB176" s="37">
        <v>45.22</v>
      </c>
      <c r="AC176" s="37">
        <v>45.21</v>
      </c>
      <c r="AD176" s="37">
        <v>45.26</v>
      </c>
      <c r="AF176" s="37">
        <v>85.21</v>
      </c>
      <c r="AG176" s="37">
        <v>85.23</v>
      </c>
      <c r="AH176" s="37">
        <v>85.51</v>
      </c>
      <c r="AI176" s="24">
        <f t="shared" si="54"/>
        <v>85.316666666666663</v>
      </c>
      <c r="AS176" t="s">
        <v>65</v>
      </c>
      <c r="AT176">
        <v>8</v>
      </c>
      <c r="AU176">
        <v>0</v>
      </c>
      <c r="AV176">
        <v>0</v>
      </c>
      <c r="AX176" s="35">
        <v>54.44</v>
      </c>
      <c r="AY176" s="35">
        <v>54.33</v>
      </c>
      <c r="AZ176" s="35">
        <v>54.81</v>
      </c>
      <c r="BA176" s="24">
        <f t="shared" si="55"/>
        <v>54.526666666666664</v>
      </c>
      <c r="BB176" s="35">
        <v>31.74</v>
      </c>
      <c r="BC176" s="35">
        <v>31.88</v>
      </c>
      <c r="BD176" s="35">
        <v>31.59</v>
      </c>
      <c r="BE176" s="24">
        <f t="shared" si="56"/>
        <v>31.736666666666665</v>
      </c>
      <c r="BF176" s="35">
        <v>85.54</v>
      </c>
      <c r="BG176" s="35">
        <v>85.54</v>
      </c>
      <c r="BH176" s="35">
        <v>85.17</v>
      </c>
      <c r="BI176" s="24">
        <f t="shared" si="57"/>
        <v>85.416666666666671</v>
      </c>
      <c r="BK176" t="s">
        <v>51</v>
      </c>
    </row>
    <row r="177" spans="1:73" x14ac:dyDescent="0.25">
      <c r="A177" t="s">
        <v>57</v>
      </c>
      <c r="B177" s="111" t="s">
        <v>1082</v>
      </c>
      <c r="C177" t="s">
        <v>207</v>
      </c>
      <c r="D177" t="s">
        <v>208</v>
      </c>
      <c r="E177">
        <v>1403</v>
      </c>
      <c r="H177" s="100">
        <v>42937</v>
      </c>
      <c r="I177" t="s">
        <v>658</v>
      </c>
      <c r="K177" s="33" t="s">
        <v>61</v>
      </c>
      <c r="L177" s="10" t="s">
        <v>50</v>
      </c>
      <c r="M177">
        <v>690</v>
      </c>
      <c r="N177">
        <v>95</v>
      </c>
      <c r="O177" s="9">
        <f t="shared" si="50"/>
        <v>595</v>
      </c>
      <c r="P177" s="35">
        <v>230</v>
      </c>
      <c r="Q177" s="35">
        <v>231</v>
      </c>
      <c r="R177" s="35">
        <v>231</v>
      </c>
      <c r="S177" s="24">
        <f t="shared" si="51"/>
        <v>230.66666666666666</v>
      </c>
      <c r="T177" s="35">
        <v>147</v>
      </c>
      <c r="U177" s="35">
        <v>146</v>
      </c>
      <c r="V177" s="35">
        <v>146</v>
      </c>
      <c r="W177" s="24">
        <f t="shared" si="52"/>
        <v>146.33333333333334</v>
      </c>
      <c r="X177" s="36">
        <v>8.42</v>
      </c>
      <c r="Y177" s="35">
        <v>8.8800000000000008</v>
      </c>
      <c r="Z177" s="35">
        <v>8.61</v>
      </c>
      <c r="AA177" s="24">
        <f t="shared" si="53"/>
        <v>8.6366666666666667</v>
      </c>
      <c r="AB177" s="37">
        <v>43.92</v>
      </c>
      <c r="AC177" s="37">
        <v>44.06</v>
      </c>
      <c r="AD177" s="37">
        <v>43.87</v>
      </c>
      <c r="AF177" s="37">
        <v>75.349999999999994</v>
      </c>
      <c r="AG177" s="37">
        <v>75.63</v>
      </c>
      <c r="AH177" s="37">
        <v>75.599999999999994</v>
      </c>
      <c r="AI177" s="24">
        <f t="shared" si="54"/>
        <v>75.526666666666657</v>
      </c>
      <c r="AJ177" s="37">
        <v>28.73</v>
      </c>
      <c r="AK177" s="37">
        <v>27.85</v>
      </c>
      <c r="AL177" s="37">
        <v>27.22</v>
      </c>
      <c r="AM177" s="24">
        <f>AVERAGE(AJ177:AL177)</f>
        <v>27.933333333333334</v>
      </c>
      <c r="AN177" s="37">
        <v>20.37</v>
      </c>
      <c r="AO177" s="37">
        <v>20.2</v>
      </c>
      <c r="AP177" s="37">
        <v>20.65</v>
      </c>
      <c r="AQ177" s="24">
        <f>AVERAGE(AN177:AP177)</f>
        <v>20.406666666666666</v>
      </c>
      <c r="AX177" s="35">
        <v>49.12</v>
      </c>
      <c r="AY177" s="35">
        <v>49.84</v>
      </c>
      <c r="AZ177" s="35">
        <v>49.86</v>
      </c>
      <c r="BA177" s="24">
        <f t="shared" si="55"/>
        <v>49.606666666666662</v>
      </c>
      <c r="BB177" s="35">
        <v>32.17</v>
      </c>
      <c r="BC177" s="35">
        <v>32.61</v>
      </c>
      <c r="BD177" s="35">
        <v>32.869999999999997</v>
      </c>
      <c r="BE177" s="24">
        <f t="shared" si="56"/>
        <v>32.550000000000004</v>
      </c>
      <c r="BF177">
        <v>78.62</v>
      </c>
      <c r="BG177" s="35">
        <v>78.040000000000006</v>
      </c>
      <c r="BH177" s="35">
        <v>77.739999999999995</v>
      </c>
      <c r="BI177" s="24">
        <f t="shared" si="57"/>
        <v>78.13333333333334</v>
      </c>
      <c r="BK177" t="s">
        <v>51</v>
      </c>
    </row>
    <row r="178" spans="1:73" x14ac:dyDescent="0.25">
      <c r="A178" t="s">
        <v>57</v>
      </c>
      <c r="B178" s="111" t="s">
        <v>396</v>
      </c>
      <c r="C178" t="s">
        <v>207</v>
      </c>
      <c r="D178" t="s">
        <v>208</v>
      </c>
      <c r="E178">
        <v>1365</v>
      </c>
      <c r="H178" s="100">
        <v>42937</v>
      </c>
      <c r="I178" t="s">
        <v>623</v>
      </c>
      <c r="K178" s="33">
        <v>1</v>
      </c>
      <c r="L178" s="10" t="s">
        <v>64</v>
      </c>
      <c r="M178">
        <v>585</v>
      </c>
      <c r="N178">
        <v>95</v>
      </c>
      <c r="O178" s="9">
        <f t="shared" si="50"/>
        <v>490</v>
      </c>
      <c r="P178" s="35">
        <v>210</v>
      </c>
      <c r="Q178" s="35">
        <v>212</v>
      </c>
      <c r="R178" s="35">
        <v>211</v>
      </c>
      <c r="S178" s="24">
        <f t="shared" si="51"/>
        <v>211</v>
      </c>
      <c r="T178" s="35">
        <v>130</v>
      </c>
      <c r="U178" s="35">
        <v>129</v>
      </c>
      <c r="V178" s="35">
        <v>129</v>
      </c>
      <c r="W178" s="24">
        <f t="shared" si="52"/>
        <v>129.33333333333334</v>
      </c>
      <c r="X178" s="36">
        <v>7.28</v>
      </c>
      <c r="Y178" s="35">
        <v>7.54</v>
      </c>
      <c r="Z178" s="35">
        <v>7.34</v>
      </c>
      <c r="AA178" s="24">
        <f t="shared" si="53"/>
        <v>7.3866666666666667</v>
      </c>
      <c r="AB178" s="37">
        <v>39.466999999999999</v>
      </c>
      <c r="AC178" s="37">
        <v>39.409999999999997</v>
      </c>
      <c r="AD178" s="37">
        <v>39.42</v>
      </c>
      <c r="AF178" s="37">
        <v>70.2</v>
      </c>
      <c r="AG178" s="37">
        <v>70.39</v>
      </c>
      <c r="AH178" s="37">
        <v>70.16</v>
      </c>
      <c r="AI178" s="24">
        <f t="shared" si="54"/>
        <v>70.25</v>
      </c>
      <c r="AS178" t="s">
        <v>65</v>
      </c>
      <c r="AT178">
        <v>8</v>
      </c>
      <c r="AU178">
        <v>0</v>
      </c>
      <c r="AV178">
        <v>0</v>
      </c>
      <c r="AX178" s="35">
        <v>44.72</v>
      </c>
      <c r="AY178" s="35">
        <v>45.01</v>
      </c>
      <c r="AZ178" s="35">
        <v>44.32</v>
      </c>
      <c r="BA178" s="24">
        <f t="shared" si="55"/>
        <v>44.68333333333333</v>
      </c>
      <c r="BB178" s="35">
        <v>30.56</v>
      </c>
      <c r="BC178" s="35">
        <v>31.19</v>
      </c>
      <c r="BD178" s="35">
        <v>31.1</v>
      </c>
      <c r="BE178" s="24">
        <f t="shared" si="56"/>
        <v>30.95</v>
      </c>
      <c r="BF178" s="35">
        <v>79</v>
      </c>
      <c r="BG178" s="35">
        <v>79.44</v>
      </c>
      <c r="BH178" s="35">
        <v>79.569999999999993</v>
      </c>
      <c r="BI178" s="24">
        <f t="shared" si="57"/>
        <v>79.336666666666659</v>
      </c>
      <c r="BK178" t="s">
        <v>51</v>
      </c>
    </row>
    <row r="179" spans="1:73" x14ac:dyDescent="0.25">
      <c r="A179" t="s">
        <v>57</v>
      </c>
      <c r="B179" s="111" t="s">
        <v>1091</v>
      </c>
      <c r="C179" t="s">
        <v>49</v>
      </c>
      <c r="D179" t="s">
        <v>208</v>
      </c>
      <c r="E179">
        <v>1369</v>
      </c>
      <c r="H179" s="100">
        <v>42937</v>
      </c>
      <c r="I179" t="s">
        <v>90</v>
      </c>
      <c r="K179" s="33">
        <v>1</v>
      </c>
      <c r="L179" s="10" t="s">
        <v>50</v>
      </c>
      <c r="M179">
        <v>777</v>
      </c>
      <c r="N179">
        <v>94</v>
      </c>
      <c r="O179" s="9">
        <f t="shared" si="50"/>
        <v>683</v>
      </c>
      <c r="P179" s="35">
        <v>245</v>
      </c>
      <c r="Q179" s="35">
        <v>244</v>
      </c>
      <c r="R179" s="35">
        <v>244</v>
      </c>
      <c r="S179" s="24">
        <f t="shared" si="51"/>
        <v>244.33333333333334</v>
      </c>
      <c r="T179" s="35">
        <v>146</v>
      </c>
      <c r="U179" s="35">
        <v>145</v>
      </c>
      <c r="V179" s="35">
        <v>145</v>
      </c>
      <c r="W179" s="24">
        <f t="shared" si="52"/>
        <v>145.33333333333334</v>
      </c>
      <c r="X179" s="36">
        <v>9.18</v>
      </c>
      <c r="Y179" s="35">
        <v>9.35</v>
      </c>
      <c r="Z179" s="35">
        <v>9.44</v>
      </c>
      <c r="AA179" s="24">
        <f t="shared" si="53"/>
        <v>9.3233333333333324</v>
      </c>
      <c r="AB179">
        <v>44.32</v>
      </c>
      <c r="AC179" s="37">
        <v>44.02</v>
      </c>
      <c r="AD179" s="37">
        <v>44.01</v>
      </c>
      <c r="AF179" s="37">
        <v>80.03</v>
      </c>
      <c r="AG179" s="37">
        <v>79.95</v>
      </c>
      <c r="AH179" s="37">
        <v>79.55</v>
      </c>
      <c r="AI179" s="24">
        <f t="shared" si="54"/>
        <v>79.843333333333348</v>
      </c>
      <c r="AJ179" s="37">
        <v>26.41</v>
      </c>
      <c r="AK179" s="37">
        <v>25.74</v>
      </c>
      <c r="AL179" s="37">
        <v>25.72</v>
      </c>
      <c r="AM179" s="24">
        <f>AVERAGE(AJ179:AL179)</f>
        <v>25.956666666666667</v>
      </c>
      <c r="AN179" s="37">
        <v>17.18</v>
      </c>
      <c r="AO179" s="37">
        <v>17.57</v>
      </c>
      <c r="AP179" s="37">
        <v>17.309999999999999</v>
      </c>
      <c r="AQ179" s="24">
        <f>AVERAGE(AN179:AP179)</f>
        <v>17.353333333333335</v>
      </c>
      <c r="AX179" s="35">
        <v>49.07</v>
      </c>
      <c r="AY179" s="35">
        <v>49.01</v>
      </c>
      <c r="AZ179" s="35">
        <v>48.77</v>
      </c>
      <c r="BA179" s="24">
        <f t="shared" si="55"/>
        <v>48.949999999999996</v>
      </c>
      <c r="BB179" s="35">
        <v>32.799999999999997</v>
      </c>
      <c r="BC179" s="35">
        <v>32.85</v>
      </c>
      <c r="BD179" s="35">
        <v>32.54</v>
      </c>
      <c r="BE179" s="24">
        <f t="shared" si="56"/>
        <v>32.729999999999997</v>
      </c>
      <c r="BF179" s="35">
        <v>82.32</v>
      </c>
      <c r="BG179" s="35">
        <v>82.86</v>
      </c>
      <c r="BH179" s="35">
        <v>82.88</v>
      </c>
      <c r="BI179" s="24">
        <f t="shared" si="57"/>
        <v>82.686666666666667</v>
      </c>
      <c r="BJ179" t="s">
        <v>51</v>
      </c>
      <c r="BK179" t="s">
        <v>51</v>
      </c>
    </row>
    <row r="180" spans="1:73" x14ac:dyDescent="0.25">
      <c r="A180" t="s">
        <v>57</v>
      </c>
      <c r="B180" s="111" t="s">
        <v>1092</v>
      </c>
      <c r="C180" t="s">
        <v>49</v>
      </c>
      <c r="D180" t="s">
        <v>208</v>
      </c>
      <c r="E180">
        <v>1370</v>
      </c>
      <c r="H180" s="100">
        <v>42937</v>
      </c>
      <c r="I180" t="s">
        <v>609</v>
      </c>
      <c r="K180" s="33">
        <v>1</v>
      </c>
      <c r="L180" s="10" t="s">
        <v>64</v>
      </c>
      <c r="M180">
        <v>502</v>
      </c>
      <c r="N180">
        <v>93</v>
      </c>
      <c r="O180" s="9">
        <f t="shared" si="50"/>
        <v>409</v>
      </c>
      <c r="P180" s="35">
        <v>201</v>
      </c>
      <c r="Q180" s="35">
        <v>200</v>
      </c>
      <c r="R180" s="35">
        <v>201</v>
      </c>
      <c r="S180" s="24">
        <f t="shared" si="51"/>
        <v>200.66666666666666</v>
      </c>
      <c r="T180" s="35">
        <v>114</v>
      </c>
      <c r="U180" s="35">
        <v>115</v>
      </c>
      <c r="V180" s="35">
        <v>115</v>
      </c>
      <c r="W180" s="24">
        <f t="shared" si="52"/>
        <v>114.66666666666667</v>
      </c>
      <c r="X180" s="36">
        <v>6.98</v>
      </c>
      <c r="Y180" s="35">
        <v>7.13</v>
      </c>
      <c r="Z180" s="35">
        <v>7.25</v>
      </c>
      <c r="AA180" s="24">
        <f t="shared" si="53"/>
        <v>7.12</v>
      </c>
      <c r="AB180" s="37">
        <v>37.96</v>
      </c>
      <c r="AC180">
        <v>37.840000000000003</v>
      </c>
      <c r="AD180" s="37">
        <v>37.86</v>
      </c>
      <c r="AF180" s="37">
        <v>63.65</v>
      </c>
      <c r="AG180">
        <v>63.96</v>
      </c>
      <c r="AH180" s="37">
        <v>63.87</v>
      </c>
      <c r="AI180" s="24">
        <f t="shared" si="54"/>
        <v>63.826666666666661</v>
      </c>
      <c r="AS180" t="s">
        <v>65</v>
      </c>
      <c r="AT180">
        <v>8</v>
      </c>
      <c r="AU180">
        <v>0</v>
      </c>
      <c r="AV180">
        <v>0</v>
      </c>
      <c r="AX180" s="35">
        <v>39.15</v>
      </c>
      <c r="AY180" s="35">
        <v>40.19</v>
      </c>
      <c r="AZ180" s="35">
        <v>39.22</v>
      </c>
      <c r="BA180" s="24">
        <f t="shared" si="55"/>
        <v>39.520000000000003</v>
      </c>
      <c r="BB180" s="35">
        <v>27.23</v>
      </c>
      <c r="BC180" s="35">
        <v>27.32</v>
      </c>
      <c r="BD180" s="35">
        <v>27.41</v>
      </c>
      <c r="BE180" s="24">
        <f t="shared" si="56"/>
        <v>27.319999999999997</v>
      </c>
      <c r="BF180" s="35">
        <v>70.02</v>
      </c>
      <c r="BG180" s="35">
        <v>70.400000000000006</v>
      </c>
      <c r="BH180" s="35">
        <v>70.489999999999995</v>
      </c>
      <c r="BI180" s="24">
        <f t="shared" si="57"/>
        <v>70.303333333333342</v>
      </c>
      <c r="BJ180" t="s">
        <v>51</v>
      </c>
      <c r="BK180" t="s">
        <v>51</v>
      </c>
    </row>
    <row r="181" spans="1:73" x14ac:dyDescent="0.25">
      <c r="A181" t="s">
        <v>57</v>
      </c>
      <c r="B181" s="111" t="s">
        <v>1070</v>
      </c>
      <c r="C181" t="s">
        <v>207</v>
      </c>
      <c r="D181" t="s">
        <v>208</v>
      </c>
      <c r="E181">
        <v>1058</v>
      </c>
      <c r="H181" s="100">
        <v>42937</v>
      </c>
      <c r="I181" t="s">
        <v>101</v>
      </c>
      <c r="K181" s="33">
        <v>2</v>
      </c>
      <c r="L181" s="10" t="s">
        <v>50</v>
      </c>
      <c r="M181">
        <v>1530</v>
      </c>
      <c r="N181">
        <v>95</v>
      </c>
      <c r="O181" s="9">
        <f t="shared" si="50"/>
        <v>1435</v>
      </c>
      <c r="P181" s="35">
        <v>319</v>
      </c>
      <c r="Q181" s="35">
        <v>320</v>
      </c>
      <c r="R181" s="35">
        <v>320</v>
      </c>
      <c r="S181" s="24">
        <f t="shared" si="51"/>
        <v>319.66666666666669</v>
      </c>
      <c r="T181" s="35">
        <v>157</v>
      </c>
      <c r="U181" s="35">
        <v>158</v>
      </c>
      <c r="V181" s="35">
        <v>157</v>
      </c>
      <c r="W181" s="24">
        <f t="shared" si="52"/>
        <v>157.33333333333334</v>
      </c>
      <c r="X181" s="36">
        <v>12.56</v>
      </c>
      <c r="Y181" s="35">
        <v>12.57</v>
      </c>
      <c r="Z181" s="35">
        <v>13.09</v>
      </c>
      <c r="AA181" s="24">
        <f t="shared" si="53"/>
        <v>12.74</v>
      </c>
      <c r="AB181" s="37">
        <v>50.48</v>
      </c>
      <c r="AC181" s="37">
        <v>50.68</v>
      </c>
      <c r="AD181" s="37">
        <v>50.7</v>
      </c>
      <c r="AF181" s="37">
        <v>94.28</v>
      </c>
      <c r="AG181" s="37">
        <v>94.98</v>
      </c>
      <c r="AH181" s="37">
        <v>94.56</v>
      </c>
      <c r="AI181" s="24">
        <f t="shared" si="54"/>
        <v>94.606666666666669</v>
      </c>
      <c r="AJ181" s="37">
        <v>33.21</v>
      </c>
      <c r="AK181" s="37">
        <v>32.9</v>
      </c>
      <c r="AL181" s="37">
        <v>33.35</v>
      </c>
      <c r="AM181" s="24">
        <f>AVERAGE(AJ181:AL181)</f>
        <v>33.153333333333336</v>
      </c>
      <c r="AN181" s="37">
        <v>21.29</v>
      </c>
      <c r="AO181" s="37">
        <v>21.54</v>
      </c>
      <c r="AP181" s="37">
        <v>21.71</v>
      </c>
      <c r="AQ181" s="24">
        <f>AVERAGE(AN181:AP181)</f>
        <v>21.513333333333332</v>
      </c>
      <c r="AX181" s="35">
        <v>60.9</v>
      </c>
      <c r="AY181" s="35">
        <v>61.22</v>
      </c>
      <c r="AZ181" s="35">
        <v>61.03</v>
      </c>
      <c r="BA181" s="24">
        <f t="shared" si="55"/>
        <v>61.050000000000004</v>
      </c>
      <c r="BB181" s="35">
        <v>37.06</v>
      </c>
      <c r="BC181" s="35">
        <v>37.22</v>
      </c>
      <c r="BD181" s="35">
        <v>37.33</v>
      </c>
      <c r="BE181" s="24">
        <f t="shared" si="56"/>
        <v>37.203333333333333</v>
      </c>
      <c r="BF181" s="35">
        <v>90.56</v>
      </c>
      <c r="BG181" s="35">
        <v>90.01</v>
      </c>
      <c r="BH181" s="35">
        <v>89.81</v>
      </c>
      <c r="BI181" s="24">
        <f t="shared" si="57"/>
        <v>90.126666666666665</v>
      </c>
      <c r="BK181" t="s">
        <v>51</v>
      </c>
    </row>
    <row r="182" spans="1:73" x14ac:dyDescent="0.25">
      <c r="A182" t="s">
        <v>57</v>
      </c>
      <c r="B182" s="111" t="s">
        <v>1085</v>
      </c>
      <c r="C182" t="s">
        <v>207</v>
      </c>
      <c r="D182" t="s">
        <v>208</v>
      </c>
      <c r="E182">
        <v>1371</v>
      </c>
      <c r="H182" s="100">
        <v>42937</v>
      </c>
      <c r="I182" t="s">
        <v>92</v>
      </c>
      <c r="K182" s="33">
        <v>1</v>
      </c>
      <c r="L182" s="10" t="s">
        <v>64</v>
      </c>
      <c r="M182">
        <v>607</v>
      </c>
      <c r="N182">
        <v>94</v>
      </c>
      <c r="O182" s="9">
        <f t="shared" si="50"/>
        <v>513</v>
      </c>
      <c r="P182" s="35">
        <v>226</v>
      </c>
      <c r="Q182" s="35">
        <v>227</v>
      </c>
      <c r="R182" s="35">
        <v>226</v>
      </c>
      <c r="S182" s="24">
        <f t="shared" si="51"/>
        <v>226.33333333333334</v>
      </c>
      <c r="T182" s="35">
        <v>133</v>
      </c>
      <c r="U182" s="35">
        <v>133</v>
      </c>
      <c r="V182" s="35">
        <v>132</v>
      </c>
      <c r="W182" s="24">
        <f t="shared" si="52"/>
        <v>132.66666666666666</v>
      </c>
      <c r="X182" s="36">
        <v>7.77</v>
      </c>
      <c r="Y182" s="35">
        <v>7.69</v>
      </c>
      <c r="Z182" s="35">
        <v>7.64</v>
      </c>
      <c r="AA182" s="24">
        <f t="shared" si="53"/>
        <v>7.7</v>
      </c>
      <c r="AB182" s="37">
        <v>42.26</v>
      </c>
      <c r="AC182" s="37">
        <v>42.19</v>
      </c>
      <c r="AD182" s="37">
        <v>42.35</v>
      </c>
      <c r="AF182" s="37">
        <v>73.7</v>
      </c>
      <c r="AG182" s="37">
        <v>73.650000000000006</v>
      </c>
      <c r="AH182" s="37">
        <v>74.09</v>
      </c>
      <c r="AI182" s="24">
        <f t="shared" si="54"/>
        <v>73.813333333333347</v>
      </c>
      <c r="AS182" t="s">
        <v>65</v>
      </c>
      <c r="AT182">
        <v>8</v>
      </c>
      <c r="AU182">
        <v>0</v>
      </c>
      <c r="AV182">
        <v>0</v>
      </c>
      <c r="AX182" s="35">
        <v>45.17</v>
      </c>
      <c r="AY182" s="35">
        <v>45.03</v>
      </c>
      <c r="AZ182" s="35">
        <v>45.09</v>
      </c>
      <c r="BA182" s="24">
        <f t="shared" si="55"/>
        <v>45.096666666666671</v>
      </c>
      <c r="BB182" s="35">
        <v>29.43</v>
      </c>
      <c r="BC182" s="35">
        <v>29.24</v>
      </c>
      <c r="BD182" s="35">
        <v>29.18</v>
      </c>
      <c r="BE182" s="24">
        <f t="shared" si="56"/>
        <v>29.283333333333331</v>
      </c>
      <c r="BF182" s="35">
        <v>77.180000000000007</v>
      </c>
      <c r="BG182" s="35">
        <v>76.78</v>
      </c>
      <c r="BH182" s="35">
        <v>76.37</v>
      </c>
      <c r="BI182" s="24">
        <f t="shared" si="57"/>
        <v>76.776666666666671</v>
      </c>
      <c r="BK182" t="s">
        <v>51</v>
      </c>
      <c r="BU182" t="s">
        <v>966</v>
      </c>
    </row>
    <row r="183" spans="1:73" x14ac:dyDescent="0.25">
      <c r="A183" t="s">
        <v>57</v>
      </c>
      <c r="B183" s="111" t="s">
        <v>1038</v>
      </c>
      <c r="C183" t="s">
        <v>207</v>
      </c>
      <c r="D183" t="s">
        <v>208</v>
      </c>
      <c r="E183">
        <v>1057</v>
      </c>
      <c r="H183" s="100">
        <v>42937</v>
      </c>
      <c r="I183" t="s">
        <v>215</v>
      </c>
      <c r="K183" s="33" t="s">
        <v>66</v>
      </c>
      <c r="L183" s="10" t="s">
        <v>64</v>
      </c>
      <c r="M183">
        <v>766</v>
      </c>
      <c r="N183">
        <v>95</v>
      </c>
      <c r="O183" s="9">
        <f t="shared" si="50"/>
        <v>671</v>
      </c>
      <c r="P183" s="35">
        <v>241</v>
      </c>
      <c r="Q183" s="35">
        <v>241</v>
      </c>
      <c r="R183" s="35">
        <v>240</v>
      </c>
      <c r="S183" s="24">
        <f t="shared" si="51"/>
        <v>240.66666666666666</v>
      </c>
      <c r="T183" s="35">
        <v>150</v>
      </c>
      <c r="U183" s="35">
        <v>149</v>
      </c>
      <c r="V183" s="35">
        <v>150</v>
      </c>
      <c r="W183" s="24">
        <f t="shared" si="52"/>
        <v>149.66666666666666</v>
      </c>
      <c r="X183" s="36">
        <v>8.39</v>
      </c>
      <c r="Y183" s="35">
        <v>8.77</v>
      </c>
      <c r="Z183" s="35">
        <v>8.6999999999999993</v>
      </c>
      <c r="AA183" s="24">
        <f t="shared" si="53"/>
        <v>8.6199999999999992</v>
      </c>
      <c r="AB183" s="37">
        <v>41.55</v>
      </c>
      <c r="AC183" s="37">
        <v>41.78</v>
      </c>
      <c r="AD183" s="37">
        <v>41.41</v>
      </c>
      <c r="AF183" s="37">
        <v>81.63</v>
      </c>
      <c r="AG183" s="37">
        <v>81.34</v>
      </c>
      <c r="AH183" s="37">
        <v>81.7</v>
      </c>
      <c r="AI183" s="24">
        <f t="shared" si="54"/>
        <v>81.556666666666672</v>
      </c>
      <c r="AS183" t="s">
        <v>65</v>
      </c>
      <c r="AT183">
        <v>8</v>
      </c>
      <c r="AU183">
        <v>1</v>
      </c>
      <c r="AV183">
        <v>0</v>
      </c>
      <c r="AX183" s="35">
        <v>52.22</v>
      </c>
      <c r="AY183" s="35">
        <v>52.18</v>
      </c>
      <c r="AZ183" s="35">
        <v>52.14</v>
      </c>
      <c r="BA183" s="24">
        <f t="shared" si="55"/>
        <v>52.180000000000007</v>
      </c>
      <c r="BB183" s="35">
        <v>32.53</v>
      </c>
      <c r="BC183" s="35">
        <v>32.82</v>
      </c>
      <c r="BD183" s="35">
        <v>33.090000000000003</v>
      </c>
      <c r="BE183" s="24">
        <f t="shared" si="56"/>
        <v>32.813333333333333</v>
      </c>
      <c r="BF183" s="35">
        <v>81.96</v>
      </c>
      <c r="BG183" s="35">
        <v>81.16</v>
      </c>
      <c r="BH183" s="35">
        <v>81.540000000000006</v>
      </c>
      <c r="BI183" s="24">
        <f t="shared" si="57"/>
        <v>81.553333333333342</v>
      </c>
      <c r="BK183" t="s">
        <v>51</v>
      </c>
    </row>
    <row r="184" spans="1:73" x14ac:dyDescent="0.25">
      <c r="A184" t="s">
        <v>57</v>
      </c>
      <c r="B184" s="111" t="s">
        <v>1093</v>
      </c>
      <c r="C184" t="s">
        <v>49</v>
      </c>
      <c r="D184" t="s">
        <v>208</v>
      </c>
      <c r="E184">
        <v>1372</v>
      </c>
      <c r="H184" s="100">
        <v>42937</v>
      </c>
      <c r="I184" t="s">
        <v>88</v>
      </c>
      <c r="K184" s="33" t="s">
        <v>61</v>
      </c>
      <c r="L184" s="10" t="s">
        <v>64</v>
      </c>
      <c r="M184">
        <v>658</v>
      </c>
      <c r="N184">
        <v>95</v>
      </c>
      <c r="O184" s="9">
        <f t="shared" si="50"/>
        <v>563</v>
      </c>
      <c r="P184" s="35">
        <v>216</v>
      </c>
      <c r="Q184" s="35">
        <v>216</v>
      </c>
      <c r="R184" s="35">
        <v>217</v>
      </c>
      <c r="S184" s="24">
        <f t="shared" si="51"/>
        <v>216.33333333333334</v>
      </c>
      <c r="T184" s="35">
        <v>126</v>
      </c>
      <c r="U184" s="35">
        <v>125</v>
      </c>
      <c r="V184" s="35">
        <v>126</v>
      </c>
      <c r="W184" s="24">
        <f t="shared" si="52"/>
        <v>125.66666666666667</v>
      </c>
      <c r="X184" s="36">
        <v>8.3699999999999992</v>
      </c>
      <c r="Y184" s="35">
        <v>8.3800000000000008</v>
      </c>
      <c r="Z184" s="35">
        <v>8.39</v>
      </c>
      <c r="AA184" s="24">
        <f t="shared" si="53"/>
        <v>8.3800000000000008</v>
      </c>
      <c r="AB184" s="37">
        <v>41.76</v>
      </c>
      <c r="AC184" s="37">
        <v>41.84</v>
      </c>
      <c r="AD184" s="37">
        <v>41.85</v>
      </c>
      <c r="AF184" s="37">
        <v>75.87</v>
      </c>
      <c r="AG184" s="37">
        <v>75.55</v>
      </c>
      <c r="AH184" s="37">
        <v>75.400000000000006</v>
      </c>
      <c r="AI184" s="24">
        <f t="shared" si="54"/>
        <v>75.606666666666669</v>
      </c>
      <c r="AS184" t="s">
        <v>65</v>
      </c>
      <c r="AT184">
        <v>8</v>
      </c>
      <c r="AU184">
        <v>0</v>
      </c>
      <c r="AV184">
        <v>0</v>
      </c>
      <c r="AX184" s="35">
        <v>48.79</v>
      </c>
      <c r="AY184" s="35">
        <v>49.25</v>
      </c>
      <c r="AZ184" s="35">
        <v>49.26</v>
      </c>
      <c r="BA184" s="24">
        <f t="shared" si="55"/>
        <v>49.099999999999994</v>
      </c>
      <c r="BB184" s="35">
        <v>31.84</v>
      </c>
      <c r="BC184" s="35">
        <v>31.89</v>
      </c>
      <c r="BD184" s="35">
        <v>32.18</v>
      </c>
      <c r="BE184" s="24">
        <f t="shared" si="56"/>
        <v>31.97</v>
      </c>
      <c r="BF184" s="35">
        <v>77.569999999999993</v>
      </c>
      <c r="BG184" s="35">
        <v>77.760000000000005</v>
      </c>
      <c r="BH184" s="35">
        <v>77.88</v>
      </c>
      <c r="BI184" s="24">
        <f t="shared" si="57"/>
        <v>77.736666666666665</v>
      </c>
      <c r="BJ184" t="s">
        <v>51</v>
      </c>
      <c r="BK184" t="s">
        <v>51</v>
      </c>
    </row>
    <row r="185" spans="1:73" x14ac:dyDescent="0.25">
      <c r="A185" t="s">
        <v>57</v>
      </c>
      <c r="B185" s="111" t="s">
        <v>1035</v>
      </c>
      <c r="C185" t="s">
        <v>207</v>
      </c>
      <c r="D185" t="s">
        <v>208</v>
      </c>
      <c r="E185">
        <v>1352</v>
      </c>
      <c r="H185" s="100">
        <v>42937</v>
      </c>
      <c r="I185" t="s">
        <v>214</v>
      </c>
      <c r="K185" s="33">
        <v>4</v>
      </c>
      <c r="L185" s="10" t="s">
        <v>50</v>
      </c>
      <c r="M185">
        <v>1966</v>
      </c>
      <c r="N185">
        <v>98</v>
      </c>
      <c r="O185" s="9">
        <f t="shared" si="50"/>
        <v>1868</v>
      </c>
      <c r="P185" s="35">
        <v>355</v>
      </c>
      <c r="Q185" s="35">
        <v>356</v>
      </c>
      <c r="R185" s="35">
        <v>355</v>
      </c>
      <c r="S185" s="24">
        <f t="shared" si="51"/>
        <v>355.33333333333331</v>
      </c>
      <c r="T185" s="35">
        <v>126</v>
      </c>
      <c r="U185" s="35">
        <v>125</v>
      </c>
      <c r="V185" s="35">
        <v>126</v>
      </c>
      <c r="W185" s="24">
        <f t="shared" si="52"/>
        <v>125.66666666666667</v>
      </c>
      <c r="X185" s="36">
        <v>12.88</v>
      </c>
      <c r="Y185" s="35">
        <v>12.89</v>
      </c>
      <c r="Z185" s="35">
        <v>12.64</v>
      </c>
      <c r="AA185" s="24">
        <f t="shared" si="53"/>
        <v>12.803333333333335</v>
      </c>
      <c r="AB185" s="37">
        <v>51.06</v>
      </c>
      <c r="AC185" s="37">
        <v>51.14</v>
      </c>
      <c r="AD185" s="37">
        <v>51.18</v>
      </c>
      <c r="AF185" s="37">
        <v>103.99</v>
      </c>
      <c r="AG185" s="37">
        <v>104.61</v>
      </c>
      <c r="AH185" s="37">
        <v>104.54</v>
      </c>
      <c r="AI185" s="24">
        <f t="shared" si="54"/>
        <v>104.38</v>
      </c>
      <c r="AJ185" s="37">
        <v>32.85</v>
      </c>
      <c r="AK185" s="37">
        <v>33.1</v>
      </c>
      <c r="AL185" s="37">
        <v>33.119999999999997</v>
      </c>
      <c r="AM185" s="24">
        <f>AVERAGE(AJ185:AL185)</f>
        <v>33.023333333333333</v>
      </c>
      <c r="AN185" s="37">
        <v>23.61</v>
      </c>
      <c r="AO185" s="37">
        <v>24.14</v>
      </c>
      <c r="AP185" s="37">
        <v>24.33</v>
      </c>
      <c r="AQ185" s="217">
        <v>86.94</v>
      </c>
      <c r="AX185" s="35">
        <v>67.930000000000007</v>
      </c>
      <c r="AY185" s="35">
        <v>67.900000000000006</v>
      </c>
      <c r="AZ185" s="35">
        <v>67.14</v>
      </c>
      <c r="BA185" s="24">
        <f t="shared" si="55"/>
        <v>67.65666666666668</v>
      </c>
      <c r="BB185" s="35">
        <v>39.979999999999997</v>
      </c>
      <c r="BC185" s="35">
        <v>40.01</v>
      </c>
      <c r="BD185" s="35">
        <v>39.979999999999997</v>
      </c>
      <c r="BE185" s="24">
        <f t="shared" si="56"/>
        <v>39.99</v>
      </c>
      <c r="BF185" s="35">
        <v>94.19</v>
      </c>
      <c r="BG185" s="35">
        <v>94.19</v>
      </c>
      <c r="BH185" s="35">
        <v>94.61</v>
      </c>
      <c r="BI185" s="24">
        <f t="shared" si="57"/>
        <v>94.33</v>
      </c>
      <c r="BK185" t="s">
        <v>238</v>
      </c>
    </row>
    <row r="186" spans="1:73" x14ac:dyDescent="0.25">
      <c r="A186" t="s">
        <v>57</v>
      </c>
      <c r="B186" s="111" t="s">
        <v>1071</v>
      </c>
      <c r="C186" t="s">
        <v>207</v>
      </c>
      <c r="D186" t="s">
        <v>208</v>
      </c>
      <c r="E186">
        <v>1304</v>
      </c>
      <c r="H186" s="100">
        <v>42937</v>
      </c>
      <c r="I186" t="s">
        <v>94</v>
      </c>
      <c r="K186" s="33">
        <v>3</v>
      </c>
      <c r="L186" s="10" t="s">
        <v>64</v>
      </c>
      <c r="M186">
        <v>761</v>
      </c>
      <c r="N186">
        <v>94</v>
      </c>
      <c r="O186" s="9">
        <f t="shared" si="50"/>
        <v>667</v>
      </c>
      <c r="P186" s="35">
        <v>262</v>
      </c>
      <c r="Q186" s="35">
        <v>263</v>
      </c>
      <c r="R186" s="35">
        <v>263</v>
      </c>
      <c r="S186" s="24">
        <f t="shared" si="51"/>
        <v>262.66666666666669</v>
      </c>
      <c r="T186" s="35">
        <v>140</v>
      </c>
      <c r="U186" s="35">
        <v>141</v>
      </c>
      <c r="V186" s="35">
        <v>141</v>
      </c>
      <c r="W186" s="24">
        <f t="shared" si="52"/>
        <v>140.66666666666666</v>
      </c>
      <c r="X186" s="36">
        <v>8.0500000000000007</v>
      </c>
      <c r="Y186" s="35">
        <v>7.92</v>
      </c>
      <c r="Z186" s="35">
        <v>8.2799999999999994</v>
      </c>
      <c r="AA186" s="24">
        <f t="shared" si="53"/>
        <v>8.0833333333333339</v>
      </c>
      <c r="AB186" s="37">
        <v>42.25</v>
      </c>
      <c r="AC186" s="37">
        <v>42.07</v>
      </c>
      <c r="AD186" s="37">
        <v>42.13</v>
      </c>
      <c r="AF186" s="37">
        <v>68.650000000000006</v>
      </c>
      <c r="AG186" s="37">
        <v>68.5</v>
      </c>
      <c r="AH186" s="37">
        <v>68.459999999999994</v>
      </c>
      <c r="AI186" s="24">
        <f t="shared" si="54"/>
        <v>68.536666666666676</v>
      </c>
      <c r="AS186" t="s">
        <v>65</v>
      </c>
      <c r="AT186">
        <v>8</v>
      </c>
      <c r="AU186">
        <v>0</v>
      </c>
      <c r="AV186">
        <v>0</v>
      </c>
      <c r="AX186" s="35">
        <v>49.41</v>
      </c>
      <c r="AY186" s="35">
        <v>49.55</v>
      </c>
      <c r="AZ186" s="35">
        <v>49.15</v>
      </c>
      <c r="BA186" s="24">
        <f t="shared" si="55"/>
        <v>49.37</v>
      </c>
      <c r="BB186" s="35">
        <v>32.07</v>
      </c>
      <c r="BC186" s="35">
        <v>32.119999999999997</v>
      </c>
      <c r="BD186" s="35">
        <v>32.71</v>
      </c>
      <c r="BE186" s="24">
        <f t="shared" si="56"/>
        <v>32.300000000000004</v>
      </c>
      <c r="BF186" s="35">
        <v>83.15</v>
      </c>
      <c r="BG186" s="35">
        <v>83.15</v>
      </c>
      <c r="BH186" s="35">
        <v>83.68</v>
      </c>
      <c r="BI186" s="24">
        <f t="shared" si="57"/>
        <v>83.326666666666668</v>
      </c>
      <c r="BK186" t="s">
        <v>51</v>
      </c>
    </row>
    <row r="187" spans="1:73" x14ac:dyDescent="0.25">
      <c r="A187" t="s">
        <v>57</v>
      </c>
      <c r="B187" s="111" t="s">
        <v>1032</v>
      </c>
      <c r="C187" t="s">
        <v>207</v>
      </c>
      <c r="D187" t="s">
        <v>208</v>
      </c>
      <c r="E187">
        <v>1175</v>
      </c>
      <c r="H187" s="100">
        <v>42937</v>
      </c>
      <c r="I187" t="s">
        <v>219</v>
      </c>
      <c r="K187" s="33">
        <v>4</v>
      </c>
      <c r="L187" s="10" t="s">
        <v>64</v>
      </c>
      <c r="M187">
        <v>1054</v>
      </c>
      <c r="N187">
        <v>94</v>
      </c>
      <c r="O187" s="9">
        <f t="shared" si="50"/>
        <v>960</v>
      </c>
      <c r="P187" s="35">
        <v>256</v>
      </c>
      <c r="Q187" s="35">
        <v>255</v>
      </c>
      <c r="R187" s="35">
        <v>255</v>
      </c>
      <c r="S187" s="24">
        <f t="shared" si="51"/>
        <v>255.33333333333334</v>
      </c>
      <c r="T187" s="35">
        <v>154</v>
      </c>
      <c r="U187" s="35">
        <v>155</v>
      </c>
      <c r="V187" s="35">
        <v>154</v>
      </c>
      <c r="W187" s="24">
        <f t="shared" si="52"/>
        <v>154.33333333333334</v>
      </c>
      <c r="X187" s="36">
        <v>10.95</v>
      </c>
      <c r="Y187" s="35">
        <v>10.99</v>
      </c>
      <c r="Z187" s="35">
        <v>10.9</v>
      </c>
      <c r="AA187" s="24">
        <f t="shared" si="53"/>
        <v>10.946666666666665</v>
      </c>
      <c r="AB187">
        <v>47.58</v>
      </c>
      <c r="AC187" s="37">
        <v>47.53</v>
      </c>
      <c r="AD187" s="37">
        <v>47.92</v>
      </c>
      <c r="AF187" s="37">
        <v>91.49</v>
      </c>
      <c r="AG187" s="37">
        <v>91.25</v>
      </c>
      <c r="AH187" s="37">
        <v>90.93</v>
      </c>
      <c r="AI187" s="24">
        <f t="shared" si="54"/>
        <v>91.223333333333343</v>
      </c>
      <c r="AS187" t="s">
        <v>65</v>
      </c>
      <c r="AT187">
        <v>8</v>
      </c>
      <c r="AU187">
        <v>2</v>
      </c>
      <c r="AV187">
        <v>2</v>
      </c>
      <c r="AW187" s="9">
        <v>9.33</v>
      </c>
      <c r="AX187" s="35">
        <v>57</v>
      </c>
      <c r="AY187" s="35">
        <v>57.28</v>
      </c>
      <c r="AZ187" s="35">
        <v>56.42</v>
      </c>
      <c r="BA187" s="24">
        <f t="shared" si="55"/>
        <v>56.9</v>
      </c>
      <c r="BB187" s="35">
        <v>32.17</v>
      </c>
      <c r="BC187">
        <v>32.49</v>
      </c>
      <c r="BD187" s="35">
        <v>32.479999999999997</v>
      </c>
      <c r="BE187" s="24">
        <f t="shared" si="56"/>
        <v>32.379999999999995</v>
      </c>
      <c r="BF187" s="35">
        <v>81.540000000000006</v>
      </c>
      <c r="BG187" s="35">
        <v>81.5</v>
      </c>
      <c r="BH187" s="35">
        <v>81.91</v>
      </c>
      <c r="BI187" s="24">
        <f t="shared" si="57"/>
        <v>81.650000000000006</v>
      </c>
      <c r="BK187" t="s">
        <v>51</v>
      </c>
    </row>
    <row r="188" spans="1:73" x14ac:dyDescent="0.25">
      <c r="A188" t="s">
        <v>57</v>
      </c>
      <c r="B188" s="111" t="s">
        <v>1067</v>
      </c>
      <c r="C188" t="s">
        <v>207</v>
      </c>
      <c r="D188" t="s">
        <v>208</v>
      </c>
      <c r="E188">
        <v>1098</v>
      </c>
      <c r="H188" s="100">
        <v>42938</v>
      </c>
      <c r="I188" t="s">
        <v>220</v>
      </c>
      <c r="K188" s="33">
        <v>3</v>
      </c>
      <c r="L188" s="10" t="s">
        <v>64</v>
      </c>
      <c r="M188">
        <v>771</v>
      </c>
      <c r="N188">
        <v>93</v>
      </c>
      <c r="O188" s="9">
        <f t="shared" si="50"/>
        <v>678</v>
      </c>
      <c r="P188" s="35">
        <v>240</v>
      </c>
      <c r="Q188" s="35">
        <v>240</v>
      </c>
      <c r="R188" s="35">
        <v>241</v>
      </c>
      <c r="S188" s="24">
        <f t="shared" si="51"/>
        <v>240.33333333333334</v>
      </c>
      <c r="T188" s="35">
        <v>157</v>
      </c>
      <c r="U188" s="35">
        <v>156</v>
      </c>
      <c r="V188" s="35">
        <v>156</v>
      </c>
      <c r="W188" s="24">
        <f t="shared" si="52"/>
        <v>156.33333333333334</v>
      </c>
      <c r="X188" s="36">
        <v>9.9499999999999993</v>
      </c>
      <c r="Y188" s="35">
        <v>10.32</v>
      </c>
      <c r="Z188" s="35">
        <v>10.3</v>
      </c>
      <c r="AA188" s="24">
        <f t="shared" si="53"/>
        <v>10.19</v>
      </c>
      <c r="AB188" s="37">
        <v>44.57</v>
      </c>
      <c r="AC188" s="37">
        <v>44.66</v>
      </c>
      <c r="AD188" s="37">
        <v>44.3</v>
      </c>
      <c r="AE188" s="24">
        <f t="shared" ref="AE188:AE203" si="58">AVERAGE(AB188:AD188)</f>
        <v>44.509999999999991</v>
      </c>
      <c r="AF188" s="37">
        <v>78.13</v>
      </c>
      <c r="AG188" s="37">
        <v>78.14</v>
      </c>
      <c r="AH188" s="37">
        <v>78.510000000000005</v>
      </c>
      <c r="AI188" s="24">
        <f t="shared" si="54"/>
        <v>78.259999999999991</v>
      </c>
      <c r="AS188" t="s">
        <v>65</v>
      </c>
      <c r="AT188">
        <v>8</v>
      </c>
      <c r="AU188">
        <v>0</v>
      </c>
      <c r="AV188">
        <v>0</v>
      </c>
      <c r="AX188" s="35">
        <v>49.33</v>
      </c>
      <c r="AY188" s="35">
        <v>49.78</v>
      </c>
      <c r="AZ188" s="35">
        <v>49.7</v>
      </c>
      <c r="BA188" s="24">
        <f t="shared" si="55"/>
        <v>49.603333333333332</v>
      </c>
      <c r="BB188" s="35">
        <v>31.92</v>
      </c>
      <c r="BC188" s="35">
        <v>32.159999999999997</v>
      </c>
      <c r="BD188" s="35">
        <v>31.67</v>
      </c>
      <c r="BE188" s="24">
        <f t="shared" si="56"/>
        <v>31.916666666666668</v>
      </c>
      <c r="BF188" s="35">
        <v>79.7</v>
      </c>
      <c r="BG188" s="35">
        <v>79.88</v>
      </c>
      <c r="BH188" s="35">
        <v>80.14</v>
      </c>
      <c r="BI188" s="24">
        <f t="shared" si="57"/>
        <v>79.906666666666652</v>
      </c>
      <c r="BK188" t="s">
        <v>51</v>
      </c>
    </row>
    <row r="189" spans="1:73" x14ac:dyDescent="0.25">
      <c r="A189" t="s">
        <v>57</v>
      </c>
      <c r="B189" s="111" t="s">
        <v>1083</v>
      </c>
      <c r="C189" t="s">
        <v>207</v>
      </c>
      <c r="D189" t="s">
        <v>208</v>
      </c>
      <c r="E189">
        <v>1353</v>
      </c>
      <c r="H189" s="100">
        <v>42938</v>
      </c>
      <c r="I189" t="s">
        <v>223</v>
      </c>
      <c r="K189" s="33">
        <v>1</v>
      </c>
      <c r="L189" s="10" t="s">
        <v>64</v>
      </c>
      <c r="M189">
        <v>668</v>
      </c>
      <c r="N189">
        <v>95</v>
      </c>
      <c r="O189" s="9">
        <f t="shared" si="50"/>
        <v>573</v>
      </c>
      <c r="P189" s="35">
        <v>223</v>
      </c>
      <c r="Q189" s="35">
        <v>223</v>
      </c>
      <c r="R189" s="35">
        <v>224</v>
      </c>
      <c r="S189" s="24">
        <f t="shared" si="51"/>
        <v>223.33333333333334</v>
      </c>
      <c r="T189" s="35">
        <v>143</v>
      </c>
      <c r="U189" s="35">
        <v>143</v>
      </c>
      <c r="V189" s="35">
        <v>142</v>
      </c>
      <c r="W189" s="24">
        <f t="shared" si="52"/>
        <v>142.66666666666666</v>
      </c>
      <c r="X189" s="36">
        <v>7.99</v>
      </c>
      <c r="Y189" s="35">
        <v>7.85</v>
      </c>
      <c r="Z189" s="35">
        <v>8.36</v>
      </c>
      <c r="AA189" s="24">
        <f t="shared" si="53"/>
        <v>8.0666666666666664</v>
      </c>
      <c r="AB189" s="37">
        <v>41.17</v>
      </c>
      <c r="AC189" s="37">
        <v>41.22</v>
      </c>
      <c r="AD189" s="37">
        <v>41.25</v>
      </c>
      <c r="AE189" s="24">
        <f t="shared" si="58"/>
        <v>41.213333333333331</v>
      </c>
      <c r="AF189" s="37">
        <v>76.400000000000006</v>
      </c>
      <c r="AG189" s="37">
        <v>76.239999999999995</v>
      </c>
      <c r="AH189" s="37">
        <v>76.239999999999995</v>
      </c>
      <c r="AI189" s="24">
        <f t="shared" si="54"/>
        <v>76.293333333333337</v>
      </c>
      <c r="AS189" t="s">
        <v>65</v>
      </c>
      <c r="AT189">
        <v>8</v>
      </c>
      <c r="AU189">
        <v>0</v>
      </c>
      <c r="AV189">
        <v>0</v>
      </c>
      <c r="AX189" s="35">
        <v>45.93</v>
      </c>
      <c r="AY189" s="35">
        <v>44.85</v>
      </c>
      <c r="AZ189" s="35">
        <v>45.15</v>
      </c>
      <c r="BA189" s="24">
        <f t="shared" si="55"/>
        <v>45.31</v>
      </c>
      <c r="BB189" s="35">
        <v>31.88</v>
      </c>
      <c r="BC189" s="35">
        <v>31.93</v>
      </c>
      <c r="BD189" s="35">
        <v>31.44</v>
      </c>
      <c r="BE189" s="24">
        <f t="shared" si="56"/>
        <v>31.75</v>
      </c>
      <c r="BF189" s="35">
        <v>75.92</v>
      </c>
      <c r="BG189" s="35">
        <v>76.27</v>
      </c>
      <c r="BH189" s="35">
        <v>76.290000000000006</v>
      </c>
      <c r="BI189" s="24">
        <f t="shared" si="57"/>
        <v>76.160000000000011</v>
      </c>
      <c r="BK189" t="s">
        <v>51</v>
      </c>
    </row>
    <row r="190" spans="1:73" x14ac:dyDescent="0.25">
      <c r="A190" t="s">
        <v>57</v>
      </c>
      <c r="B190" s="111" t="s">
        <v>604</v>
      </c>
      <c r="C190" t="s">
        <v>207</v>
      </c>
      <c r="D190" t="s">
        <v>967</v>
      </c>
      <c r="E190">
        <v>1099</v>
      </c>
      <c r="H190" s="100">
        <v>42938</v>
      </c>
      <c r="I190" t="s">
        <v>589</v>
      </c>
      <c r="K190" s="33">
        <v>1</v>
      </c>
      <c r="L190" s="10" t="s">
        <v>64</v>
      </c>
      <c r="M190">
        <v>769</v>
      </c>
      <c r="N190">
        <v>96</v>
      </c>
      <c r="O190" s="9">
        <f t="shared" si="50"/>
        <v>673</v>
      </c>
      <c r="P190" s="35">
        <v>223</v>
      </c>
      <c r="Q190" s="35">
        <v>224</v>
      </c>
      <c r="R190" s="35">
        <v>224</v>
      </c>
      <c r="S190" s="24">
        <f t="shared" si="51"/>
        <v>223.66666666666666</v>
      </c>
      <c r="T190" s="35">
        <v>0</v>
      </c>
      <c r="U190" s="35">
        <v>0</v>
      </c>
      <c r="V190" s="35">
        <v>0</v>
      </c>
      <c r="W190" s="24">
        <f t="shared" si="52"/>
        <v>0</v>
      </c>
      <c r="X190" s="36">
        <v>0</v>
      </c>
      <c r="Y190" s="35">
        <v>0</v>
      </c>
      <c r="Z190" s="35">
        <v>0</v>
      </c>
      <c r="AA190" s="24">
        <f t="shared" si="53"/>
        <v>0</v>
      </c>
      <c r="AB190" s="37">
        <v>43.93</v>
      </c>
      <c r="AC190" s="37">
        <v>43.89</v>
      </c>
      <c r="AD190" s="37">
        <v>44.03</v>
      </c>
      <c r="AE190" s="24">
        <f t="shared" si="58"/>
        <v>43.949999999999996</v>
      </c>
      <c r="AF190" s="37">
        <v>80.38</v>
      </c>
      <c r="AG190" s="37">
        <v>80.05</v>
      </c>
      <c r="AH190" s="37">
        <v>79.94</v>
      </c>
      <c r="AI190" s="24">
        <f t="shared" si="54"/>
        <v>80.123333333333335</v>
      </c>
      <c r="AS190" t="s">
        <v>65</v>
      </c>
      <c r="AT190">
        <v>8</v>
      </c>
      <c r="AU190">
        <v>0</v>
      </c>
      <c r="AV190">
        <v>0</v>
      </c>
      <c r="AX190" s="35">
        <v>50</v>
      </c>
      <c r="AY190" s="35">
        <v>50.39</v>
      </c>
      <c r="AZ190" s="35">
        <v>50.26</v>
      </c>
      <c r="BA190" s="24">
        <f t="shared" si="55"/>
        <v>50.216666666666669</v>
      </c>
      <c r="BB190" s="35">
        <v>32.869999999999997</v>
      </c>
      <c r="BC190" s="35">
        <v>33.03</v>
      </c>
      <c r="BD190" s="35">
        <v>32.880000000000003</v>
      </c>
      <c r="BE190" s="24">
        <f t="shared" si="56"/>
        <v>32.926666666666669</v>
      </c>
      <c r="BF190" s="35">
        <v>75.489999999999995</v>
      </c>
      <c r="BG190" s="35">
        <v>75.25</v>
      </c>
      <c r="BH190" s="35">
        <v>75.22</v>
      </c>
      <c r="BI190" s="24">
        <f t="shared" si="57"/>
        <v>75.320000000000007</v>
      </c>
      <c r="BK190" t="s">
        <v>51</v>
      </c>
    </row>
    <row r="191" spans="1:73" x14ac:dyDescent="0.25">
      <c r="A191" t="s">
        <v>57</v>
      </c>
      <c r="B191" s="111" t="s">
        <v>1030</v>
      </c>
      <c r="C191" t="s">
        <v>968</v>
      </c>
      <c r="D191" t="s">
        <v>208</v>
      </c>
      <c r="E191">
        <v>1373</v>
      </c>
      <c r="H191" s="100">
        <v>42938</v>
      </c>
      <c r="I191" t="s">
        <v>969</v>
      </c>
      <c r="K191" s="33">
        <v>3</v>
      </c>
      <c r="L191" s="10" t="s">
        <v>50</v>
      </c>
      <c r="M191">
        <v>1831</v>
      </c>
      <c r="N191">
        <v>94</v>
      </c>
      <c r="O191" s="9">
        <f t="shared" si="50"/>
        <v>1737</v>
      </c>
      <c r="P191" s="35">
        <v>310</v>
      </c>
      <c r="Q191" s="35">
        <v>311</v>
      </c>
      <c r="R191" s="35">
        <v>311</v>
      </c>
      <c r="S191" s="24">
        <f t="shared" si="51"/>
        <v>310.66666666666669</v>
      </c>
      <c r="T191" s="35">
        <v>173</v>
      </c>
      <c r="U191" s="35">
        <v>174</v>
      </c>
      <c r="V191" s="35">
        <v>174</v>
      </c>
      <c r="W191" s="24">
        <f t="shared" si="52"/>
        <v>173.66666666666666</v>
      </c>
      <c r="X191" s="36">
        <v>12.83</v>
      </c>
      <c r="Y191" s="35">
        <v>13.16</v>
      </c>
      <c r="Z191" s="35">
        <v>13.02</v>
      </c>
      <c r="AA191" s="24">
        <f t="shared" si="53"/>
        <v>13.003333333333336</v>
      </c>
      <c r="AB191" s="37">
        <v>53.38</v>
      </c>
      <c r="AC191" s="37">
        <v>53.43</v>
      </c>
      <c r="AD191" s="37">
        <v>53.25</v>
      </c>
      <c r="AE191" s="24">
        <f t="shared" si="58"/>
        <v>53.353333333333332</v>
      </c>
      <c r="AF191" s="37">
        <v>102.74</v>
      </c>
      <c r="AG191" s="37">
        <v>102.74</v>
      </c>
      <c r="AH191" s="37">
        <v>102.02</v>
      </c>
      <c r="AI191" s="24">
        <f t="shared" si="54"/>
        <v>102.5</v>
      </c>
      <c r="AJ191" s="37">
        <v>33.53</v>
      </c>
      <c r="AK191" s="37">
        <v>33.56</v>
      </c>
      <c r="AL191" s="37">
        <v>33.83</v>
      </c>
      <c r="AM191" s="24">
        <f>AVERAGE(AJ191:AL191)</f>
        <v>33.64</v>
      </c>
      <c r="AN191" s="37">
        <v>24.29</v>
      </c>
      <c r="AO191" s="37">
        <v>24.28</v>
      </c>
      <c r="AP191" s="37">
        <v>24.02</v>
      </c>
      <c r="AQ191" s="24">
        <f>AVERAGE(AN191:AP191)</f>
        <v>24.196666666666669</v>
      </c>
      <c r="AX191" s="35">
        <v>61.93</v>
      </c>
      <c r="AY191" s="35">
        <v>61.95</v>
      </c>
      <c r="AZ191" s="35">
        <v>61.9</v>
      </c>
      <c r="BA191" s="24">
        <f t="shared" si="55"/>
        <v>61.926666666666669</v>
      </c>
      <c r="BB191" s="35">
        <v>41.7</v>
      </c>
      <c r="BC191" s="35">
        <v>42.27</v>
      </c>
      <c r="BD191" s="35">
        <v>41.87</v>
      </c>
      <c r="BE191" s="24">
        <f t="shared" si="56"/>
        <v>41.946666666666665</v>
      </c>
      <c r="BF191" s="35">
        <v>91.92</v>
      </c>
      <c r="BG191" s="35">
        <v>92.09</v>
      </c>
      <c r="BH191" s="35">
        <v>91.36</v>
      </c>
      <c r="BI191" s="24">
        <f t="shared" si="57"/>
        <v>91.79</v>
      </c>
      <c r="BK191" t="s">
        <v>970</v>
      </c>
      <c r="BU191" t="s">
        <v>971</v>
      </c>
    </row>
    <row r="192" spans="1:73" x14ac:dyDescent="0.25">
      <c r="A192" t="s">
        <v>57</v>
      </c>
      <c r="B192" s="111" t="s">
        <v>1094</v>
      </c>
      <c r="C192" t="s">
        <v>49</v>
      </c>
      <c r="D192" t="s">
        <v>208</v>
      </c>
      <c r="E192">
        <v>1416</v>
      </c>
      <c r="H192" s="100">
        <v>42942</v>
      </c>
      <c r="I192" t="s">
        <v>281</v>
      </c>
      <c r="K192" s="33">
        <v>2</v>
      </c>
      <c r="L192" s="10" t="s">
        <v>50</v>
      </c>
      <c r="M192">
        <v>890</v>
      </c>
      <c r="N192">
        <v>96</v>
      </c>
      <c r="O192" s="9">
        <f t="shared" si="50"/>
        <v>794</v>
      </c>
      <c r="P192" s="35">
        <v>292</v>
      </c>
      <c r="Q192" s="35">
        <v>291</v>
      </c>
      <c r="R192" s="35">
        <v>291</v>
      </c>
      <c r="S192" s="24">
        <f t="shared" si="51"/>
        <v>291.33333333333331</v>
      </c>
      <c r="T192" s="35">
        <v>167</v>
      </c>
      <c r="U192" s="35">
        <v>167</v>
      </c>
      <c r="V192" s="35">
        <v>168</v>
      </c>
      <c r="W192" s="24">
        <f t="shared" si="52"/>
        <v>167.33333333333334</v>
      </c>
      <c r="X192" s="36">
        <v>8.9600000000000009</v>
      </c>
      <c r="Y192" s="35">
        <v>9.64</v>
      </c>
      <c r="Z192" s="35">
        <v>9.5500000000000007</v>
      </c>
      <c r="AA192" s="24">
        <f t="shared" si="53"/>
        <v>9.3833333333333346</v>
      </c>
      <c r="AB192" s="37">
        <v>46.34</v>
      </c>
      <c r="AC192" s="37">
        <v>46.14</v>
      </c>
      <c r="AD192" s="37">
        <v>46.12</v>
      </c>
      <c r="AE192" s="24">
        <f t="shared" si="58"/>
        <v>46.199999999999996</v>
      </c>
      <c r="AF192" s="37">
        <v>84.85</v>
      </c>
      <c r="AG192" s="37">
        <v>84.91</v>
      </c>
      <c r="AH192" s="37">
        <v>85.25</v>
      </c>
      <c r="AI192" s="24">
        <f t="shared" si="54"/>
        <v>85.00333333333333</v>
      </c>
      <c r="AJ192" s="37">
        <v>31.14</v>
      </c>
      <c r="AK192" s="37">
        <v>31.09</v>
      </c>
      <c r="AL192" s="37">
        <v>30.96</v>
      </c>
      <c r="AM192" s="24">
        <f>AVERAGE(AJ192:AL192)</f>
        <v>31.063333333333333</v>
      </c>
      <c r="AN192" s="37">
        <v>20.18</v>
      </c>
      <c r="AO192" s="37">
        <v>20.46</v>
      </c>
      <c r="AP192" s="37">
        <v>20.89</v>
      </c>
      <c r="AQ192" s="24">
        <f>AVERAGE(AN192:AP192)</f>
        <v>20.51</v>
      </c>
      <c r="AX192" s="35">
        <v>51.45</v>
      </c>
      <c r="AY192" s="35">
        <v>51.44</v>
      </c>
      <c r="AZ192" s="35">
        <v>51.54</v>
      </c>
      <c r="BA192" s="24">
        <f t="shared" si="55"/>
        <v>51.476666666666667</v>
      </c>
      <c r="BB192" s="35">
        <v>31.98</v>
      </c>
      <c r="BC192" s="35">
        <v>32.17</v>
      </c>
      <c r="BD192" s="35">
        <v>32.6</v>
      </c>
      <c r="BE192" s="24">
        <f t="shared" si="56"/>
        <v>32.25</v>
      </c>
      <c r="BF192" s="35">
        <v>80.069999999999993</v>
      </c>
      <c r="BG192" s="35">
        <v>79.94</v>
      </c>
      <c r="BH192" s="35">
        <v>80.22</v>
      </c>
      <c r="BI192" s="24">
        <f t="shared" si="57"/>
        <v>80.076666666666668</v>
      </c>
      <c r="BK192" t="s">
        <v>51</v>
      </c>
    </row>
    <row r="193" spans="1:73" x14ac:dyDescent="0.25">
      <c r="A193" t="s">
        <v>57</v>
      </c>
      <c r="B193" s="111" t="s">
        <v>1095</v>
      </c>
      <c r="C193" t="s">
        <v>49</v>
      </c>
      <c r="D193" t="s">
        <v>208</v>
      </c>
      <c r="E193">
        <v>1421</v>
      </c>
      <c r="H193" s="100">
        <v>42943</v>
      </c>
      <c r="I193" t="s">
        <v>972</v>
      </c>
      <c r="K193" s="33">
        <v>1</v>
      </c>
      <c r="L193" s="10" t="s">
        <v>50</v>
      </c>
      <c r="M193">
        <v>604</v>
      </c>
      <c r="N193">
        <v>93</v>
      </c>
      <c r="O193" s="9">
        <f t="shared" si="50"/>
        <v>511</v>
      </c>
      <c r="P193" s="35">
        <v>227</v>
      </c>
      <c r="Q193" s="35">
        <v>226</v>
      </c>
      <c r="R193" s="35">
        <v>226</v>
      </c>
      <c r="S193" s="24">
        <f t="shared" si="51"/>
        <v>226.33333333333334</v>
      </c>
      <c r="T193" s="35">
        <v>146</v>
      </c>
      <c r="U193" s="35">
        <v>145</v>
      </c>
      <c r="V193" s="35">
        <v>146</v>
      </c>
      <c r="W193" s="24">
        <f t="shared" si="52"/>
        <v>145.66666666666666</v>
      </c>
      <c r="X193" s="36">
        <v>60.85</v>
      </c>
      <c r="Y193" s="35">
        <v>60.74</v>
      </c>
      <c r="Z193" s="35">
        <v>60.81</v>
      </c>
      <c r="AA193" s="24">
        <f t="shared" si="53"/>
        <v>60.800000000000004</v>
      </c>
      <c r="AB193" s="37">
        <v>41.99</v>
      </c>
      <c r="AC193" s="37">
        <v>42.29</v>
      </c>
      <c r="AD193" s="37">
        <v>42.17</v>
      </c>
      <c r="AE193" s="24">
        <f t="shared" si="58"/>
        <v>42.15</v>
      </c>
      <c r="AF193" s="37">
        <v>72.02</v>
      </c>
      <c r="AG193" s="37">
        <v>71.81</v>
      </c>
      <c r="AH193" s="37">
        <v>71.760000000000005</v>
      </c>
      <c r="AI193" s="24">
        <f t="shared" si="54"/>
        <v>71.86333333333333</v>
      </c>
      <c r="AJ193" s="37">
        <v>21.42</v>
      </c>
      <c r="AK193" s="37">
        <v>21.43</v>
      </c>
      <c r="AL193" s="37">
        <v>21.79</v>
      </c>
      <c r="AM193" s="24">
        <f>AVERAGE(AJ193:AL193)</f>
        <v>21.546666666666667</v>
      </c>
      <c r="AN193" s="37">
        <v>18.23</v>
      </c>
      <c r="AO193" s="12">
        <v>18.579999999999998</v>
      </c>
      <c r="AP193" s="37">
        <v>18.54</v>
      </c>
      <c r="AQ193" s="24">
        <f>AVERAGE(AN193:AP193)</f>
        <v>18.45</v>
      </c>
      <c r="AX193" s="35">
        <v>46.06</v>
      </c>
      <c r="AY193" s="35">
        <v>46.16</v>
      </c>
      <c r="AZ193" s="35">
        <v>45.67</v>
      </c>
      <c r="BA193" s="24">
        <f t="shared" si="55"/>
        <v>45.963333333333331</v>
      </c>
      <c r="BB193" s="35">
        <v>30.83</v>
      </c>
      <c r="BC193" s="35">
        <v>30.93</v>
      </c>
      <c r="BD193" s="35">
        <v>31.07</v>
      </c>
      <c r="BE193" s="24">
        <f t="shared" si="56"/>
        <v>30.943333333333332</v>
      </c>
      <c r="BF193" s="35">
        <v>75.680000000000007</v>
      </c>
      <c r="BG193" s="35">
        <v>75.55</v>
      </c>
      <c r="BH193" s="35">
        <v>75.459999999999994</v>
      </c>
      <c r="BI193" s="24">
        <f t="shared" si="57"/>
        <v>75.563333333333333</v>
      </c>
      <c r="BK193" t="s">
        <v>51</v>
      </c>
    </row>
    <row r="194" spans="1:73" x14ac:dyDescent="0.25">
      <c r="A194" t="s">
        <v>57</v>
      </c>
      <c r="B194" s="111" t="s">
        <v>1031</v>
      </c>
      <c r="C194" t="s">
        <v>207</v>
      </c>
      <c r="D194" t="s">
        <v>208</v>
      </c>
      <c r="E194">
        <v>1174</v>
      </c>
      <c r="H194" s="100">
        <v>42944</v>
      </c>
      <c r="I194" t="s">
        <v>973</v>
      </c>
      <c r="K194" s="33">
        <v>4</v>
      </c>
      <c r="L194" s="10" t="s">
        <v>64</v>
      </c>
      <c r="M194">
        <v>937</v>
      </c>
      <c r="N194">
        <v>92</v>
      </c>
      <c r="O194" s="9">
        <f t="shared" si="50"/>
        <v>845</v>
      </c>
      <c r="P194" s="35">
        <v>282</v>
      </c>
      <c r="Q194" s="35">
        <v>283</v>
      </c>
      <c r="R194" s="35">
        <v>282</v>
      </c>
      <c r="S194" s="24">
        <f t="shared" si="51"/>
        <v>282.33333333333331</v>
      </c>
      <c r="T194" s="35">
        <v>156</v>
      </c>
      <c r="U194" s="35">
        <v>157</v>
      </c>
      <c r="V194" s="35">
        <v>156</v>
      </c>
      <c r="W194" s="24">
        <f t="shared" si="52"/>
        <v>156.33333333333334</v>
      </c>
      <c r="X194" s="36">
        <v>9.11</v>
      </c>
      <c r="Y194" s="35">
        <v>9.1</v>
      </c>
      <c r="Z194" s="35">
        <v>9.14</v>
      </c>
      <c r="AA194" s="24">
        <f t="shared" si="53"/>
        <v>9.1166666666666671</v>
      </c>
      <c r="AB194" s="37">
        <v>46.96</v>
      </c>
      <c r="AC194" s="37">
        <v>47.1</v>
      </c>
      <c r="AD194" s="37">
        <v>47.12</v>
      </c>
      <c r="AE194" s="24">
        <f t="shared" si="58"/>
        <v>47.06</v>
      </c>
      <c r="AF194" s="37">
        <v>92.52</v>
      </c>
      <c r="AG194" s="37">
        <v>91.94</v>
      </c>
      <c r="AH194" s="37">
        <v>92.13</v>
      </c>
      <c r="AI194" s="24">
        <f t="shared" si="54"/>
        <v>92.196666666666658</v>
      </c>
      <c r="AS194" t="s">
        <v>65</v>
      </c>
      <c r="AT194">
        <v>8</v>
      </c>
      <c r="AU194">
        <v>0</v>
      </c>
      <c r="AV194">
        <v>0</v>
      </c>
      <c r="AX194" s="35">
        <v>55.19</v>
      </c>
      <c r="AY194" s="35">
        <v>55.61</v>
      </c>
      <c r="AZ194" s="35">
        <v>55.55</v>
      </c>
      <c r="BA194" s="24">
        <f t="shared" si="55"/>
        <v>55.449999999999996</v>
      </c>
      <c r="BB194" s="35">
        <v>34.14</v>
      </c>
      <c r="BC194" s="35">
        <v>34.17</v>
      </c>
      <c r="BD194" s="35">
        <v>34.1</v>
      </c>
      <c r="BE194" s="24">
        <f t="shared" si="56"/>
        <v>34.136666666666663</v>
      </c>
      <c r="BF194" s="35">
        <v>80.709999999999994</v>
      </c>
      <c r="BG194" s="35">
        <v>80.92</v>
      </c>
      <c r="BH194" s="35">
        <v>80.7</v>
      </c>
      <c r="BI194" s="24">
        <f t="shared" si="57"/>
        <v>80.776666666666657</v>
      </c>
      <c r="BK194" t="s">
        <v>51</v>
      </c>
    </row>
    <row r="195" spans="1:73" x14ac:dyDescent="0.25">
      <c r="A195" t="s">
        <v>57</v>
      </c>
      <c r="B195" s="111" t="s">
        <v>1096</v>
      </c>
      <c r="C195" t="s">
        <v>49</v>
      </c>
      <c r="D195" t="s">
        <v>208</v>
      </c>
      <c r="E195">
        <v>1381</v>
      </c>
      <c r="H195" s="100">
        <v>42947</v>
      </c>
      <c r="I195" t="s">
        <v>617</v>
      </c>
      <c r="K195" s="33">
        <v>1</v>
      </c>
      <c r="L195" s="10" t="s">
        <v>64</v>
      </c>
      <c r="M195">
        <v>531</v>
      </c>
      <c r="N195">
        <v>94</v>
      </c>
      <c r="O195" s="9">
        <f t="shared" si="50"/>
        <v>437</v>
      </c>
      <c r="P195" s="35">
        <v>216</v>
      </c>
      <c r="Q195" s="35">
        <v>216</v>
      </c>
      <c r="R195" s="35">
        <v>215</v>
      </c>
      <c r="S195" s="24">
        <f t="shared" si="51"/>
        <v>215.66666666666666</v>
      </c>
      <c r="T195" s="35">
        <v>127</v>
      </c>
      <c r="U195" s="35">
        <v>128</v>
      </c>
      <c r="V195" s="35">
        <v>127</v>
      </c>
      <c r="W195" s="24">
        <f t="shared" si="52"/>
        <v>127.33333333333333</v>
      </c>
      <c r="X195" s="36">
        <v>7.43</v>
      </c>
      <c r="Y195" s="35">
        <v>7.43</v>
      </c>
      <c r="Z195" s="35">
        <v>7.1</v>
      </c>
      <c r="AA195" s="24">
        <f t="shared" si="53"/>
        <v>7.32</v>
      </c>
      <c r="AB195" s="37">
        <v>39.22</v>
      </c>
      <c r="AC195" s="37">
        <v>39.369999999999997</v>
      </c>
      <c r="AD195" s="37">
        <v>38.92</v>
      </c>
      <c r="AE195" s="24">
        <f t="shared" si="58"/>
        <v>39.17</v>
      </c>
      <c r="AF195" s="37">
        <v>69.349999999999994</v>
      </c>
      <c r="AG195" s="37">
        <v>68.87</v>
      </c>
      <c r="AH195" s="37">
        <v>69.33</v>
      </c>
      <c r="AI195" s="24">
        <f t="shared" si="54"/>
        <v>69.183333333333337</v>
      </c>
      <c r="AS195" t="s">
        <v>65</v>
      </c>
      <c r="AT195">
        <v>8</v>
      </c>
      <c r="AU195">
        <v>0</v>
      </c>
      <c r="AV195">
        <v>0</v>
      </c>
      <c r="AX195" s="35">
        <v>43.85</v>
      </c>
      <c r="AY195" s="35">
        <v>43.64</v>
      </c>
      <c r="AZ195" s="35">
        <v>43.55</v>
      </c>
      <c r="BA195" s="24">
        <f t="shared" si="55"/>
        <v>43.680000000000007</v>
      </c>
      <c r="BB195" s="35">
        <v>28.66</v>
      </c>
      <c r="BC195" s="35">
        <v>29.17</v>
      </c>
      <c r="BD195" s="35">
        <v>29.3</v>
      </c>
      <c r="BE195" s="24">
        <f t="shared" si="56"/>
        <v>29.043333333333333</v>
      </c>
      <c r="BF195" s="35">
        <v>62.33</v>
      </c>
      <c r="BG195" s="35">
        <v>62.36</v>
      </c>
      <c r="BH195" s="35">
        <v>62.2</v>
      </c>
      <c r="BI195" s="24">
        <f t="shared" si="57"/>
        <v>62.29666666666666</v>
      </c>
    </row>
    <row r="196" spans="1:73" x14ac:dyDescent="0.25">
      <c r="A196" t="s">
        <v>57</v>
      </c>
      <c r="B196" s="111" t="s">
        <v>1060</v>
      </c>
      <c r="C196" t="s">
        <v>207</v>
      </c>
      <c r="D196" t="s">
        <v>208</v>
      </c>
      <c r="E196">
        <v>1016</v>
      </c>
      <c r="H196" s="100">
        <v>42956</v>
      </c>
      <c r="I196" t="s">
        <v>630</v>
      </c>
      <c r="K196" s="33">
        <v>2</v>
      </c>
      <c r="L196" s="10" t="s">
        <v>64</v>
      </c>
      <c r="M196">
        <v>796</v>
      </c>
      <c r="N196">
        <v>92</v>
      </c>
      <c r="O196" s="9">
        <f t="shared" si="50"/>
        <v>704</v>
      </c>
      <c r="P196" s="35">
        <v>253</v>
      </c>
      <c r="Q196" s="35">
        <v>254</v>
      </c>
      <c r="R196" s="35">
        <v>253</v>
      </c>
      <c r="S196" s="24">
        <f t="shared" si="51"/>
        <v>253.33333333333334</v>
      </c>
      <c r="T196" s="35">
        <v>150</v>
      </c>
      <c r="U196" s="35">
        <v>149</v>
      </c>
      <c r="V196" s="35">
        <v>149</v>
      </c>
      <c r="W196" s="24">
        <f t="shared" si="52"/>
        <v>149.33333333333334</v>
      </c>
      <c r="X196" s="36">
        <v>8.92</v>
      </c>
      <c r="Y196" s="35">
        <v>8.93</v>
      </c>
      <c r="Z196" s="35">
        <v>8.93</v>
      </c>
      <c r="AA196" s="24">
        <f t="shared" si="53"/>
        <v>8.9266666666666676</v>
      </c>
      <c r="AB196" s="37">
        <v>43.68</v>
      </c>
      <c r="AC196" s="37">
        <v>43.85</v>
      </c>
      <c r="AD196" s="37">
        <v>43.82</v>
      </c>
      <c r="AE196" s="24">
        <f t="shared" si="58"/>
        <v>43.783333333333331</v>
      </c>
      <c r="AF196" s="37">
        <v>82.61</v>
      </c>
      <c r="AG196" s="37">
        <v>83</v>
      </c>
      <c r="AH196" s="37">
        <v>82.98</v>
      </c>
      <c r="AI196" s="24">
        <f t="shared" si="54"/>
        <v>82.863333333333344</v>
      </c>
      <c r="AS196" t="s">
        <v>65</v>
      </c>
      <c r="AT196">
        <v>8</v>
      </c>
      <c r="AU196">
        <v>2</v>
      </c>
      <c r="AV196">
        <v>2</v>
      </c>
      <c r="AW196" s="9">
        <v>9.4600000000000009</v>
      </c>
      <c r="AX196" s="35">
        <v>54.98</v>
      </c>
      <c r="AY196" s="35">
        <v>54.97</v>
      </c>
      <c r="AZ196" s="35">
        <v>54.55</v>
      </c>
      <c r="BA196" s="24">
        <f t="shared" si="55"/>
        <v>54.833333333333336</v>
      </c>
      <c r="BB196" s="35">
        <v>31.72</v>
      </c>
      <c r="BC196" s="35">
        <v>31.92</v>
      </c>
      <c r="BD196" s="35">
        <v>31.72</v>
      </c>
      <c r="BE196" s="24">
        <f t="shared" si="56"/>
        <v>31.786666666666665</v>
      </c>
      <c r="BF196" s="35">
        <v>83.19</v>
      </c>
      <c r="BG196" s="35">
        <v>83.65</v>
      </c>
      <c r="BH196" s="35">
        <v>83.75</v>
      </c>
      <c r="BI196" s="24">
        <f t="shared" si="57"/>
        <v>83.53</v>
      </c>
      <c r="BK196" t="s">
        <v>51</v>
      </c>
      <c r="BL196" t="s">
        <v>51</v>
      </c>
    </row>
    <row r="197" spans="1:73" x14ac:dyDescent="0.25">
      <c r="A197" t="s">
        <v>57</v>
      </c>
      <c r="B197" s="111" t="s">
        <v>1097</v>
      </c>
      <c r="C197" t="s">
        <v>49</v>
      </c>
      <c r="D197" t="s">
        <v>208</v>
      </c>
      <c r="E197">
        <v>1389</v>
      </c>
      <c r="H197" s="100">
        <v>42956</v>
      </c>
      <c r="I197" t="s">
        <v>974</v>
      </c>
      <c r="K197" s="33">
        <v>2</v>
      </c>
      <c r="L197" s="10" t="s">
        <v>50</v>
      </c>
      <c r="M197">
        <v>830</v>
      </c>
      <c r="N197">
        <v>93</v>
      </c>
      <c r="O197" s="9">
        <f t="shared" si="50"/>
        <v>737</v>
      </c>
      <c r="P197" s="35">
        <v>255</v>
      </c>
      <c r="Q197" s="35">
        <v>256</v>
      </c>
      <c r="R197">
        <v>256</v>
      </c>
      <c r="S197" s="24">
        <f t="shared" si="51"/>
        <v>255.66666666666666</v>
      </c>
      <c r="T197" s="35">
        <v>143</v>
      </c>
      <c r="U197" s="35">
        <v>144</v>
      </c>
      <c r="V197" s="35">
        <v>143</v>
      </c>
      <c r="W197" s="24">
        <f t="shared" si="52"/>
        <v>143.33333333333334</v>
      </c>
      <c r="X197" s="36">
        <v>8.98</v>
      </c>
      <c r="Y197" s="35">
        <v>9.27</v>
      </c>
      <c r="Z197" s="35">
        <v>9.27</v>
      </c>
      <c r="AA197" s="24">
        <f t="shared" si="53"/>
        <v>9.1733333333333338</v>
      </c>
      <c r="AB197" s="37">
        <v>46.05</v>
      </c>
      <c r="AC197" s="37">
        <v>45.91</v>
      </c>
      <c r="AD197" s="37">
        <v>46.1</v>
      </c>
      <c r="AE197" s="24">
        <f t="shared" si="58"/>
        <v>46.02</v>
      </c>
      <c r="AF197" s="37">
        <v>82.7</v>
      </c>
      <c r="AG197" s="37">
        <v>83.13</v>
      </c>
      <c r="AH197" s="37">
        <v>83.02</v>
      </c>
      <c r="AI197" s="24">
        <f t="shared" si="54"/>
        <v>82.949999999999989</v>
      </c>
      <c r="AJ197" s="37">
        <v>29.56</v>
      </c>
      <c r="AK197" s="37">
        <v>29.66</v>
      </c>
      <c r="AL197" s="37">
        <v>29.66</v>
      </c>
      <c r="AM197" s="24">
        <f>AVERAGE(AJ197:AL197)</f>
        <v>29.626666666666665</v>
      </c>
      <c r="AN197" s="37">
        <v>21.91</v>
      </c>
      <c r="AO197" s="37">
        <v>22.22</v>
      </c>
      <c r="AP197" s="37">
        <v>22.25</v>
      </c>
      <c r="AQ197" s="24">
        <f>AVERAGE(AN197:AP197)</f>
        <v>22.126666666666665</v>
      </c>
      <c r="AX197" s="35">
        <v>52.66</v>
      </c>
      <c r="AY197" s="35">
        <v>52.58</v>
      </c>
      <c r="AZ197" s="35">
        <v>52.55</v>
      </c>
      <c r="BA197" s="24">
        <f t="shared" si="55"/>
        <v>52.596666666666664</v>
      </c>
      <c r="BB197" s="35">
        <v>27.19</v>
      </c>
      <c r="BC197" s="35">
        <v>26.74</v>
      </c>
      <c r="BD197" s="35">
        <v>26.64</v>
      </c>
      <c r="BE197" s="24">
        <f t="shared" si="56"/>
        <v>26.856666666666666</v>
      </c>
      <c r="BF197" s="35">
        <v>81.319999999999993</v>
      </c>
      <c r="BG197" s="35">
        <v>80.94</v>
      </c>
      <c r="BH197" s="35">
        <v>80.91</v>
      </c>
      <c r="BI197" s="24">
        <f t="shared" si="57"/>
        <v>81.056666666666658</v>
      </c>
      <c r="BJ197" t="s">
        <v>51</v>
      </c>
      <c r="BK197" t="s">
        <v>51</v>
      </c>
      <c r="BL197" t="s">
        <v>51</v>
      </c>
    </row>
    <row r="198" spans="1:73" x14ac:dyDescent="0.25">
      <c r="A198" t="s">
        <v>57</v>
      </c>
      <c r="B198" s="111" t="s">
        <v>1025</v>
      </c>
      <c r="C198" t="s">
        <v>207</v>
      </c>
      <c r="D198" t="s">
        <v>208</v>
      </c>
      <c r="E198">
        <v>1390</v>
      </c>
      <c r="H198" s="100">
        <v>42956</v>
      </c>
      <c r="I198" t="s">
        <v>74</v>
      </c>
      <c r="K198" s="33" t="s">
        <v>82</v>
      </c>
      <c r="L198" s="10" t="s">
        <v>50</v>
      </c>
      <c r="M198">
        <v>1292</v>
      </c>
      <c r="N198">
        <v>95</v>
      </c>
      <c r="O198" s="9">
        <f t="shared" si="50"/>
        <v>1197</v>
      </c>
      <c r="P198" s="35">
        <v>296</v>
      </c>
      <c r="Q198" s="35">
        <v>297</v>
      </c>
      <c r="R198" s="35">
        <v>296</v>
      </c>
      <c r="S198" s="24">
        <f t="shared" si="51"/>
        <v>296.33333333333331</v>
      </c>
      <c r="T198" s="35">
        <v>157</v>
      </c>
      <c r="U198" s="35">
        <v>157</v>
      </c>
      <c r="V198" s="35">
        <v>156</v>
      </c>
      <c r="W198" s="24">
        <f t="shared" si="52"/>
        <v>156.66666666666666</v>
      </c>
      <c r="X198" s="36">
        <v>10.72</v>
      </c>
      <c r="Y198" s="35">
        <v>11</v>
      </c>
      <c r="Z198" s="35">
        <v>10.82</v>
      </c>
      <c r="AA198" s="24">
        <f t="shared" si="53"/>
        <v>10.846666666666666</v>
      </c>
      <c r="AB198" s="37">
        <v>48.98</v>
      </c>
      <c r="AC198" s="37">
        <v>49.13</v>
      </c>
      <c r="AD198" s="37">
        <v>48.95</v>
      </c>
      <c r="AE198" s="24">
        <f t="shared" si="58"/>
        <v>49.02</v>
      </c>
      <c r="AF198" s="37">
        <v>96.46</v>
      </c>
      <c r="AG198" s="37">
        <v>96.51</v>
      </c>
      <c r="AH198" s="37">
        <v>96.46</v>
      </c>
      <c r="AI198" s="24">
        <f t="shared" si="54"/>
        <v>96.476666666666674</v>
      </c>
      <c r="AJ198" s="37">
        <v>32.53</v>
      </c>
      <c r="AK198" s="37">
        <v>32.54</v>
      </c>
      <c r="AL198" s="37">
        <v>32.26</v>
      </c>
      <c r="AM198" s="24">
        <f>AVERAGE(AJ198:AL198)</f>
        <v>32.443333333333328</v>
      </c>
      <c r="AN198" s="37">
        <v>22.9</v>
      </c>
      <c r="AO198" s="37">
        <v>22.86</v>
      </c>
      <c r="AP198" s="37">
        <v>23.15</v>
      </c>
      <c r="AQ198" s="24">
        <f>AVERAGE(AN198:AP198)</f>
        <v>22.97</v>
      </c>
      <c r="AX198" s="35">
        <v>61.22</v>
      </c>
      <c r="AY198" s="35">
        <v>61.25</v>
      </c>
      <c r="AZ198" s="35">
        <v>61.45</v>
      </c>
      <c r="BA198" s="24">
        <f t="shared" si="55"/>
        <v>61.306666666666672</v>
      </c>
      <c r="BB198" s="35">
        <v>34.43</v>
      </c>
      <c r="BC198" s="35">
        <v>34.24</v>
      </c>
      <c r="BD198" s="35">
        <v>34.4</v>
      </c>
      <c r="BE198" s="24">
        <f t="shared" si="56"/>
        <v>34.356666666666662</v>
      </c>
      <c r="BF198" s="35">
        <v>90.25</v>
      </c>
      <c r="BG198">
        <v>89.86</v>
      </c>
      <c r="BH198" s="35">
        <v>90</v>
      </c>
      <c r="BI198" s="24">
        <f t="shared" si="57"/>
        <v>90.036666666666676</v>
      </c>
      <c r="BK198" t="s">
        <v>51</v>
      </c>
      <c r="BL198" t="s">
        <v>51</v>
      </c>
      <c r="BU198" t="s">
        <v>978</v>
      </c>
    </row>
    <row r="199" spans="1:73" x14ac:dyDescent="0.25">
      <c r="A199" t="s">
        <v>57</v>
      </c>
      <c r="B199" s="111" t="s">
        <v>1063</v>
      </c>
      <c r="C199" t="s">
        <v>207</v>
      </c>
      <c r="D199" t="s">
        <v>208</v>
      </c>
      <c r="H199" s="100">
        <v>42957</v>
      </c>
      <c r="I199" t="s">
        <v>394</v>
      </c>
      <c r="M199">
        <v>967</v>
      </c>
      <c r="N199">
        <v>94</v>
      </c>
      <c r="O199" s="9">
        <f t="shared" si="50"/>
        <v>873</v>
      </c>
      <c r="P199" s="35">
        <v>266</v>
      </c>
      <c r="Q199" s="35">
        <v>267</v>
      </c>
      <c r="R199" s="35">
        <v>266</v>
      </c>
      <c r="S199" s="24">
        <f t="shared" si="51"/>
        <v>266.33333333333331</v>
      </c>
      <c r="T199" s="35">
        <v>145</v>
      </c>
      <c r="U199" s="35">
        <v>144</v>
      </c>
      <c r="V199" s="35">
        <v>144</v>
      </c>
      <c r="W199" s="24">
        <f t="shared" si="52"/>
        <v>144.33333333333334</v>
      </c>
      <c r="X199" s="36">
        <v>8.7200000000000006</v>
      </c>
      <c r="Y199" s="35">
        <v>8.9</v>
      </c>
      <c r="Z199" s="35">
        <v>8.74</v>
      </c>
      <c r="AA199" s="24">
        <f t="shared" si="53"/>
        <v>8.7866666666666671</v>
      </c>
      <c r="AB199" s="37">
        <v>45.44</v>
      </c>
      <c r="AC199" s="37">
        <v>45.43</v>
      </c>
      <c r="AD199" s="37">
        <v>45.59</v>
      </c>
      <c r="AE199" s="24">
        <f t="shared" si="58"/>
        <v>45.486666666666672</v>
      </c>
      <c r="AF199" s="37">
        <v>87.87</v>
      </c>
      <c r="AG199" s="37">
        <v>87.86</v>
      </c>
      <c r="AH199" s="37">
        <v>87.87</v>
      </c>
      <c r="AI199" s="24">
        <f t="shared" si="54"/>
        <v>87.866666666666674</v>
      </c>
      <c r="AS199" t="s">
        <v>65</v>
      </c>
      <c r="AT199">
        <v>8</v>
      </c>
      <c r="AU199">
        <v>2</v>
      </c>
      <c r="AV199">
        <v>2</v>
      </c>
      <c r="AW199" s="9" t="s">
        <v>979</v>
      </c>
      <c r="AX199" s="35">
        <v>55.13</v>
      </c>
      <c r="AY199" s="35">
        <v>54.62</v>
      </c>
      <c r="AZ199" s="35">
        <v>54.96</v>
      </c>
      <c r="BA199" s="24">
        <f t="shared" si="55"/>
        <v>54.903333333333336</v>
      </c>
      <c r="BB199" s="35">
        <v>31.85</v>
      </c>
      <c r="BC199" s="35">
        <v>31.84</v>
      </c>
      <c r="BD199" s="35">
        <v>32.33</v>
      </c>
      <c r="BE199" s="24">
        <f t="shared" si="56"/>
        <v>32.006666666666668</v>
      </c>
      <c r="BF199" s="35">
        <v>89.9</v>
      </c>
      <c r="BG199" s="35">
        <v>89.88</v>
      </c>
      <c r="BH199" s="35">
        <v>89.39</v>
      </c>
      <c r="BI199" s="24">
        <f t="shared" si="57"/>
        <v>89.723333333333343</v>
      </c>
      <c r="BK199" t="s">
        <v>51</v>
      </c>
      <c r="BL199" t="s">
        <v>51</v>
      </c>
    </row>
    <row r="200" spans="1:73" x14ac:dyDescent="0.25">
      <c r="A200" t="s">
        <v>57</v>
      </c>
      <c r="B200" s="111" t="s">
        <v>1021</v>
      </c>
      <c r="C200" t="s">
        <v>207</v>
      </c>
      <c r="D200" t="s">
        <v>208</v>
      </c>
      <c r="E200">
        <v>1143</v>
      </c>
      <c r="H200" s="100">
        <v>42958</v>
      </c>
      <c r="I200" t="s">
        <v>666</v>
      </c>
      <c r="K200" s="33">
        <v>2</v>
      </c>
      <c r="L200" s="10" t="s">
        <v>64</v>
      </c>
      <c r="M200">
        <v>805</v>
      </c>
      <c r="N200">
        <v>97</v>
      </c>
      <c r="O200" s="9">
        <f t="shared" si="50"/>
        <v>708</v>
      </c>
      <c r="P200" s="35">
        <v>254</v>
      </c>
      <c r="Q200" s="35">
        <v>255</v>
      </c>
      <c r="R200" s="35">
        <v>254</v>
      </c>
      <c r="S200" s="24">
        <f t="shared" si="51"/>
        <v>254.33333333333334</v>
      </c>
      <c r="T200" s="35">
        <v>151</v>
      </c>
      <c r="U200" s="35">
        <v>150</v>
      </c>
      <c r="V200" s="35">
        <v>150</v>
      </c>
      <c r="W200" s="24">
        <f t="shared" si="52"/>
        <v>150.33333333333334</v>
      </c>
      <c r="X200" s="36">
        <v>8.6999999999999993</v>
      </c>
      <c r="Y200" s="35">
        <v>8.81</v>
      </c>
      <c r="Z200" s="35">
        <v>8.4700000000000006</v>
      </c>
      <c r="AA200" s="24">
        <f t="shared" si="53"/>
        <v>8.6599999999999984</v>
      </c>
      <c r="AB200" s="37">
        <v>44.43</v>
      </c>
      <c r="AC200" s="37">
        <v>44.29</v>
      </c>
      <c r="AD200" s="37">
        <v>44.3</v>
      </c>
      <c r="AE200" s="24">
        <f t="shared" si="58"/>
        <v>44.339999999999996</v>
      </c>
      <c r="AF200" s="37">
        <v>84.65</v>
      </c>
      <c r="AG200" s="37">
        <v>84.62</v>
      </c>
      <c r="AH200" s="37">
        <v>84.22</v>
      </c>
      <c r="AI200" s="24">
        <f t="shared" si="54"/>
        <v>84.49666666666667</v>
      </c>
      <c r="AS200" t="s">
        <v>65</v>
      </c>
      <c r="AT200">
        <v>8</v>
      </c>
      <c r="AU200">
        <v>0</v>
      </c>
      <c r="AV200">
        <v>0</v>
      </c>
      <c r="AX200" s="35">
        <v>53.61</v>
      </c>
      <c r="AY200" s="35">
        <v>53.92</v>
      </c>
      <c r="AZ200" s="35">
        <v>53.72</v>
      </c>
      <c r="BA200" s="24">
        <f t="shared" si="55"/>
        <v>53.75</v>
      </c>
      <c r="BB200" s="35">
        <v>32.04</v>
      </c>
      <c r="BC200" s="35">
        <v>32.08</v>
      </c>
      <c r="BD200" s="35">
        <v>32.18</v>
      </c>
      <c r="BE200" s="24">
        <f t="shared" si="56"/>
        <v>32.1</v>
      </c>
      <c r="BF200" s="35">
        <v>76.62</v>
      </c>
      <c r="BG200" s="35">
        <v>77</v>
      </c>
      <c r="BH200" s="35">
        <v>76.41</v>
      </c>
      <c r="BI200" s="24">
        <f t="shared" si="57"/>
        <v>76.676666666666662</v>
      </c>
      <c r="BK200" t="s">
        <v>51</v>
      </c>
      <c r="BL200" t="s">
        <v>51</v>
      </c>
      <c r="BU200" t="s">
        <v>980</v>
      </c>
    </row>
    <row r="201" spans="1:73" x14ac:dyDescent="0.25">
      <c r="A201" t="s">
        <v>57</v>
      </c>
      <c r="B201" s="111" t="s">
        <v>1058</v>
      </c>
      <c r="C201" t="s">
        <v>207</v>
      </c>
      <c r="D201" t="s">
        <v>208</v>
      </c>
      <c r="H201" s="100">
        <v>42958</v>
      </c>
      <c r="I201" t="s">
        <v>638</v>
      </c>
      <c r="K201" s="33">
        <v>2</v>
      </c>
      <c r="L201" s="10" t="s">
        <v>50</v>
      </c>
      <c r="M201">
        <v>882</v>
      </c>
      <c r="N201">
        <v>95</v>
      </c>
      <c r="O201" s="9">
        <f t="shared" si="50"/>
        <v>787</v>
      </c>
      <c r="P201" s="35">
        <v>256</v>
      </c>
      <c r="Q201" s="35">
        <v>256</v>
      </c>
      <c r="R201" s="35">
        <v>255</v>
      </c>
      <c r="S201" s="24">
        <f t="shared" si="51"/>
        <v>255.66666666666666</v>
      </c>
      <c r="T201" s="35">
        <v>163</v>
      </c>
      <c r="U201" s="35">
        <v>162</v>
      </c>
      <c r="V201" s="35">
        <v>162</v>
      </c>
      <c r="W201" s="24">
        <f t="shared" si="52"/>
        <v>162.33333333333334</v>
      </c>
      <c r="X201" s="36">
        <v>9.16</v>
      </c>
      <c r="Y201" s="35">
        <v>9.6199999999999992</v>
      </c>
      <c r="Z201" s="35">
        <v>9.48</v>
      </c>
      <c r="AA201" s="24">
        <f t="shared" si="53"/>
        <v>9.42</v>
      </c>
      <c r="AB201">
        <v>50.1</v>
      </c>
      <c r="AC201" s="37">
        <v>49.91</v>
      </c>
      <c r="AD201" s="37">
        <v>49.86</v>
      </c>
      <c r="AE201" s="24">
        <f t="shared" si="58"/>
        <v>49.956666666666671</v>
      </c>
      <c r="AF201" s="37">
        <v>90.94</v>
      </c>
      <c r="AG201" s="37">
        <v>90.96</v>
      </c>
      <c r="AH201" s="37">
        <v>91.13</v>
      </c>
      <c r="AI201" s="24">
        <f t="shared" si="54"/>
        <v>91.009999999999991</v>
      </c>
      <c r="AJ201" s="37">
        <v>30.32</v>
      </c>
      <c r="AK201" s="37">
        <v>30.24</v>
      </c>
      <c r="AL201" s="37">
        <v>29.91</v>
      </c>
      <c r="AM201" s="24">
        <f>AVERAGE(AJ201:AL201)</f>
        <v>30.156666666666666</v>
      </c>
      <c r="AN201" s="37">
        <v>22.71</v>
      </c>
      <c r="AO201" s="37">
        <v>22.65</v>
      </c>
      <c r="AP201" s="37">
        <v>22.62</v>
      </c>
      <c r="AQ201" s="24">
        <f>AVERAGE(AN201:AP201)</f>
        <v>22.66</v>
      </c>
      <c r="AX201" s="35">
        <v>57.03</v>
      </c>
      <c r="AY201" s="35">
        <v>56.95</v>
      </c>
      <c r="AZ201" s="35">
        <v>57.04</v>
      </c>
      <c r="BA201" s="24">
        <f t="shared" si="55"/>
        <v>57.006666666666668</v>
      </c>
      <c r="BB201" s="35">
        <v>30.82</v>
      </c>
      <c r="BC201" s="35">
        <v>31.18</v>
      </c>
      <c r="BD201" s="35">
        <v>30.82</v>
      </c>
      <c r="BE201" s="24">
        <f t="shared" si="56"/>
        <v>30.939999999999998</v>
      </c>
      <c r="BF201" s="35">
        <v>86.44</v>
      </c>
      <c r="BG201" s="35">
        <v>86.43</v>
      </c>
      <c r="BH201" s="35">
        <v>8663</v>
      </c>
      <c r="BI201" s="24">
        <f t="shared" si="57"/>
        <v>2945.2900000000004</v>
      </c>
      <c r="BK201" t="s">
        <v>51</v>
      </c>
      <c r="BL201" t="s">
        <v>51</v>
      </c>
    </row>
    <row r="202" spans="1:73" x14ac:dyDescent="0.25">
      <c r="A202" t="s">
        <v>57</v>
      </c>
      <c r="B202" s="111" t="s">
        <v>1055</v>
      </c>
      <c r="C202" t="s">
        <v>207</v>
      </c>
      <c r="D202" t="s">
        <v>208</v>
      </c>
      <c r="E202">
        <v>1006</v>
      </c>
      <c r="H202" s="100">
        <v>42960</v>
      </c>
      <c r="I202" t="s">
        <v>618</v>
      </c>
      <c r="L202" s="10" t="s">
        <v>64</v>
      </c>
      <c r="M202">
        <v>793</v>
      </c>
      <c r="N202">
        <v>93</v>
      </c>
      <c r="O202" s="9">
        <f t="shared" si="50"/>
        <v>700</v>
      </c>
      <c r="P202" s="35">
        <v>258</v>
      </c>
      <c r="Q202" s="35">
        <v>259</v>
      </c>
      <c r="R202" s="35">
        <v>259</v>
      </c>
      <c r="S202" s="24">
        <f t="shared" si="51"/>
        <v>258.66666666666669</v>
      </c>
      <c r="T202" s="35">
        <v>142</v>
      </c>
      <c r="U202" s="35">
        <v>142</v>
      </c>
      <c r="V202" s="35">
        <v>141</v>
      </c>
      <c r="W202" s="24">
        <f t="shared" si="52"/>
        <v>141.66666666666666</v>
      </c>
      <c r="X202" s="36">
        <v>9.32</v>
      </c>
      <c r="Y202" s="35">
        <v>9.49</v>
      </c>
      <c r="Z202" s="35">
        <v>9.07</v>
      </c>
      <c r="AA202" s="24">
        <f t="shared" si="53"/>
        <v>9.2933333333333348</v>
      </c>
      <c r="AB202" s="37">
        <v>45.77</v>
      </c>
      <c r="AC202" s="37">
        <v>45.62</v>
      </c>
      <c r="AD202" s="37">
        <v>45.36</v>
      </c>
      <c r="AE202" s="24">
        <f t="shared" si="58"/>
        <v>45.583333333333336</v>
      </c>
      <c r="AF202" s="37">
        <v>81</v>
      </c>
      <c r="AG202" s="37">
        <v>80.95</v>
      </c>
      <c r="AH202" s="37">
        <v>81.12</v>
      </c>
      <c r="AI202" s="24">
        <f t="shared" si="54"/>
        <v>81.023333333333326</v>
      </c>
      <c r="AS202" t="s">
        <v>65</v>
      </c>
      <c r="AT202">
        <v>8</v>
      </c>
      <c r="AU202">
        <v>6</v>
      </c>
      <c r="AV202">
        <v>0</v>
      </c>
      <c r="AX202" s="35">
        <v>51.22</v>
      </c>
      <c r="AY202" s="35">
        <v>51.28</v>
      </c>
      <c r="AZ202" s="35">
        <v>51.51</v>
      </c>
      <c r="BA202" s="24">
        <f t="shared" si="55"/>
        <v>51.336666666666666</v>
      </c>
      <c r="BB202" s="35">
        <v>30.45</v>
      </c>
      <c r="BC202" s="35">
        <v>30.66</v>
      </c>
      <c r="BD202" s="35">
        <v>30.69</v>
      </c>
      <c r="BE202" s="24">
        <f t="shared" si="56"/>
        <v>30.599999999999998</v>
      </c>
      <c r="BF202" s="35">
        <v>81.92</v>
      </c>
      <c r="BG202" s="35">
        <v>82.26</v>
      </c>
      <c r="BH202" s="35">
        <v>82.44</v>
      </c>
      <c r="BI202" s="24">
        <f t="shared" si="57"/>
        <v>82.206666666666663</v>
      </c>
      <c r="BK202" t="s">
        <v>51</v>
      </c>
      <c r="BL202" t="s">
        <v>51</v>
      </c>
      <c r="BU202" t="s">
        <v>980</v>
      </c>
    </row>
    <row r="203" spans="1:73" x14ac:dyDescent="0.25">
      <c r="A203" t="s">
        <v>57</v>
      </c>
      <c r="B203" s="111" t="s">
        <v>1084</v>
      </c>
      <c r="C203" t="s">
        <v>207</v>
      </c>
      <c r="D203" t="s">
        <v>208</v>
      </c>
      <c r="E203">
        <v>1354</v>
      </c>
      <c r="H203" s="100">
        <v>42962</v>
      </c>
      <c r="I203" t="s">
        <v>981</v>
      </c>
      <c r="K203" s="33">
        <v>1</v>
      </c>
      <c r="L203" s="10" t="s">
        <v>64</v>
      </c>
      <c r="M203">
        <v>576</v>
      </c>
      <c r="N203">
        <v>95</v>
      </c>
      <c r="O203" s="9">
        <f t="shared" si="50"/>
        <v>481</v>
      </c>
      <c r="P203" s="35">
        <v>224</v>
      </c>
      <c r="Q203" s="35">
        <v>224</v>
      </c>
      <c r="R203" s="35">
        <v>223</v>
      </c>
      <c r="S203" s="24">
        <f t="shared" si="51"/>
        <v>223.66666666666666</v>
      </c>
      <c r="T203" s="35">
        <v>125</v>
      </c>
      <c r="U203" s="35">
        <v>124</v>
      </c>
      <c r="V203" s="35">
        <v>124</v>
      </c>
      <c r="W203" s="24">
        <f t="shared" si="52"/>
        <v>124.33333333333333</v>
      </c>
      <c r="X203" s="36">
        <v>7.52</v>
      </c>
      <c r="Y203" s="35">
        <v>7.88</v>
      </c>
      <c r="Z203" s="35">
        <v>7.93</v>
      </c>
      <c r="AA203" s="24">
        <f t="shared" si="53"/>
        <v>7.7766666666666664</v>
      </c>
      <c r="AB203" s="37">
        <v>39.14</v>
      </c>
      <c r="AC203" s="37">
        <v>38.94</v>
      </c>
      <c r="AD203" s="37">
        <v>38.99</v>
      </c>
      <c r="AE203" s="24">
        <f t="shared" si="58"/>
        <v>39.023333333333333</v>
      </c>
      <c r="AF203" s="37">
        <v>68.02</v>
      </c>
      <c r="AG203" s="37">
        <v>67.84</v>
      </c>
      <c r="AH203" s="37">
        <v>67.95</v>
      </c>
      <c r="AI203" s="24">
        <f t="shared" si="54"/>
        <v>67.936666666666667</v>
      </c>
      <c r="AS203" t="s">
        <v>65</v>
      </c>
      <c r="AT203">
        <v>8</v>
      </c>
      <c r="AU203">
        <v>0</v>
      </c>
      <c r="AV203">
        <v>0</v>
      </c>
      <c r="AX203" s="35">
        <v>45.13</v>
      </c>
      <c r="AY203" s="35">
        <v>45.03</v>
      </c>
      <c r="AZ203" s="35">
        <v>45.45</v>
      </c>
      <c r="BA203" s="24">
        <f t="shared" si="55"/>
        <v>45.20333333333334</v>
      </c>
      <c r="BB203" s="35">
        <v>28.88</v>
      </c>
      <c r="BC203" s="35">
        <v>29.09</v>
      </c>
      <c r="BD203" s="35">
        <v>29.07</v>
      </c>
      <c r="BE203" s="24">
        <f t="shared" si="56"/>
        <v>29.013333333333332</v>
      </c>
      <c r="BF203" s="35">
        <v>66.739999999999995</v>
      </c>
      <c r="BG203" s="35">
        <v>66.540000000000006</v>
      </c>
      <c r="BH203" s="35">
        <v>66.430000000000007</v>
      </c>
      <c r="BI203" s="24">
        <f t="shared" si="57"/>
        <v>66.570000000000007</v>
      </c>
      <c r="BK203" t="s">
        <v>51</v>
      </c>
      <c r="BL203" t="s">
        <v>51</v>
      </c>
    </row>
    <row r="204" spans="1:73" s="176" customFormat="1" x14ac:dyDescent="0.25">
      <c r="A204" s="183" t="s">
        <v>1014</v>
      </c>
      <c r="B204" s="184"/>
      <c r="J204" s="177"/>
      <c r="K204" s="178"/>
      <c r="L204" s="179"/>
      <c r="O204" s="177"/>
      <c r="S204" s="180"/>
      <c r="W204" s="180"/>
      <c r="X204" s="181"/>
      <c r="AA204" s="180"/>
      <c r="AE204" s="180"/>
      <c r="AI204" s="24"/>
      <c r="AJ204" s="182"/>
      <c r="AK204" s="182"/>
      <c r="AL204" s="182"/>
      <c r="AM204" s="177"/>
      <c r="AN204" s="182"/>
      <c r="AO204" s="182"/>
      <c r="AP204" s="182"/>
      <c r="AQ204" s="177"/>
      <c r="AR204" s="179"/>
      <c r="AW204" s="177"/>
      <c r="BA204" s="180"/>
      <c r="BE204" s="180"/>
      <c r="BI204" s="180"/>
      <c r="BO204" s="177"/>
      <c r="BP204" s="182"/>
      <c r="BQ204" s="182"/>
      <c r="BR204" s="182"/>
      <c r="BS204" s="182"/>
      <c r="BT204" s="177"/>
    </row>
    <row r="205" spans="1:73" x14ac:dyDescent="0.25">
      <c r="A205" t="s">
        <v>57</v>
      </c>
      <c r="B205" s="111" t="s">
        <v>1090</v>
      </c>
      <c r="C205" t="s">
        <v>207</v>
      </c>
      <c r="D205" t="s">
        <v>982</v>
      </c>
      <c r="E205">
        <v>1368</v>
      </c>
      <c r="H205" s="100">
        <v>43004</v>
      </c>
      <c r="I205" t="s">
        <v>225</v>
      </c>
      <c r="K205" s="33">
        <v>1</v>
      </c>
      <c r="L205" s="10" t="s">
        <v>50</v>
      </c>
      <c r="M205">
        <v>1037</v>
      </c>
      <c r="N205">
        <v>93</v>
      </c>
      <c r="O205" s="9">
        <f t="shared" ref="O205:O215" si="59">M205-N205</f>
        <v>944</v>
      </c>
      <c r="P205" s="35">
        <v>265</v>
      </c>
      <c r="Q205" s="35">
        <v>266</v>
      </c>
      <c r="R205" s="35">
        <v>266</v>
      </c>
      <c r="S205" s="24">
        <f t="shared" ref="S205:S215" si="60">AVERAGE(P205:R205)</f>
        <v>265.66666666666669</v>
      </c>
      <c r="T205" s="35">
        <v>167</v>
      </c>
      <c r="U205" s="35">
        <v>166</v>
      </c>
      <c r="V205" s="35">
        <v>167</v>
      </c>
      <c r="W205" s="24">
        <f t="shared" ref="W205:W215" si="61">AVERAGE(T205:V205)</f>
        <v>166.66666666666666</v>
      </c>
      <c r="X205" s="36">
        <v>12.35</v>
      </c>
      <c r="Y205" s="35">
        <v>11.83</v>
      </c>
      <c r="Z205" s="35">
        <v>11.83</v>
      </c>
      <c r="AA205" s="24">
        <f t="shared" ref="AA205:AA215" si="62">AVERAGE(X205:Z205)</f>
        <v>12.003333333333332</v>
      </c>
      <c r="AB205">
        <v>50.9</v>
      </c>
      <c r="AC205" s="37">
        <v>50.8</v>
      </c>
      <c r="AD205" s="37">
        <v>51.05</v>
      </c>
      <c r="AE205" s="24">
        <f t="shared" ref="AE205:AE215" si="63">AVERAGE(AB205:AD205)</f>
        <v>50.916666666666664</v>
      </c>
      <c r="AF205" s="37">
        <v>89.89</v>
      </c>
      <c r="AG205" s="37">
        <v>89.89</v>
      </c>
      <c r="AH205" s="37">
        <v>90.21</v>
      </c>
      <c r="AI205" s="24">
        <f t="shared" ref="AI205:AI215" si="64">AVERAGE(AF205:AH205)</f>
        <v>89.99666666666667</v>
      </c>
      <c r="AJ205" s="37">
        <v>22.61</v>
      </c>
      <c r="AK205" s="37">
        <v>22.36</v>
      </c>
      <c r="AL205" s="37">
        <v>22.53</v>
      </c>
      <c r="AM205" s="24">
        <f>AVERAGE(AJ205:AL205)</f>
        <v>22.5</v>
      </c>
      <c r="AN205" s="37">
        <v>31.22</v>
      </c>
      <c r="AO205" s="37">
        <v>32.049999999999997</v>
      </c>
      <c r="AP205" s="37">
        <v>32.049999999999997</v>
      </c>
      <c r="AQ205" s="24">
        <f>AVERAGE(AN205:AP205)</f>
        <v>31.77333333333333</v>
      </c>
      <c r="AX205" s="35">
        <v>53.54</v>
      </c>
      <c r="AY205" s="35">
        <v>53.93</v>
      </c>
      <c r="AZ205" s="35">
        <v>53.21</v>
      </c>
      <c r="BA205" s="24">
        <f t="shared" ref="BA205:BA215" si="65">AVERAGE(AX205:AZ205)</f>
        <v>53.56</v>
      </c>
      <c r="BB205" s="35">
        <v>37.89</v>
      </c>
      <c r="BC205" s="35">
        <v>37.89</v>
      </c>
      <c r="BD205" s="35">
        <v>37.6</v>
      </c>
      <c r="BE205" s="24">
        <f t="shared" ref="BE205:BE215" si="66">AVERAGE(BB205:BD205)</f>
        <v>37.793333333333329</v>
      </c>
      <c r="BF205" s="35">
        <v>84.25</v>
      </c>
      <c r="BG205" s="35">
        <v>84.35</v>
      </c>
      <c r="BH205" s="35">
        <v>84</v>
      </c>
      <c r="BI205" s="24">
        <f t="shared" ref="BI205:BI215" si="67">AVERAGE(BF205:BH205)</f>
        <v>84.2</v>
      </c>
      <c r="BK205" t="s">
        <v>51</v>
      </c>
      <c r="BL205" t="s">
        <v>51</v>
      </c>
    </row>
    <row r="206" spans="1:73" x14ac:dyDescent="0.25">
      <c r="A206" t="s">
        <v>57</v>
      </c>
      <c r="B206" s="111" t="s">
        <v>1084</v>
      </c>
      <c r="C206" t="s">
        <v>207</v>
      </c>
      <c r="D206" t="s">
        <v>982</v>
      </c>
      <c r="E206">
        <v>1354</v>
      </c>
      <c r="H206" s="100">
        <v>43004</v>
      </c>
      <c r="I206" t="s">
        <v>981</v>
      </c>
      <c r="K206" s="33">
        <v>1</v>
      </c>
      <c r="L206" s="10" t="s">
        <v>64</v>
      </c>
      <c r="M206">
        <v>548</v>
      </c>
      <c r="N206">
        <v>93</v>
      </c>
      <c r="O206" s="9">
        <f t="shared" si="59"/>
        <v>455</v>
      </c>
      <c r="P206" s="35">
        <v>221</v>
      </c>
      <c r="Q206" s="35">
        <v>220</v>
      </c>
      <c r="R206" s="35">
        <v>220</v>
      </c>
      <c r="S206" s="24">
        <f t="shared" si="60"/>
        <v>220.33333333333334</v>
      </c>
      <c r="T206" s="35">
        <v>124</v>
      </c>
      <c r="U206" s="35">
        <v>125</v>
      </c>
      <c r="V206" s="35">
        <v>125</v>
      </c>
      <c r="W206" s="24">
        <f t="shared" si="61"/>
        <v>124.66666666666667</v>
      </c>
      <c r="X206" s="36">
        <v>7.7</v>
      </c>
      <c r="Y206" s="35">
        <v>7.86</v>
      </c>
      <c r="Z206" s="35">
        <v>8.1199999999999992</v>
      </c>
      <c r="AA206" s="24">
        <f t="shared" si="62"/>
        <v>7.8933333333333335</v>
      </c>
      <c r="AB206" s="37">
        <v>39.93</v>
      </c>
      <c r="AC206" s="37">
        <v>39.75</v>
      </c>
      <c r="AD206" s="37">
        <v>39.549999999999997</v>
      </c>
      <c r="AE206" s="24">
        <f t="shared" si="63"/>
        <v>39.743333333333332</v>
      </c>
      <c r="AF206" s="37">
        <v>70.59</v>
      </c>
      <c r="AG206" s="37">
        <v>70.59</v>
      </c>
      <c r="AH206" s="37">
        <v>70.64</v>
      </c>
      <c r="AI206" s="24">
        <f t="shared" si="64"/>
        <v>70.606666666666669</v>
      </c>
      <c r="AS206" t="s">
        <v>65</v>
      </c>
      <c r="AT206">
        <v>8</v>
      </c>
      <c r="AU206">
        <v>0</v>
      </c>
      <c r="AV206">
        <v>0</v>
      </c>
      <c r="AX206" s="35">
        <v>43.88</v>
      </c>
      <c r="AY206" s="35">
        <v>43.75</v>
      </c>
      <c r="AZ206" s="35">
        <v>44.11</v>
      </c>
      <c r="BA206" s="24">
        <f t="shared" si="65"/>
        <v>43.913333333333334</v>
      </c>
      <c r="BB206" s="35">
        <v>29.73</v>
      </c>
      <c r="BC206" s="35">
        <v>29.9</v>
      </c>
      <c r="BD206" s="35">
        <v>30.09</v>
      </c>
      <c r="BE206" s="24">
        <f t="shared" si="66"/>
        <v>29.906666666666666</v>
      </c>
      <c r="BF206" s="35">
        <v>76018</v>
      </c>
      <c r="BG206" s="35">
        <v>76.34</v>
      </c>
      <c r="BH206" s="35">
        <v>76.7</v>
      </c>
      <c r="BI206" s="24">
        <f t="shared" si="67"/>
        <v>25390.346666666665</v>
      </c>
      <c r="BK206" t="s">
        <v>51</v>
      </c>
      <c r="BL206" t="s">
        <v>51</v>
      </c>
    </row>
    <row r="207" spans="1:73" x14ac:dyDescent="0.25">
      <c r="A207" t="s">
        <v>57</v>
      </c>
      <c r="B207" s="111" t="s">
        <v>1082</v>
      </c>
      <c r="C207" t="s">
        <v>207</v>
      </c>
      <c r="D207" t="s">
        <v>982</v>
      </c>
      <c r="E207">
        <v>1403</v>
      </c>
      <c r="H207" s="100">
        <v>43004</v>
      </c>
      <c r="I207" t="s">
        <v>217</v>
      </c>
      <c r="K207" s="33" t="s">
        <v>61</v>
      </c>
      <c r="L207" s="10" t="s">
        <v>50</v>
      </c>
      <c r="M207">
        <v>734</v>
      </c>
      <c r="N207">
        <v>97</v>
      </c>
      <c r="O207" s="9">
        <f t="shared" si="59"/>
        <v>637</v>
      </c>
      <c r="P207" s="35">
        <v>245</v>
      </c>
      <c r="Q207" s="35">
        <v>244</v>
      </c>
      <c r="R207" s="35">
        <v>244</v>
      </c>
      <c r="S207" s="24">
        <f t="shared" si="60"/>
        <v>244.33333333333334</v>
      </c>
      <c r="T207" s="35">
        <v>150</v>
      </c>
      <c r="U207" s="35">
        <v>149</v>
      </c>
      <c r="V207" s="35">
        <v>149</v>
      </c>
      <c r="W207" s="24">
        <f t="shared" si="61"/>
        <v>149.33333333333334</v>
      </c>
      <c r="X207" s="36">
        <v>9.1999999999999993</v>
      </c>
      <c r="Y207" s="35">
        <v>9.3000000000000007</v>
      </c>
      <c r="Z207" s="35">
        <v>9.5299999999999994</v>
      </c>
      <c r="AA207" s="24">
        <f t="shared" si="62"/>
        <v>9.3433333333333337</v>
      </c>
      <c r="AB207" s="37">
        <v>45.35</v>
      </c>
      <c r="AC207" s="37">
        <v>45.33</v>
      </c>
      <c r="AD207" s="37">
        <v>45.17</v>
      </c>
      <c r="AE207" s="24">
        <f t="shared" si="63"/>
        <v>45.283333333333339</v>
      </c>
      <c r="AF207" s="37">
        <v>76.33</v>
      </c>
      <c r="AG207" s="37">
        <v>76.849999999999994</v>
      </c>
      <c r="AH207" s="37">
        <v>76.78</v>
      </c>
      <c r="AI207" s="24">
        <f t="shared" si="64"/>
        <v>76.653333333333336</v>
      </c>
      <c r="AJ207" s="37">
        <v>22.67</v>
      </c>
      <c r="AK207" s="37">
        <v>21.93</v>
      </c>
      <c r="AL207" s="37">
        <v>22.17</v>
      </c>
      <c r="AM207" s="24">
        <f>AVERAGE(AJ207:AL207)</f>
        <v>22.256666666666671</v>
      </c>
      <c r="AN207" s="37">
        <v>29.59</v>
      </c>
      <c r="AO207" s="37">
        <v>29.44</v>
      </c>
      <c r="AP207" s="37">
        <v>29.45</v>
      </c>
      <c r="AQ207" s="24">
        <f>AVERAGE(AN207:AP207)</f>
        <v>29.493333333333336</v>
      </c>
      <c r="AX207" s="35">
        <v>52.7</v>
      </c>
      <c r="AY207" s="35">
        <v>52.59</v>
      </c>
      <c r="AZ207" s="35">
        <v>52.51</v>
      </c>
      <c r="BA207" s="24">
        <f t="shared" si="65"/>
        <v>52.6</v>
      </c>
      <c r="BB207" s="35">
        <v>32.880000000000003</v>
      </c>
      <c r="BC207" s="35">
        <v>32.83</v>
      </c>
      <c r="BD207" s="35">
        <v>32.86</v>
      </c>
      <c r="BE207" s="24">
        <f t="shared" si="66"/>
        <v>32.856666666666669</v>
      </c>
      <c r="BF207" s="35">
        <v>81.5</v>
      </c>
      <c r="BG207" s="35">
        <v>81.459999999999994</v>
      </c>
      <c r="BH207" s="35">
        <v>81.650000000000006</v>
      </c>
      <c r="BI207" s="24">
        <f t="shared" si="67"/>
        <v>81.536666666666662</v>
      </c>
      <c r="BK207" t="s">
        <v>51</v>
      </c>
      <c r="BL207" t="s">
        <v>51</v>
      </c>
    </row>
    <row r="208" spans="1:73" x14ac:dyDescent="0.25">
      <c r="A208" t="s">
        <v>57</v>
      </c>
      <c r="B208" s="111" t="s">
        <v>1031</v>
      </c>
      <c r="C208" t="s">
        <v>207</v>
      </c>
      <c r="D208" t="s">
        <v>982</v>
      </c>
      <c r="E208">
        <v>1174</v>
      </c>
      <c r="H208" s="100">
        <v>43004</v>
      </c>
      <c r="I208" t="s">
        <v>217</v>
      </c>
      <c r="K208" s="33" t="s">
        <v>82</v>
      </c>
      <c r="L208" s="10" t="s">
        <v>64</v>
      </c>
      <c r="M208">
        <v>906</v>
      </c>
      <c r="N208">
        <v>92</v>
      </c>
      <c r="O208" s="9">
        <f t="shared" si="59"/>
        <v>814</v>
      </c>
      <c r="P208" s="35">
        <v>291</v>
      </c>
      <c r="Q208" s="35">
        <v>292</v>
      </c>
      <c r="R208" s="35">
        <v>292</v>
      </c>
      <c r="S208" s="24">
        <f t="shared" si="60"/>
        <v>291.66666666666669</v>
      </c>
      <c r="T208" s="35">
        <v>161</v>
      </c>
      <c r="U208" s="35">
        <v>160</v>
      </c>
      <c r="V208" s="35">
        <v>163</v>
      </c>
      <c r="W208" s="24">
        <f t="shared" si="61"/>
        <v>161.33333333333334</v>
      </c>
      <c r="X208" s="36">
        <v>9.7200000000000006</v>
      </c>
      <c r="Y208" s="35">
        <v>9.7100000000000009</v>
      </c>
      <c r="Z208" s="35">
        <v>9.7100000000000009</v>
      </c>
      <c r="AA208" s="24">
        <f t="shared" si="62"/>
        <v>9.7133333333333329</v>
      </c>
      <c r="AB208" s="37">
        <v>47.35</v>
      </c>
      <c r="AC208" s="37">
        <v>47.25</v>
      </c>
      <c r="AD208" s="37">
        <v>47.35</v>
      </c>
      <c r="AE208" s="24">
        <f t="shared" si="63"/>
        <v>47.316666666666663</v>
      </c>
      <c r="AF208" s="37">
        <v>91.79</v>
      </c>
      <c r="AG208" s="37">
        <v>91.55</v>
      </c>
      <c r="AH208" s="37">
        <v>91.76</v>
      </c>
      <c r="AI208" s="24">
        <f t="shared" si="64"/>
        <v>91.7</v>
      </c>
      <c r="AS208" t="s">
        <v>65</v>
      </c>
      <c r="AT208">
        <v>8</v>
      </c>
      <c r="AU208">
        <v>8</v>
      </c>
      <c r="AV208">
        <v>0</v>
      </c>
      <c r="AX208" s="35">
        <v>54.76</v>
      </c>
      <c r="AY208" s="35">
        <v>54.64</v>
      </c>
      <c r="AZ208" s="35">
        <v>54.34</v>
      </c>
      <c r="BA208" s="24">
        <f t="shared" si="65"/>
        <v>54.580000000000005</v>
      </c>
      <c r="BB208" s="35">
        <v>31.86</v>
      </c>
      <c r="BC208" s="35">
        <v>32.19</v>
      </c>
      <c r="BD208" s="35">
        <v>32.06</v>
      </c>
      <c r="BE208" s="24">
        <f t="shared" si="66"/>
        <v>32.036666666666669</v>
      </c>
      <c r="BF208" s="35">
        <v>55.72</v>
      </c>
      <c r="BG208" s="35">
        <v>56.06</v>
      </c>
      <c r="BH208" s="35">
        <v>55.57</v>
      </c>
      <c r="BI208" s="24">
        <f t="shared" si="67"/>
        <v>55.783333333333331</v>
      </c>
      <c r="BK208" t="s">
        <v>51</v>
      </c>
      <c r="BL208" t="s">
        <v>51</v>
      </c>
    </row>
    <row r="209" spans="1:73" x14ac:dyDescent="0.25">
      <c r="A209" t="s">
        <v>57</v>
      </c>
      <c r="B209" s="111" t="s">
        <v>604</v>
      </c>
      <c r="C209" t="s">
        <v>207</v>
      </c>
      <c r="D209" t="s">
        <v>982</v>
      </c>
      <c r="E209">
        <v>1396</v>
      </c>
      <c r="H209" s="100">
        <v>43004</v>
      </c>
      <c r="I209" t="s">
        <v>962</v>
      </c>
      <c r="K209" s="33">
        <v>1</v>
      </c>
      <c r="L209" s="10" t="s">
        <v>64</v>
      </c>
      <c r="M209">
        <v>738</v>
      </c>
      <c r="N209">
        <v>93</v>
      </c>
      <c r="O209" s="9">
        <f t="shared" si="59"/>
        <v>645</v>
      </c>
      <c r="P209" s="35">
        <v>240</v>
      </c>
      <c r="Q209" s="35">
        <v>239</v>
      </c>
      <c r="R209" s="35">
        <v>239</v>
      </c>
      <c r="S209" s="24">
        <f t="shared" si="60"/>
        <v>239.33333333333334</v>
      </c>
      <c r="T209" s="35">
        <v>0</v>
      </c>
      <c r="U209" s="35">
        <v>0</v>
      </c>
      <c r="V209" s="35">
        <v>0</v>
      </c>
      <c r="W209" s="24">
        <f t="shared" si="61"/>
        <v>0</v>
      </c>
      <c r="X209" s="36">
        <v>0</v>
      </c>
      <c r="Y209" s="35">
        <v>0</v>
      </c>
      <c r="Z209" s="35">
        <v>0</v>
      </c>
      <c r="AA209" s="24">
        <f t="shared" si="62"/>
        <v>0</v>
      </c>
      <c r="AB209" s="37">
        <v>45.26</v>
      </c>
      <c r="AC209" s="37">
        <v>45.39</v>
      </c>
      <c r="AD209" s="37">
        <v>45.32</v>
      </c>
      <c r="AE209" s="24">
        <f t="shared" si="63"/>
        <v>45.323333333333331</v>
      </c>
      <c r="AF209" s="37">
        <v>84.54</v>
      </c>
      <c r="AG209" s="37">
        <v>84.73</v>
      </c>
      <c r="AH209" s="37">
        <v>84.55</v>
      </c>
      <c r="AI209" s="24">
        <f t="shared" si="64"/>
        <v>84.606666666666669</v>
      </c>
      <c r="AS209" t="s">
        <v>65</v>
      </c>
      <c r="AT209">
        <v>8</v>
      </c>
      <c r="AU209">
        <v>0</v>
      </c>
      <c r="AV209">
        <v>0</v>
      </c>
      <c r="AX209" s="35">
        <v>51.36</v>
      </c>
      <c r="AY209" s="35">
        <v>51.58</v>
      </c>
      <c r="AZ209" s="35">
        <v>51.77</v>
      </c>
      <c r="BA209" s="24">
        <f t="shared" si="65"/>
        <v>51.57</v>
      </c>
      <c r="BB209" s="35">
        <v>31.3</v>
      </c>
      <c r="BC209" s="35">
        <v>31.31</v>
      </c>
      <c r="BD209" s="35">
        <v>31.35</v>
      </c>
      <c r="BE209" s="24">
        <f t="shared" si="66"/>
        <v>31.320000000000004</v>
      </c>
      <c r="BF209" s="35">
        <v>78.040000000000006</v>
      </c>
      <c r="BG209" s="35">
        <v>78.03</v>
      </c>
      <c r="BH209" s="35">
        <v>78.400000000000006</v>
      </c>
      <c r="BI209" s="24">
        <f t="shared" si="67"/>
        <v>78.156666666666666</v>
      </c>
      <c r="BK209" t="s">
        <v>51</v>
      </c>
      <c r="BL209" t="s">
        <v>51</v>
      </c>
      <c r="BU209" t="s">
        <v>983</v>
      </c>
    </row>
    <row r="210" spans="1:73" x14ac:dyDescent="0.25">
      <c r="A210" t="s">
        <v>57</v>
      </c>
      <c r="B210" s="111" t="s">
        <v>1070</v>
      </c>
      <c r="C210" t="s">
        <v>207</v>
      </c>
      <c r="D210" t="s">
        <v>982</v>
      </c>
      <c r="E210">
        <v>1056</v>
      </c>
      <c r="H210" s="100">
        <v>43004</v>
      </c>
      <c r="I210" t="s">
        <v>92</v>
      </c>
      <c r="K210" s="33">
        <v>3</v>
      </c>
      <c r="L210" s="10" t="s">
        <v>50</v>
      </c>
      <c r="M210">
        <v>1575</v>
      </c>
      <c r="N210">
        <v>95</v>
      </c>
      <c r="O210" s="9">
        <f t="shared" si="59"/>
        <v>1480</v>
      </c>
      <c r="P210" s="35">
        <v>315</v>
      </c>
      <c r="Q210" s="35">
        <v>316</v>
      </c>
      <c r="R210" s="35">
        <v>316</v>
      </c>
      <c r="S210" s="24">
        <f t="shared" si="60"/>
        <v>315.66666666666669</v>
      </c>
      <c r="T210" s="35">
        <v>155</v>
      </c>
      <c r="U210" s="35">
        <v>156</v>
      </c>
      <c r="V210" s="35">
        <v>156</v>
      </c>
      <c r="W210" s="24">
        <f t="shared" si="61"/>
        <v>155.66666666666666</v>
      </c>
      <c r="X210" s="36">
        <v>12.48</v>
      </c>
      <c r="Y210" s="35">
        <v>12.51</v>
      </c>
      <c r="Z210" s="35">
        <v>12.64</v>
      </c>
      <c r="AA210" s="24">
        <f t="shared" si="62"/>
        <v>12.543333333333335</v>
      </c>
      <c r="AB210" s="37">
        <v>51.75</v>
      </c>
      <c r="AC210" s="37">
        <v>51.9</v>
      </c>
      <c r="AD210" s="37">
        <v>51.91</v>
      </c>
      <c r="AE210" s="24">
        <f t="shared" si="63"/>
        <v>51.853333333333332</v>
      </c>
      <c r="AF210" s="37">
        <v>99.55</v>
      </c>
      <c r="AG210" s="37">
        <v>100.17</v>
      </c>
      <c r="AH210" s="37">
        <v>100.36</v>
      </c>
      <c r="AI210" s="24">
        <f t="shared" si="64"/>
        <v>100.02666666666666</v>
      </c>
      <c r="AJ210" s="37">
        <v>34.44</v>
      </c>
      <c r="AK210" s="37">
        <v>34.36</v>
      </c>
      <c r="AL210" s="37">
        <v>34.56</v>
      </c>
      <c r="AM210" s="24">
        <f>AVERAGE(AJ210:AL210)</f>
        <v>34.453333333333333</v>
      </c>
      <c r="AN210" s="37">
        <v>23.21</v>
      </c>
      <c r="AO210" s="37">
        <v>23.53</v>
      </c>
      <c r="AP210" s="37">
        <v>23.65</v>
      </c>
      <c r="AQ210" s="24">
        <f>AVERAGE(AN210:AP210)</f>
        <v>23.463333333333335</v>
      </c>
      <c r="AX210" s="35">
        <v>63.75</v>
      </c>
      <c r="AY210" s="35">
        <v>63.25</v>
      </c>
      <c r="AZ210" s="35">
        <v>63.67</v>
      </c>
      <c r="BA210" s="24">
        <f t="shared" si="65"/>
        <v>63.556666666666672</v>
      </c>
      <c r="BB210" s="35">
        <v>37.130000000000003</v>
      </c>
      <c r="BC210" s="35">
        <v>36.71</v>
      </c>
      <c r="BD210" s="35">
        <v>37.17</v>
      </c>
      <c r="BE210" s="24">
        <f t="shared" si="66"/>
        <v>37.003333333333337</v>
      </c>
      <c r="BF210" s="35">
        <v>90.93</v>
      </c>
      <c r="BG210" s="35">
        <v>90.21</v>
      </c>
      <c r="BH210" s="35">
        <v>89.72</v>
      </c>
      <c r="BI210" s="24">
        <f t="shared" si="67"/>
        <v>90.286666666666676</v>
      </c>
      <c r="BK210" t="s">
        <v>51</v>
      </c>
      <c r="BL210" t="s">
        <v>51</v>
      </c>
    </row>
    <row r="211" spans="1:73" x14ac:dyDescent="0.25">
      <c r="A211" t="s">
        <v>57</v>
      </c>
      <c r="B211" s="111" t="s">
        <v>396</v>
      </c>
      <c r="C211" t="s">
        <v>207</v>
      </c>
      <c r="D211" t="s">
        <v>982</v>
      </c>
      <c r="E211">
        <v>1365</v>
      </c>
      <c r="H211" s="100">
        <v>43004</v>
      </c>
      <c r="I211" t="s">
        <v>984</v>
      </c>
      <c r="K211" s="33">
        <v>1</v>
      </c>
      <c r="L211" s="10" t="s">
        <v>64</v>
      </c>
      <c r="M211">
        <v>685</v>
      </c>
      <c r="N211">
        <v>89</v>
      </c>
      <c r="O211" s="9">
        <f t="shared" si="59"/>
        <v>596</v>
      </c>
      <c r="P211" s="35">
        <v>250</v>
      </c>
      <c r="Q211" s="35">
        <v>250</v>
      </c>
      <c r="R211" s="35">
        <v>249</v>
      </c>
      <c r="S211" s="24">
        <f t="shared" si="60"/>
        <v>249.66666666666666</v>
      </c>
      <c r="T211" s="35">
        <v>135</v>
      </c>
      <c r="U211" s="35">
        <v>136</v>
      </c>
      <c r="V211" s="35">
        <v>136</v>
      </c>
      <c r="W211" s="24">
        <f t="shared" si="61"/>
        <v>135.66666666666666</v>
      </c>
      <c r="X211" s="36">
        <v>9.1199999999999992</v>
      </c>
      <c r="Y211" s="35">
        <v>8.9499999999999993</v>
      </c>
      <c r="Z211" s="35">
        <v>9.2200000000000006</v>
      </c>
      <c r="AA211" s="24">
        <f t="shared" si="62"/>
        <v>9.0966666666666658</v>
      </c>
      <c r="AB211" s="37">
        <v>41.55</v>
      </c>
      <c r="AC211" s="37">
        <v>42.01</v>
      </c>
      <c r="AD211" s="37">
        <v>41.57</v>
      </c>
      <c r="AE211" s="24">
        <f t="shared" si="63"/>
        <v>41.71</v>
      </c>
      <c r="AF211" s="37">
        <v>73.010000000000005</v>
      </c>
      <c r="AG211" s="37">
        <v>72.489999999999995</v>
      </c>
      <c r="AH211" s="37">
        <v>73.13</v>
      </c>
      <c r="AI211" s="24">
        <f t="shared" si="64"/>
        <v>72.876666666666665</v>
      </c>
      <c r="AS211" t="s">
        <v>70</v>
      </c>
      <c r="AT211">
        <v>8</v>
      </c>
      <c r="AU211">
        <v>0</v>
      </c>
      <c r="AV211">
        <v>0</v>
      </c>
      <c r="AX211" s="35">
        <v>49.6</v>
      </c>
      <c r="AY211" s="35">
        <v>49.3</v>
      </c>
      <c r="AZ211" s="35">
        <v>49.26</v>
      </c>
      <c r="BA211" s="24">
        <f t="shared" si="65"/>
        <v>49.386666666666663</v>
      </c>
      <c r="BB211" s="35">
        <v>30.28</v>
      </c>
      <c r="BC211" s="35">
        <v>29.67</v>
      </c>
      <c r="BD211" s="35">
        <v>29.93</v>
      </c>
      <c r="BE211" s="24">
        <f t="shared" si="66"/>
        <v>29.959999999999997</v>
      </c>
      <c r="BF211" s="35">
        <v>85.56</v>
      </c>
      <c r="BG211" s="35">
        <v>86.24</v>
      </c>
      <c r="BH211" s="35">
        <v>86.06</v>
      </c>
      <c r="BI211" s="24">
        <f t="shared" si="67"/>
        <v>85.953333333333333</v>
      </c>
      <c r="BK211" t="s">
        <v>51</v>
      </c>
      <c r="BL211" t="s">
        <v>51</v>
      </c>
    </row>
    <row r="212" spans="1:73" x14ac:dyDescent="0.25">
      <c r="A212" t="s">
        <v>57</v>
      </c>
      <c r="B212" s="111" t="s">
        <v>1091</v>
      </c>
      <c r="C212" t="s">
        <v>207</v>
      </c>
      <c r="D212" t="s">
        <v>982</v>
      </c>
      <c r="E212">
        <v>1369</v>
      </c>
      <c r="H212" s="100">
        <v>43004</v>
      </c>
      <c r="I212" t="s">
        <v>227</v>
      </c>
      <c r="K212" s="33">
        <v>1</v>
      </c>
      <c r="L212" s="10" t="s">
        <v>50</v>
      </c>
      <c r="M212">
        <v>882</v>
      </c>
      <c r="N212">
        <v>93</v>
      </c>
      <c r="O212" s="9">
        <f t="shared" si="59"/>
        <v>789</v>
      </c>
      <c r="P212" s="35">
        <v>262</v>
      </c>
      <c r="Q212" s="35">
        <v>261</v>
      </c>
      <c r="R212" s="35">
        <v>262</v>
      </c>
      <c r="S212" s="24">
        <f t="shared" si="60"/>
        <v>261.66666666666669</v>
      </c>
      <c r="T212" s="35">
        <v>151</v>
      </c>
      <c r="U212" s="35">
        <v>150</v>
      </c>
      <c r="V212" s="35">
        <v>151</v>
      </c>
      <c r="W212" s="24">
        <f t="shared" si="61"/>
        <v>150.66666666666666</v>
      </c>
      <c r="X212" s="36">
        <v>9</v>
      </c>
      <c r="Y212" s="35">
        <v>9.0399999999999991</v>
      </c>
      <c r="Z212" s="35">
        <v>8.9499999999999993</v>
      </c>
      <c r="AA212" s="24">
        <f t="shared" si="62"/>
        <v>8.9966666666666661</v>
      </c>
      <c r="AB212" s="37">
        <v>45.66</v>
      </c>
      <c r="AC212" s="37">
        <v>46.11</v>
      </c>
      <c r="AD212" s="37">
        <v>45.57</v>
      </c>
      <c r="AE212" s="24">
        <f t="shared" si="63"/>
        <v>45.78</v>
      </c>
      <c r="AF212" s="37">
        <v>85.07</v>
      </c>
      <c r="AG212" s="37">
        <v>84.49</v>
      </c>
      <c r="AH212" s="37">
        <v>85.09</v>
      </c>
      <c r="AI212" s="24">
        <f t="shared" si="64"/>
        <v>84.88333333333334</v>
      </c>
      <c r="AJ212" s="37">
        <v>28.28</v>
      </c>
      <c r="AK212" s="37">
        <v>28.88</v>
      </c>
      <c r="AL212" s="37">
        <v>28.72</v>
      </c>
      <c r="AM212" s="24">
        <f>AVERAGE(AJ212:AL212)</f>
        <v>28.626666666666665</v>
      </c>
      <c r="AN212" s="37">
        <v>20.09</v>
      </c>
      <c r="AO212" s="37">
        <v>20.6</v>
      </c>
      <c r="AP212" s="37">
        <v>20.52</v>
      </c>
      <c r="AQ212" s="24">
        <f>AVERAGE(AN212:AP212)</f>
        <v>20.403333333333332</v>
      </c>
      <c r="AX212" s="35">
        <v>53.17</v>
      </c>
      <c r="AY212" s="35">
        <v>52.68</v>
      </c>
      <c r="AZ212" s="35">
        <v>52.74</v>
      </c>
      <c r="BA212" s="24">
        <f t="shared" si="65"/>
        <v>52.863333333333337</v>
      </c>
      <c r="BB212" s="35">
        <v>33.1</v>
      </c>
      <c r="BC212" s="35">
        <v>32.58</v>
      </c>
      <c r="BD212" s="35">
        <v>32.729999999999997</v>
      </c>
      <c r="BE212" s="24">
        <f t="shared" si="66"/>
        <v>32.803333333333335</v>
      </c>
      <c r="BF212" s="35">
        <v>84</v>
      </c>
      <c r="BG212" s="35">
        <v>83.41</v>
      </c>
      <c r="BH212" s="35">
        <v>83.51</v>
      </c>
      <c r="BI212" s="24">
        <f t="shared" si="67"/>
        <v>83.64</v>
      </c>
      <c r="BK212" t="s">
        <v>51</v>
      </c>
      <c r="BL212" t="s">
        <v>51</v>
      </c>
    </row>
    <row r="213" spans="1:73" x14ac:dyDescent="0.25">
      <c r="A213" t="s">
        <v>57</v>
      </c>
      <c r="B213" s="111" t="s">
        <v>1025</v>
      </c>
      <c r="C213" t="s">
        <v>207</v>
      </c>
      <c r="D213" t="s">
        <v>982</v>
      </c>
      <c r="E213">
        <v>1390</v>
      </c>
      <c r="H213" s="100">
        <v>43006</v>
      </c>
      <c r="I213" t="s">
        <v>985</v>
      </c>
      <c r="K213" s="33" t="s">
        <v>82</v>
      </c>
      <c r="L213" s="10" t="s">
        <v>50</v>
      </c>
      <c r="M213">
        <v>1146</v>
      </c>
      <c r="N213">
        <v>95</v>
      </c>
      <c r="O213" s="9">
        <f t="shared" si="59"/>
        <v>1051</v>
      </c>
      <c r="P213" s="35">
        <v>301</v>
      </c>
      <c r="Q213" s="35">
        <v>300</v>
      </c>
      <c r="R213" s="35">
        <v>300</v>
      </c>
      <c r="S213" s="24">
        <f t="shared" si="60"/>
        <v>300.33333333333331</v>
      </c>
      <c r="T213" s="35">
        <v>153</v>
      </c>
      <c r="U213" s="35">
        <v>152</v>
      </c>
      <c r="V213" s="35">
        <v>152</v>
      </c>
      <c r="W213" s="24">
        <f t="shared" si="61"/>
        <v>152.33333333333334</v>
      </c>
      <c r="X213" s="36">
        <v>10.19</v>
      </c>
      <c r="Y213" s="35">
        <v>10.6</v>
      </c>
      <c r="Z213" s="35">
        <v>10.51</v>
      </c>
      <c r="AA213" s="24">
        <f t="shared" si="62"/>
        <v>10.433333333333332</v>
      </c>
      <c r="AB213" s="37">
        <v>49.16</v>
      </c>
      <c r="AC213" s="37">
        <v>49.04</v>
      </c>
      <c r="AD213" s="37">
        <v>48.96</v>
      </c>
      <c r="AE213" s="24">
        <f t="shared" si="63"/>
        <v>49.053333333333335</v>
      </c>
      <c r="AF213" s="37">
        <v>97.31</v>
      </c>
      <c r="AG213" s="37">
        <v>97.09</v>
      </c>
      <c r="AH213" s="37">
        <v>96.74</v>
      </c>
      <c r="AI213" s="24">
        <f t="shared" si="64"/>
        <v>97.046666666666667</v>
      </c>
      <c r="AJ213" s="37">
        <v>31.17</v>
      </c>
      <c r="AK213" s="37">
        <v>31.42</v>
      </c>
      <c r="AL213" s="37">
        <v>31.58</v>
      </c>
      <c r="AM213" s="24">
        <f>AVERAGE(AJ213:AL213)</f>
        <v>31.39</v>
      </c>
      <c r="AN213" s="37">
        <v>24.59</v>
      </c>
      <c r="AO213" s="37">
        <v>25.01</v>
      </c>
      <c r="AP213" s="37">
        <v>25.04</v>
      </c>
      <c r="AQ213" s="24">
        <f>AVERAGE(AN213:AP213)</f>
        <v>24.88</v>
      </c>
      <c r="AX213" s="35">
        <v>59.11</v>
      </c>
      <c r="AY213" s="35">
        <v>59.49</v>
      </c>
      <c r="AZ213" s="35">
        <v>59.56</v>
      </c>
      <c r="BA213" s="24">
        <f t="shared" si="65"/>
        <v>59.386666666666663</v>
      </c>
      <c r="BB213" s="35">
        <v>34.96</v>
      </c>
      <c r="BC213" s="35">
        <v>34.770000000000003</v>
      </c>
      <c r="BD213" s="35">
        <v>35.04</v>
      </c>
      <c r="BE213" s="24">
        <f t="shared" si="66"/>
        <v>34.923333333333339</v>
      </c>
      <c r="BF213" s="35">
        <v>94.51</v>
      </c>
      <c r="BG213" s="35">
        <v>94.2</v>
      </c>
      <c r="BH213" s="35">
        <v>95.12</v>
      </c>
      <c r="BI213" s="24">
        <f t="shared" si="67"/>
        <v>94.610000000000014</v>
      </c>
      <c r="BK213" t="s">
        <v>51</v>
      </c>
      <c r="BL213" t="s">
        <v>51</v>
      </c>
    </row>
    <row r="214" spans="1:73" x14ac:dyDescent="0.25">
      <c r="A214" t="s">
        <v>57</v>
      </c>
      <c r="B214" s="111" t="s">
        <v>1098</v>
      </c>
      <c r="C214" t="s">
        <v>49</v>
      </c>
      <c r="D214" t="s">
        <v>982</v>
      </c>
      <c r="E214">
        <v>1399</v>
      </c>
      <c r="H214" s="100">
        <v>43006</v>
      </c>
      <c r="I214" t="s">
        <v>605</v>
      </c>
      <c r="K214" s="33">
        <v>1</v>
      </c>
      <c r="L214" s="10" t="s">
        <v>50</v>
      </c>
      <c r="M214">
        <v>652</v>
      </c>
      <c r="N214">
        <v>95</v>
      </c>
      <c r="O214" s="9">
        <f t="shared" si="59"/>
        <v>557</v>
      </c>
      <c r="P214" s="35">
        <v>232</v>
      </c>
      <c r="Q214" s="35">
        <v>233</v>
      </c>
      <c r="R214" s="35">
        <v>233</v>
      </c>
      <c r="S214" s="24">
        <f t="shared" si="60"/>
        <v>232.66666666666666</v>
      </c>
      <c r="T214" s="35">
        <v>155</v>
      </c>
      <c r="U214" s="35">
        <v>154</v>
      </c>
      <c r="V214" s="35">
        <v>154</v>
      </c>
      <c r="W214" s="24">
        <f t="shared" si="61"/>
        <v>154.33333333333334</v>
      </c>
      <c r="X214" s="36">
        <v>7.49</v>
      </c>
      <c r="Y214" s="35">
        <v>7.65</v>
      </c>
      <c r="Z214" s="35">
        <v>7.3</v>
      </c>
      <c r="AA214" s="24">
        <f t="shared" si="62"/>
        <v>7.48</v>
      </c>
      <c r="AB214" s="37">
        <v>44.67</v>
      </c>
      <c r="AC214" s="37">
        <v>44.54</v>
      </c>
      <c r="AD214" s="37">
        <v>44.57</v>
      </c>
      <c r="AE214" s="24">
        <f t="shared" si="63"/>
        <v>44.593333333333334</v>
      </c>
      <c r="AF214" s="37">
        <v>78.489999999999995</v>
      </c>
      <c r="AG214" s="37">
        <v>78.430000000000007</v>
      </c>
      <c r="AH214" s="37">
        <v>78.53</v>
      </c>
      <c r="AI214" s="24">
        <f t="shared" si="64"/>
        <v>78.483333333333334</v>
      </c>
      <c r="AJ214" s="37">
        <v>27.69</v>
      </c>
      <c r="AK214" s="37">
        <v>27.48</v>
      </c>
      <c r="AL214" s="37">
        <v>27.54</v>
      </c>
      <c r="AM214" s="24">
        <f>AVERAGE(AJ214:AL214)</f>
        <v>27.570000000000004</v>
      </c>
      <c r="AN214" s="37">
        <v>20.71</v>
      </c>
      <c r="AO214" s="37">
        <v>20.82</v>
      </c>
      <c r="AP214" s="37">
        <v>20</v>
      </c>
      <c r="AQ214" s="24">
        <f>AVERAGE(AN214:AP214)</f>
        <v>20.51</v>
      </c>
      <c r="AX214" s="35">
        <v>50.82</v>
      </c>
      <c r="AY214" s="35">
        <v>50.31</v>
      </c>
      <c r="AZ214" s="35">
        <v>50.76</v>
      </c>
      <c r="BA214" s="24">
        <f t="shared" si="65"/>
        <v>50.629999999999995</v>
      </c>
      <c r="BB214" s="35">
        <v>30.02</v>
      </c>
      <c r="BC214" s="35">
        <v>29.28</v>
      </c>
      <c r="BD214" s="35">
        <v>29.34</v>
      </c>
      <c r="BE214" s="24">
        <f t="shared" si="66"/>
        <v>29.546666666666667</v>
      </c>
      <c r="BF214" s="35">
        <v>81.41</v>
      </c>
      <c r="BG214" s="35">
        <v>81.33</v>
      </c>
      <c r="BH214" s="35">
        <v>81.739999999999995</v>
      </c>
      <c r="BI214" s="24">
        <f t="shared" si="67"/>
        <v>81.493333333333339</v>
      </c>
      <c r="BJ214" t="s">
        <v>51</v>
      </c>
      <c r="BK214" t="s">
        <v>51</v>
      </c>
      <c r="BL214" t="s">
        <v>51</v>
      </c>
    </row>
    <row r="215" spans="1:73" x14ac:dyDescent="0.25">
      <c r="A215" t="s">
        <v>57</v>
      </c>
      <c r="B215" s="111" t="s">
        <v>1083</v>
      </c>
      <c r="C215" t="s">
        <v>207</v>
      </c>
      <c r="D215" t="s">
        <v>982</v>
      </c>
      <c r="E215">
        <v>1353</v>
      </c>
      <c r="H215" s="100">
        <v>43006</v>
      </c>
      <c r="I215" t="s">
        <v>223</v>
      </c>
      <c r="K215" s="33">
        <v>1</v>
      </c>
      <c r="L215" s="10" t="s">
        <v>64</v>
      </c>
      <c r="M215">
        <v>694</v>
      </c>
      <c r="N215">
        <v>95</v>
      </c>
      <c r="O215" s="9">
        <f t="shared" si="59"/>
        <v>599</v>
      </c>
      <c r="P215" s="35">
        <v>235</v>
      </c>
      <c r="Q215" s="35">
        <v>235</v>
      </c>
      <c r="R215" s="35">
        <v>236</v>
      </c>
      <c r="S215" s="24">
        <f t="shared" si="60"/>
        <v>235.33333333333334</v>
      </c>
      <c r="T215" s="35">
        <v>142</v>
      </c>
      <c r="U215" s="35">
        <v>142</v>
      </c>
      <c r="V215" s="35">
        <v>143</v>
      </c>
      <c r="W215" s="24">
        <f t="shared" si="61"/>
        <v>142.33333333333334</v>
      </c>
      <c r="X215" s="36">
        <v>8.07</v>
      </c>
      <c r="Y215" s="35">
        <v>7.97</v>
      </c>
      <c r="Z215" s="35">
        <v>8.41</v>
      </c>
      <c r="AA215" s="24">
        <f t="shared" si="62"/>
        <v>8.15</v>
      </c>
      <c r="AB215" s="37">
        <v>41.11</v>
      </c>
      <c r="AC215" s="37">
        <v>40.93</v>
      </c>
      <c r="AD215" s="37">
        <v>40.729999999999997</v>
      </c>
      <c r="AE215" s="24">
        <f t="shared" si="63"/>
        <v>40.923333333333325</v>
      </c>
      <c r="AF215" s="37">
        <v>77.209999999999994</v>
      </c>
      <c r="AG215" s="37">
        <v>77.66</v>
      </c>
      <c r="AH215" s="37">
        <v>77.42</v>
      </c>
      <c r="AI215" s="24">
        <f t="shared" si="64"/>
        <v>77.430000000000007</v>
      </c>
      <c r="AS215" t="s">
        <v>65</v>
      </c>
      <c r="AT215">
        <v>8</v>
      </c>
      <c r="AU215">
        <v>0</v>
      </c>
      <c r="AV215">
        <v>0</v>
      </c>
      <c r="AX215" s="35">
        <v>49.49</v>
      </c>
      <c r="AY215" s="35">
        <v>49.02</v>
      </c>
      <c r="AZ215" s="35">
        <v>48.64</v>
      </c>
      <c r="BA215" s="24">
        <f t="shared" si="65"/>
        <v>49.050000000000004</v>
      </c>
      <c r="BB215" s="35">
        <v>31.92</v>
      </c>
      <c r="BC215" s="35">
        <v>31.44</v>
      </c>
      <c r="BD215" s="35">
        <v>31.6</v>
      </c>
      <c r="BE215" s="24">
        <f t="shared" si="66"/>
        <v>31.653333333333336</v>
      </c>
      <c r="BF215" s="35">
        <v>81.739999999999995</v>
      </c>
      <c r="BG215" s="35">
        <v>82.5</v>
      </c>
      <c r="BH215" s="35">
        <v>82.3</v>
      </c>
      <c r="BI215" s="24">
        <f t="shared" si="67"/>
        <v>82.18</v>
      </c>
      <c r="BK215" t="s">
        <v>51</v>
      </c>
      <c r="BL215" t="s">
        <v>51</v>
      </c>
    </row>
    <row r="216" spans="1:73" s="176" customFormat="1" x14ac:dyDescent="0.25">
      <c r="A216" s="183" t="s">
        <v>986</v>
      </c>
      <c r="B216" s="184"/>
      <c r="J216" s="177"/>
      <c r="K216" s="178"/>
      <c r="L216" s="179"/>
      <c r="O216" s="177"/>
      <c r="S216" s="180"/>
      <c r="W216" s="180"/>
      <c r="X216" s="181"/>
      <c r="AA216" s="180"/>
      <c r="AE216" s="180"/>
      <c r="AI216" s="180"/>
      <c r="AJ216" s="182"/>
      <c r="AK216" s="182"/>
      <c r="AL216" s="182"/>
      <c r="AM216" s="177"/>
      <c r="AN216" s="182"/>
      <c r="AO216" s="182"/>
      <c r="AP216" s="182"/>
      <c r="AQ216" s="177"/>
      <c r="AR216" s="179"/>
      <c r="AW216" s="177"/>
      <c r="BA216" s="180"/>
      <c r="BE216" s="180"/>
      <c r="BI216" s="180"/>
      <c r="BO216" s="177"/>
      <c r="BP216" s="182"/>
      <c r="BQ216" s="182"/>
      <c r="BR216" s="182"/>
      <c r="BS216" s="182"/>
      <c r="BT216" s="177"/>
    </row>
    <row r="217" spans="1:73" x14ac:dyDescent="0.25">
      <c r="A217" t="s">
        <v>57</v>
      </c>
      <c r="B217" s="111" t="s">
        <v>1081</v>
      </c>
      <c r="C217" t="s">
        <v>207</v>
      </c>
      <c r="D217" t="s">
        <v>615</v>
      </c>
      <c r="E217">
        <v>1402</v>
      </c>
      <c r="H217" s="100">
        <v>43167</v>
      </c>
      <c r="I217" t="s">
        <v>215</v>
      </c>
      <c r="K217" s="33">
        <v>4</v>
      </c>
      <c r="L217" s="10" t="s">
        <v>64</v>
      </c>
      <c r="M217">
        <v>996</v>
      </c>
      <c r="N217">
        <v>97</v>
      </c>
      <c r="O217" s="9">
        <f t="shared" ref="O217:O222" si="68">M217-N217</f>
        <v>899</v>
      </c>
      <c r="P217" s="35">
        <v>285</v>
      </c>
      <c r="Q217" s="35">
        <v>285</v>
      </c>
      <c r="R217" s="35">
        <v>284</v>
      </c>
      <c r="S217" s="24">
        <f t="shared" ref="S217:S222" si="69">AVERAGE(P217:R217)</f>
        <v>284.66666666666669</v>
      </c>
      <c r="T217" s="35">
        <v>151</v>
      </c>
      <c r="U217" s="35">
        <v>152</v>
      </c>
      <c r="V217" s="35">
        <v>151</v>
      </c>
      <c r="W217" s="24">
        <f t="shared" ref="W217:W222" si="70">AVERAGE(T217:V217)</f>
        <v>151.33333333333334</v>
      </c>
      <c r="X217" s="36">
        <v>9.3000000000000007</v>
      </c>
      <c r="Y217" s="35">
        <v>9.5399999999999991</v>
      </c>
      <c r="Z217" s="35">
        <v>9.8000000000000007</v>
      </c>
      <c r="AA217" s="24">
        <f t="shared" ref="AA217:AA222" si="71">AVERAGE(X217:Z217)</f>
        <v>9.5466666666666669</v>
      </c>
      <c r="AB217" s="37">
        <v>45.22</v>
      </c>
      <c r="AC217" s="37">
        <v>45.45</v>
      </c>
      <c r="AD217" s="37">
        <v>45.74</v>
      </c>
      <c r="AE217" s="24">
        <f t="shared" ref="AE217:AE222" si="72">AVERAGE(AB217:AD217)</f>
        <v>45.47</v>
      </c>
      <c r="AF217" s="37">
        <v>84.71</v>
      </c>
      <c r="AG217" s="37">
        <v>84.7</v>
      </c>
      <c r="AH217" s="37">
        <v>84.67</v>
      </c>
      <c r="AI217" s="24">
        <f t="shared" ref="AI217:AI222" si="73">AVERAGE(AF217:AH217)</f>
        <v>84.693333333333328</v>
      </c>
      <c r="AS217" t="s">
        <v>65</v>
      </c>
      <c r="AT217">
        <v>8</v>
      </c>
      <c r="AU217">
        <v>2</v>
      </c>
      <c r="AV217">
        <v>2</v>
      </c>
      <c r="AW217" s="9">
        <v>14.49</v>
      </c>
      <c r="AX217" s="37">
        <v>51.77</v>
      </c>
      <c r="AY217" s="37">
        <v>51.57</v>
      </c>
      <c r="AZ217" s="37">
        <v>51.64</v>
      </c>
      <c r="BA217" s="24">
        <f t="shared" ref="BA217:BA222" si="74">AVERAGE(AX217:AZ217)</f>
        <v>51.660000000000004</v>
      </c>
      <c r="BB217" s="37">
        <v>32.619999999999997</v>
      </c>
      <c r="BC217" s="37">
        <v>32.65</v>
      </c>
      <c r="BD217" s="37">
        <v>32.659999999999997</v>
      </c>
      <c r="BE217" s="24">
        <f t="shared" ref="BE217:BE222" si="75">AVERAGE(BB217:BD217)</f>
        <v>32.643333333333331</v>
      </c>
      <c r="BF217" s="37">
        <v>88.69</v>
      </c>
      <c r="BG217" s="37">
        <v>89.09</v>
      </c>
      <c r="BH217" s="37">
        <v>88.45</v>
      </c>
      <c r="BI217" s="24">
        <f t="shared" ref="BI217:BI222" si="76">AVERAGE(BF217:BH217)</f>
        <v>88.743333333333339</v>
      </c>
      <c r="BJ217" t="s">
        <v>51</v>
      </c>
      <c r="BK217" t="s">
        <v>51</v>
      </c>
    </row>
    <row r="218" spans="1:73" x14ac:dyDescent="0.25">
      <c r="A218" t="s">
        <v>57</v>
      </c>
      <c r="B218" s="111" t="s">
        <v>1082</v>
      </c>
      <c r="C218" t="s">
        <v>207</v>
      </c>
      <c r="D218" t="s">
        <v>615</v>
      </c>
      <c r="E218">
        <v>1457</v>
      </c>
      <c r="H218" s="100">
        <v>43167</v>
      </c>
      <c r="I218" t="s">
        <v>987</v>
      </c>
      <c r="K218" s="33">
        <v>3</v>
      </c>
      <c r="L218" s="10" t="s">
        <v>50</v>
      </c>
      <c r="M218">
        <v>990</v>
      </c>
      <c r="N218">
        <v>92</v>
      </c>
      <c r="O218" s="9">
        <f t="shared" si="68"/>
        <v>898</v>
      </c>
      <c r="P218" s="35">
        <v>276</v>
      </c>
      <c r="Q218" s="35">
        <v>276</v>
      </c>
      <c r="R218" s="35">
        <v>275</v>
      </c>
      <c r="S218" s="24">
        <f t="shared" si="69"/>
        <v>275.66666666666669</v>
      </c>
      <c r="T218" s="35">
        <v>0</v>
      </c>
      <c r="U218" s="35">
        <v>0</v>
      </c>
      <c r="V218" s="35">
        <v>0</v>
      </c>
      <c r="W218" s="24">
        <f t="shared" si="70"/>
        <v>0</v>
      </c>
      <c r="X218" s="36">
        <v>0</v>
      </c>
      <c r="Y218" s="35">
        <v>0</v>
      </c>
      <c r="Z218" s="35">
        <v>0</v>
      </c>
      <c r="AA218" s="24">
        <f t="shared" si="71"/>
        <v>0</v>
      </c>
      <c r="AB218" s="37">
        <v>47.37</v>
      </c>
      <c r="AC218" s="37">
        <v>47.08</v>
      </c>
      <c r="AD218" s="37">
        <v>47.08</v>
      </c>
      <c r="AE218" s="24">
        <f t="shared" si="72"/>
        <v>47.176666666666655</v>
      </c>
      <c r="AF218" s="37">
        <v>87.05</v>
      </c>
      <c r="AG218" s="37">
        <v>87.35</v>
      </c>
      <c r="AH218" s="37">
        <v>87.43</v>
      </c>
      <c r="AI218" s="24">
        <f t="shared" si="73"/>
        <v>87.276666666666657</v>
      </c>
      <c r="AJ218" s="37">
        <v>28.43</v>
      </c>
      <c r="AK218" s="37">
        <v>28.81</v>
      </c>
      <c r="AL218" s="37">
        <v>28.63</v>
      </c>
      <c r="AM218" s="24">
        <f>AVERAGE(AJ218:AL218)</f>
        <v>28.623333333333331</v>
      </c>
      <c r="AN218" s="37">
        <v>22.47</v>
      </c>
      <c r="AO218" s="37">
        <v>22.67</v>
      </c>
      <c r="AP218" s="37">
        <v>21.85</v>
      </c>
      <c r="AQ218" s="24">
        <f>AVERAGE(AN218:AP218)</f>
        <v>22.330000000000002</v>
      </c>
      <c r="AX218" s="35">
        <v>57.52</v>
      </c>
      <c r="AY218" s="35">
        <v>57.9</v>
      </c>
      <c r="AZ218" s="35">
        <v>58.08</v>
      </c>
      <c r="BA218" s="24">
        <f t="shared" si="74"/>
        <v>57.833333333333336</v>
      </c>
      <c r="BB218" s="35">
        <v>34.21</v>
      </c>
      <c r="BC218" s="35">
        <v>34.200000000000003</v>
      </c>
      <c r="BD218" s="35">
        <v>34.51</v>
      </c>
      <c r="BE218" s="24">
        <f t="shared" si="75"/>
        <v>34.306666666666665</v>
      </c>
      <c r="BF218" s="35">
        <v>87.7</v>
      </c>
      <c r="BG218" s="35">
        <v>87.32</v>
      </c>
      <c r="BH218" s="35">
        <v>86.46</v>
      </c>
      <c r="BI218" s="24">
        <f t="shared" si="76"/>
        <v>87.159999999999982</v>
      </c>
      <c r="BJ218" t="s">
        <v>51</v>
      </c>
      <c r="BK218" t="s">
        <v>51</v>
      </c>
      <c r="BU218" t="s">
        <v>989</v>
      </c>
    </row>
    <row r="219" spans="1:73" x14ac:dyDescent="0.25">
      <c r="A219" t="s">
        <v>57</v>
      </c>
      <c r="B219" s="111" t="s">
        <v>1099</v>
      </c>
      <c r="C219" t="s">
        <v>49</v>
      </c>
      <c r="D219" t="s">
        <v>615</v>
      </c>
      <c r="E219">
        <v>1458</v>
      </c>
      <c r="H219" s="100">
        <v>43167</v>
      </c>
      <c r="I219" t="s">
        <v>988</v>
      </c>
      <c r="K219" s="33" t="s">
        <v>61</v>
      </c>
      <c r="L219" s="10" t="s">
        <v>64</v>
      </c>
      <c r="M219">
        <v>730</v>
      </c>
      <c r="N219">
        <v>97</v>
      </c>
      <c r="O219" s="9">
        <f t="shared" si="68"/>
        <v>633</v>
      </c>
      <c r="P219" s="35">
        <v>225</v>
      </c>
      <c r="Q219" s="35">
        <v>224</v>
      </c>
      <c r="R219" s="35">
        <v>225</v>
      </c>
      <c r="S219" s="24">
        <f t="shared" si="69"/>
        <v>224.66666666666666</v>
      </c>
      <c r="T219" s="35">
        <v>126</v>
      </c>
      <c r="U219" s="35">
        <v>126</v>
      </c>
      <c r="V219" s="35">
        <v>126</v>
      </c>
      <c r="W219" s="24">
        <f t="shared" si="70"/>
        <v>126</v>
      </c>
      <c r="X219" s="36">
        <v>8.65</v>
      </c>
      <c r="Y219" s="35">
        <v>8.5</v>
      </c>
      <c r="Z219" s="35">
        <v>8.34</v>
      </c>
      <c r="AA219" s="24">
        <f t="shared" si="71"/>
        <v>8.4966666666666661</v>
      </c>
      <c r="AB219" s="37">
        <v>42.55</v>
      </c>
      <c r="AC219" s="37">
        <v>42.46</v>
      </c>
      <c r="AD219" s="37">
        <v>42.36</v>
      </c>
      <c r="AE219" s="24">
        <f t="shared" si="72"/>
        <v>42.456666666666663</v>
      </c>
      <c r="AF219" s="37">
        <v>74.38</v>
      </c>
      <c r="AG219" s="37">
        <v>75.03</v>
      </c>
      <c r="AH219" s="37">
        <v>74.510000000000005</v>
      </c>
      <c r="AI219" s="24">
        <f t="shared" si="73"/>
        <v>74.64</v>
      </c>
      <c r="AS219" t="s">
        <v>65</v>
      </c>
      <c r="AT219">
        <v>8</v>
      </c>
      <c r="AU219">
        <v>2</v>
      </c>
      <c r="AV219">
        <v>2</v>
      </c>
      <c r="AW219" s="9">
        <v>18.82</v>
      </c>
      <c r="AX219" s="35">
        <v>45.67</v>
      </c>
      <c r="AY219" s="35">
        <v>45.63</v>
      </c>
      <c r="AZ219" s="35">
        <v>45.38</v>
      </c>
      <c r="BA219" s="24">
        <f t="shared" si="74"/>
        <v>45.56</v>
      </c>
      <c r="BB219" s="35">
        <v>31.68</v>
      </c>
      <c r="BC219" s="35">
        <v>31.99</v>
      </c>
      <c r="BD219" s="35">
        <v>31.64</v>
      </c>
      <c r="BE219" s="24">
        <f t="shared" si="75"/>
        <v>31.77</v>
      </c>
      <c r="BF219" s="35">
        <v>75.900000000000006</v>
      </c>
      <c r="BG219" s="35">
        <v>76.2</v>
      </c>
      <c r="BH219" s="35">
        <v>76.19</v>
      </c>
      <c r="BI219" s="24">
        <f t="shared" si="76"/>
        <v>76.096666666666678</v>
      </c>
      <c r="BJ219" t="s">
        <v>51</v>
      </c>
      <c r="BK219" t="s">
        <v>51</v>
      </c>
      <c r="BU219" t="s">
        <v>991</v>
      </c>
    </row>
    <row r="220" spans="1:73" x14ac:dyDescent="0.25">
      <c r="A220" t="s">
        <v>57</v>
      </c>
      <c r="B220" s="111" t="s">
        <v>1100</v>
      </c>
      <c r="C220" t="s">
        <v>49</v>
      </c>
      <c r="D220" t="s">
        <v>615</v>
      </c>
      <c r="E220">
        <v>1464</v>
      </c>
      <c r="H220" s="100">
        <v>43168</v>
      </c>
      <c r="I220" t="s">
        <v>609</v>
      </c>
      <c r="K220" s="33">
        <v>1</v>
      </c>
      <c r="L220" s="10" t="s">
        <v>64</v>
      </c>
      <c r="M220">
        <v>981</v>
      </c>
      <c r="N220">
        <v>97</v>
      </c>
      <c r="O220" s="9">
        <f t="shared" si="68"/>
        <v>884</v>
      </c>
      <c r="P220" s="35">
        <v>286</v>
      </c>
      <c r="Q220" s="35">
        <v>287</v>
      </c>
      <c r="R220" s="35">
        <v>287</v>
      </c>
      <c r="S220" s="24">
        <f t="shared" si="69"/>
        <v>286.66666666666669</v>
      </c>
      <c r="T220" s="35">
        <v>143</v>
      </c>
      <c r="U220" s="35">
        <v>144</v>
      </c>
      <c r="V220" s="35">
        <v>144</v>
      </c>
      <c r="W220" s="24">
        <f t="shared" si="70"/>
        <v>143.66666666666666</v>
      </c>
      <c r="X220" s="36">
        <v>9.7100000000000009</v>
      </c>
      <c r="Y220" s="35">
        <v>9.82</v>
      </c>
      <c r="Z220" s="35">
        <v>9.82</v>
      </c>
      <c r="AA220" s="24">
        <f t="shared" si="71"/>
        <v>9.7833333333333332</v>
      </c>
      <c r="AB220" s="37">
        <v>45.21</v>
      </c>
      <c r="AC220" s="37">
        <v>45.27</v>
      </c>
      <c r="AD220" s="37">
        <v>45.07</v>
      </c>
      <c r="AE220" s="24">
        <f t="shared" si="72"/>
        <v>45.183333333333337</v>
      </c>
      <c r="AF220" s="37">
        <v>87.25</v>
      </c>
      <c r="AG220" s="37">
        <v>87.22</v>
      </c>
      <c r="AH220" s="37">
        <v>87.09</v>
      </c>
      <c r="AI220" s="24">
        <f t="shared" si="73"/>
        <v>87.186666666666667</v>
      </c>
      <c r="AS220" t="s">
        <v>65</v>
      </c>
      <c r="AT220">
        <v>8</v>
      </c>
      <c r="AU220">
        <v>2</v>
      </c>
      <c r="AV220">
        <v>2</v>
      </c>
      <c r="AW220" s="9">
        <v>6.58</v>
      </c>
      <c r="AX220" s="35">
        <v>54.8</v>
      </c>
      <c r="AY220" s="35">
        <v>54.48</v>
      </c>
      <c r="AZ220" s="35">
        <v>55.21</v>
      </c>
      <c r="BA220" s="24">
        <f t="shared" si="74"/>
        <v>54.830000000000005</v>
      </c>
      <c r="BB220" s="35">
        <v>33.619999999999997</v>
      </c>
      <c r="BC220" s="35">
        <v>33.46</v>
      </c>
      <c r="BD220" s="35">
        <v>33.71</v>
      </c>
      <c r="BE220" s="24">
        <f t="shared" si="75"/>
        <v>33.596666666666664</v>
      </c>
      <c r="BF220" s="35">
        <v>84.08</v>
      </c>
      <c r="BG220" s="35">
        <v>84.63</v>
      </c>
      <c r="BH220" s="35">
        <v>84.45</v>
      </c>
      <c r="BI220" s="24">
        <f t="shared" si="76"/>
        <v>84.386666666666656</v>
      </c>
      <c r="BJ220" t="s">
        <v>51</v>
      </c>
      <c r="BK220" t="s">
        <v>51</v>
      </c>
    </row>
    <row r="221" spans="1:73" x14ac:dyDescent="0.25">
      <c r="A221" t="s">
        <v>57</v>
      </c>
      <c r="B221" s="111" t="s">
        <v>1056</v>
      </c>
      <c r="C221" t="s">
        <v>207</v>
      </c>
      <c r="D221" t="s">
        <v>615</v>
      </c>
      <c r="E221">
        <v>1007</v>
      </c>
      <c r="H221" s="100">
        <v>43174</v>
      </c>
      <c r="I221" t="s">
        <v>217</v>
      </c>
      <c r="K221" s="33">
        <v>3</v>
      </c>
      <c r="L221" s="10" t="s">
        <v>64</v>
      </c>
      <c r="M221">
        <v>970</v>
      </c>
      <c r="N221">
        <v>96</v>
      </c>
      <c r="O221" s="9">
        <f t="shared" si="68"/>
        <v>874</v>
      </c>
      <c r="P221" s="35">
        <v>256</v>
      </c>
      <c r="Q221" s="35">
        <v>257</v>
      </c>
      <c r="R221" s="35">
        <v>257</v>
      </c>
      <c r="S221" s="24">
        <f t="shared" si="69"/>
        <v>256.66666666666669</v>
      </c>
      <c r="T221" s="35">
        <v>145</v>
      </c>
      <c r="U221" s="35">
        <v>146</v>
      </c>
      <c r="V221" s="35">
        <v>146</v>
      </c>
      <c r="W221" s="24">
        <f t="shared" si="70"/>
        <v>145.66666666666666</v>
      </c>
      <c r="X221" s="36">
        <v>8.48</v>
      </c>
      <c r="Y221" s="35">
        <v>8.58</v>
      </c>
      <c r="Z221" s="35">
        <v>9.33</v>
      </c>
      <c r="AA221" s="24">
        <f t="shared" si="71"/>
        <v>8.7966666666666669</v>
      </c>
      <c r="AB221" s="37">
        <v>44.25</v>
      </c>
      <c r="AC221" s="37">
        <v>44.55</v>
      </c>
      <c r="AD221" s="37">
        <v>44.11</v>
      </c>
      <c r="AE221" s="24">
        <f t="shared" si="72"/>
        <v>44.303333333333335</v>
      </c>
      <c r="AF221" s="37">
        <v>76.58</v>
      </c>
      <c r="AG221" s="37">
        <v>76.67</v>
      </c>
      <c r="AH221" s="37">
        <v>76.83</v>
      </c>
      <c r="AI221" s="24">
        <f t="shared" si="73"/>
        <v>76.693333333333328</v>
      </c>
      <c r="AS221" t="s">
        <v>65</v>
      </c>
      <c r="AT221">
        <v>8</v>
      </c>
      <c r="AU221">
        <v>3</v>
      </c>
      <c r="AV221">
        <v>3</v>
      </c>
      <c r="AX221" s="35">
        <v>51.44</v>
      </c>
      <c r="AY221" s="35">
        <v>51.95</v>
      </c>
      <c r="AZ221" s="35">
        <v>51.54</v>
      </c>
      <c r="BA221" s="24">
        <f t="shared" si="74"/>
        <v>51.643333333333338</v>
      </c>
      <c r="BB221" s="35">
        <v>29.67</v>
      </c>
      <c r="BC221" s="35">
        <v>29.97</v>
      </c>
      <c r="BD221" s="35">
        <v>29.92</v>
      </c>
      <c r="BE221" s="24">
        <f t="shared" si="75"/>
        <v>29.853333333333335</v>
      </c>
      <c r="BF221" s="35">
        <v>84.37</v>
      </c>
      <c r="BG221" s="35">
        <v>84.73</v>
      </c>
      <c r="BH221" s="35">
        <v>84.08</v>
      </c>
      <c r="BI221" s="24">
        <f t="shared" si="76"/>
        <v>84.393333333333331</v>
      </c>
      <c r="BJ221" t="s">
        <v>51</v>
      </c>
      <c r="BK221" t="s">
        <v>51</v>
      </c>
      <c r="BU221" t="s">
        <v>990</v>
      </c>
    </row>
    <row r="222" spans="1:73" x14ac:dyDescent="0.25">
      <c r="A222" t="s">
        <v>57</v>
      </c>
      <c r="B222" s="111" t="s">
        <v>1021</v>
      </c>
      <c r="C222" t="s">
        <v>207</v>
      </c>
      <c r="D222" t="s">
        <v>615</v>
      </c>
      <c r="E222">
        <v>1143</v>
      </c>
      <c r="H222" s="100">
        <v>43175</v>
      </c>
      <c r="I222" t="s">
        <v>229</v>
      </c>
      <c r="K222" s="33">
        <v>3</v>
      </c>
      <c r="L222" s="10" t="s">
        <v>64</v>
      </c>
      <c r="M222">
        <v>1164</v>
      </c>
      <c r="N222">
        <v>94</v>
      </c>
      <c r="O222" s="9">
        <f t="shared" si="68"/>
        <v>1070</v>
      </c>
      <c r="P222" s="35">
        <v>280</v>
      </c>
      <c r="Q222" s="35">
        <v>279</v>
      </c>
      <c r="R222" s="35">
        <v>279</v>
      </c>
      <c r="S222" s="24">
        <f t="shared" si="69"/>
        <v>279.33333333333331</v>
      </c>
      <c r="T222" s="35">
        <v>141</v>
      </c>
      <c r="U222" s="35">
        <v>140</v>
      </c>
      <c r="V222" s="35">
        <v>140</v>
      </c>
      <c r="W222" s="24">
        <f t="shared" si="70"/>
        <v>140.33333333333334</v>
      </c>
      <c r="X222" s="35">
        <v>11.31</v>
      </c>
      <c r="Y222" s="35">
        <v>11.7</v>
      </c>
      <c r="Z222" s="35">
        <v>11.43</v>
      </c>
      <c r="AA222" s="24">
        <f t="shared" si="71"/>
        <v>11.479999999999999</v>
      </c>
      <c r="AB222" s="37">
        <v>45.58</v>
      </c>
      <c r="AC222" s="37">
        <v>45.92</v>
      </c>
      <c r="AD222" s="37">
        <v>45.97</v>
      </c>
      <c r="AE222" s="24">
        <f t="shared" si="72"/>
        <v>45.823333333333331</v>
      </c>
      <c r="AF222" s="37">
        <v>87.46</v>
      </c>
      <c r="AG222" s="37">
        <v>87.87</v>
      </c>
      <c r="AH222" s="37">
        <v>88.08</v>
      </c>
      <c r="AI222" s="24">
        <f t="shared" si="73"/>
        <v>87.803333333333327</v>
      </c>
      <c r="AS222" t="s">
        <v>65</v>
      </c>
      <c r="AT222">
        <v>8</v>
      </c>
      <c r="AU222">
        <v>3</v>
      </c>
      <c r="AV222">
        <v>3</v>
      </c>
      <c r="AX222" s="35">
        <v>5.46</v>
      </c>
      <c r="AY222" s="35">
        <v>53.59</v>
      </c>
      <c r="AZ222" s="35">
        <v>53.82</v>
      </c>
      <c r="BA222" s="24">
        <f t="shared" si="74"/>
        <v>37.623333333333335</v>
      </c>
      <c r="BB222" s="35">
        <v>33.04</v>
      </c>
      <c r="BC222" s="35">
        <v>33.020000000000003</v>
      </c>
      <c r="BD222" s="35">
        <v>33.409999999999997</v>
      </c>
      <c r="BE222" s="24">
        <f t="shared" si="75"/>
        <v>33.156666666666666</v>
      </c>
      <c r="BF222" s="35">
        <v>82.67</v>
      </c>
      <c r="BG222" s="35">
        <v>32.340000000000003</v>
      </c>
      <c r="BH222" s="35">
        <v>82.64</v>
      </c>
      <c r="BI222" s="24">
        <f t="shared" si="76"/>
        <v>65.88333333333334</v>
      </c>
      <c r="BJ222" t="s">
        <v>51</v>
      </c>
      <c r="BK222" t="s">
        <v>51</v>
      </c>
    </row>
    <row r="223" spans="1:73" s="176" customFormat="1" x14ac:dyDescent="0.25">
      <c r="A223" s="183" t="s">
        <v>999</v>
      </c>
      <c r="B223" s="184"/>
      <c r="J223" s="177"/>
      <c r="K223" s="178"/>
      <c r="L223" s="179"/>
      <c r="O223" s="177"/>
      <c r="S223" s="180"/>
      <c r="W223" s="180"/>
      <c r="X223" s="181"/>
      <c r="AA223" s="180"/>
      <c r="AE223" s="180"/>
      <c r="AI223" s="180"/>
      <c r="AJ223" s="182"/>
      <c r="AK223" s="182"/>
      <c r="AL223" s="182"/>
      <c r="AM223" s="177"/>
      <c r="AN223" s="182"/>
      <c r="AO223" s="182"/>
      <c r="AP223" s="182"/>
      <c r="AQ223" s="177"/>
      <c r="AR223" s="179"/>
      <c r="AW223" s="177"/>
      <c r="BA223" s="180"/>
      <c r="BE223" s="180"/>
      <c r="BI223" s="180"/>
      <c r="BO223" s="177"/>
      <c r="BP223" s="182"/>
      <c r="BQ223" s="182"/>
      <c r="BR223" s="182"/>
      <c r="BS223" s="182"/>
      <c r="BT223" s="177"/>
    </row>
    <row r="224" spans="1:73" x14ac:dyDescent="0.25">
      <c r="A224" t="s">
        <v>57</v>
      </c>
      <c r="B224" t="s">
        <v>1098</v>
      </c>
      <c r="C224" t="s">
        <v>207</v>
      </c>
      <c r="D224" t="s">
        <v>656</v>
      </c>
      <c r="E224">
        <v>1399</v>
      </c>
      <c r="H224" s="100">
        <v>43221</v>
      </c>
      <c r="I224" t="s">
        <v>606</v>
      </c>
      <c r="K224" s="33">
        <v>2</v>
      </c>
      <c r="L224" s="10" t="s">
        <v>50</v>
      </c>
      <c r="M224">
        <v>1254</v>
      </c>
      <c r="N224">
        <v>94</v>
      </c>
      <c r="O224" s="9">
        <f t="shared" ref="O224:O230" si="77">M224-N224</f>
        <v>1160</v>
      </c>
      <c r="P224" s="35">
        <v>305</v>
      </c>
      <c r="Q224" s="35">
        <v>305</v>
      </c>
      <c r="R224" s="35">
        <v>305</v>
      </c>
      <c r="S224" s="24">
        <f t="shared" ref="S224:S230" si="78">AVERAGE(P224:R224)</f>
        <v>305</v>
      </c>
      <c r="T224" s="35">
        <v>160</v>
      </c>
      <c r="U224" s="35">
        <v>161</v>
      </c>
      <c r="V224" s="35">
        <v>160</v>
      </c>
      <c r="W224" s="24">
        <f t="shared" ref="W224:W230" si="79">AVERAGE(T224:V224)</f>
        <v>160.33333333333334</v>
      </c>
      <c r="X224" s="36">
        <v>11.32</v>
      </c>
      <c r="Y224" s="35">
        <v>11.67</v>
      </c>
      <c r="Z224" s="35">
        <v>12.07</v>
      </c>
      <c r="AA224" s="24">
        <f t="shared" ref="AA224:AA230" si="80">AVERAGE(X224:Z224)</f>
        <v>11.686666666666667</v>
      </c>
      <c r="AB224" s="37">
        <v>53.56</v>
      </c>
      <c r="AC224" s="37">
        <v>53.45</v>
      </c>
      <c r="AD224" s="37">
        <v>53.82</v>
      </c>
      <c r="AE224" s="24">
        <f t="shared" ref="AE224:AE230" si="81">AVERAGE(AB224:AD224)</f>
        <v>53.610000000000007</v>
      </c>
      <c r="AF224" s="37">
        <v>102.74</v>
      </c>
      <c r="AG224" s="37">
        <v>102.61</v>
      </c>
      <c r="AH224" s="37">
        <v>102.79</v>
      </c>
      <c r="AI224" s="24">
        <f t="shared" ref="AI224:AI230" si="82">AVERAGE(AF224:AH224)</f>
        <v>102.71333333333332</v>
      </c>
      <c r="AJ224" s="37">
        <v>29.13</v>
      </c>
      <c r="AK224" s="37">
        <v>28.78</v>
      </c>
      <c r="AL224" s="37">
        <v>28.59</v>
      </c>
      <c r="AM224" s="24">
        <f>AVERAGE(AJ224:AL224)</f>
        <v>28.833333333333332</v>
      </c>
      <c r="AN224" s="37">
        <v>21.92</v>
      </c>
      <c r="AO224" s="37">
        <v>21.4</v>
      </c>
      <c r="AP224" s="37">
        <v>21.28</v>
      </c>
      <c r="AQ224" s="24">
        <f>AVERAGE(AN224:AP224)</f>
        <v>21.533333333333331</v>
      </c>
      <c r="AX224" s="35">
        <v>50.43</v>
      </c>
      <c r="AY224" s="35">
        <v>50.09</v>
      </c>
      <c r="AZ224" s="35">
        <v>50.24</v>
      </c>
      <c r="BA224" s="24">
        <f t="shared" ref="BA224:BA230" si="83">AVERAGE(AX224:AZ224)</f>
        <v>50.253333333333337</v>
      </c>
      <c r="BB224" s="35">
        <v>34.71</v>
      </c>
      <c r="BC224" s="35">
        <v>34.78</v>
      </c>
      <c r="BD224" s="35">
        <v>34.85</v>
      </c>
      <c r="BE224" s="24">
        <f t="shared" ref="BE224:BE230" si="84">AVERAGE(BB224:BD224)</f>
        <v>34.78</v>
      </c>
      <c r="BF224" s="35">
        <v>90.88</v>
      </c>
      <c r="BG224" s="35">
        <v>91.02</v>
      </c>
      <c r="BH224" s="35">
        <v>91.15</v>
      </c>
      <c r="BI224" s="24">
        <f t="shared" ref="BI224:BI230" si="85">AVERAGE(BF224:BH224)</f>
        <v>91.016666666666652</v>
      </c>
    </row>
    <row r="225" spans="1:73" x14ac:dyDescent="0.25">
      <c r="A225" t="s">
        <v>57</v>
      </c>
      <c r="B225" s="176" t="s">
        <v>1082</v>
      </c>
      <c r="C225" t="s">
        <v>207</v>
      </c>
      <c r="D225" t="s">
        <v>656</v>
      </c>
      <c r="H225" s="100">
        <v>43221</v>
      </c>
      <c r="I225" t="s">
        <v>611</v>
      </c>
      <c r="K225" s="33">
        <v>3</v>
      </c>
      <c r="L225" s="10" t="s">
        <v>50</v>
      </c>
      <c r="M225">
        <v>1084</v>
      </c>
      <c r="N225">
        <v>92</v>
      </c>
      <c r="O225" s="9">
        <f t="shared" si="77"/>
        <v>992</v>
      </c>
      <c r="P225" s="35">
        <v>284</v>
      </c>
      <c r="Q225" s="35">
        <v>284</v>
      </c>
      <c r="R225" s="35">
        <v>284</v>
      </c>
      <c r="S225" s="24">
        <f t="shared" si="78"/>
        <v>284</v>
      </c>
      <c r="T225" s="35">
        <v>0</v>
      </c>
      <c r="U225" s="35">
        <v>0</v>
      </c>
      <c r="V225" s="35">
        <v>0</v>
      </c>
      <c r="W225" s="24">
        <f t="shared" si="79"/>
        <v>0</v>
      </c>
      <c r="X225" s="36">
        <v>0</v>
      </c>
      <c r="Y225" s="35">
        <v>0</v>
      </c>
      <c r="Z225" s="35">
        <v>0</v>
      </c>
      <c r="AA225" s="24">
        <f t="shared" si="80"/>
        <v>0</v>
      </c>
      <c r="AB225" s="37">
        <v>50.6</v>
      </c>
      <c r="AC225" s="37">
        <v>50.73</v>
      </c>
      <c r="AD225" s="37">
        <v>50.57</v>
      </c>
      <c r="AE225" s="24">
        <f t="shared" si="81"/>
        <v>50.633333333333333</v>
      </c>
      <c r="AF225" s="37">
        <v>85.97</v>
      </c>
      <c r="AG225" s="37">
        <v>86.17</v>
      </c>
      <c r="AH225" s="37">
        <v>86.32</v>
      </c>
      <c r="AI225" s="24">
        <f t="shared" si="82"/>
        <v>86.153333333333322</v>
      </c>
      <c r="AJ225" s="37">
        <v>27</v>
      </c>
      <c r="AK225" s="37">
        <v>27.35</v>
      </c>
      <c r="AL225" s="37">
        <v>27.09</v>
      </c>
      <c r="AM225" s="24">
        <f>AVERAGE(AJ225:AL225)</f>
        <v>27.146666666666665</v>
      </c>
      <c r="AN225" s="37">
        <v>21.41</v>
      </c>
      <c r="AO225" s="37">
        <v>21.37</v>
      </c>
      <c r="AP225" s="37">
        <v>21.55</v>
      </c>
      <c r="AQ225" s="24">
        <f>AVERAGE(AN225:AP225)</f>
        <v>21.443333333333332</v>
      </c>
      <c r="AX225" s="35">
        <v>57.87</v>
      </c>
      <c r="AY225" s="35">
        <v>57.72</v>
      </c>
      <c r="AZ225" s="35">
        <v>57.89</v>
      </c>
      <c r="BA225" s="24">
        <f t="shared" si="83"/>
        <v>57.826666666666675</v>
      </c>
      <c r="BB225" s="35">
        <v>32.43</v>
      </c>
      <c r="BC225" s="35">
        <v>32.72</v>
      </c>
      <c r="BD225" s="35">
        <v>32.729999999999997</v>
      </c>
      <c r="BE225" s="24">
        <f t="shared" si="84"/>
        <v>32.626666666666665</v>
      </c>
      <c r="BF225" s="35">
        <v>83.91</v>
      </c>
      <c r="BG225" s="35">
        <v>83.92</v>
      </c>
      <c r="BH225" s="35">
        <v>84.38</v>
      </c>
      <c r="BI225" s="24">
        <f t="shared" si="85"/>
        <v>84.07</v>
      </c>
      <c r="BU225" t="s">
        <v>1004</v>
      </c>
    </row>
    <row r="226" spans="1:73" x14ac:dyDescent="0.25">
      <c r="A226" t="s">
        <v>57</v>
      </c>
      <c r="B226" t="s">
        <v>1021</v>
      </c>
      <c r="C226" t="s">
        <v>207</v>
      </c>
      <c r="D226" t="s">
        <v>656</v>
      </c>
      <c r="H226" s="100">
        <v>43227</v>
      </c>
      <c r="I226" t="s">
        <v>255</v>
      </c>
      <c r="K226" s="112">
        <v>3</v>
      </c>
      <c r="L226" s="138" t="s">
        <v>64</v>
      </c>
      <c r="M226">
        <v>101</v>
      </c>
      <c r="N226">
        <v>93</v>
      </c>
      <c r="O226" s="9">
        <f t="shared" si="77"/>
        <v>8</v>
      </c>
      <c r="P226" s="35">
        <v>287</v>
      </c>
      <c r="Q226" s="35">
        <v>286</v>
      </c>
      <c r="R226" s="35">
        <v>286</v>
      </c>
      <c r="S226" s="24">
        <f t="shared" si="78"/>
        <v>286.33333333333331</v>
      </c>
      <c r="T226" s="35">
        <v>0</v>
      </c>
      <c r="U226" s="35">
        <v>0</v>
      </c>
      <c r="V226" s="35">
        <v>0</v>
      </c>
      <c r="W226" s="24">
        <f t="shared" si="79"/>
        <v>0</v>
      </c>
      <c r="X226" s="36">
        <v>0</v>
      </c>
      <c r="Y226" s="35">
        <v>0</v>
      </c>
      <c r="Z226" s="35">
        <v>0</v>
      </c>
      <c r="AA226" s="24">
        <f t="shared" si="80"/>
        <v>0</v>
      </c>
      <c r="AB226" s="37">
        <v>42.56</v>
      </c>
      <c r="AC226" s="37">
        <v>42.39</v>
      </c>
      <c r="AD226" s="37">
        <v>42.43</v>
      </c>
      <c r="AE226" s="24">
        <f t="shared" si="81"/>
        <v>42.46</v>
      </c>
      <c r="AF226" s="37">
        <v>85.72</v>
      </c>
      <c r="AG226" s="37">
        <v>85.79</v>
      </c>
      <c r="AH226" s="37">
        <v>85.94</v>
      </c>
      <c r="AI226" s="24">
        <f t="shared" si="82"/>
        <v>85.816666666666663</v>
      </c>
      <c r="AS226" t="s">
        <v>65</v>
      </c>
      <c r="AT226">
        <v>8</v>
      </c>
      <c r="AU226">
        <v>1</v>
      </c>
      <c r="AV226">
        <v>1</v>
      </c>
      <c r="AW226" s="9">
        <v>14.72</v>
      </c>
      <c r="AX226" s="35">
        <v>55.76</v>
      </c>
      <c r="AY226" s="35">
        <v>55.03</v>
      </c>
      <c r="AZ226" s="35">
        <v>55.17</v>
      </c>
      <c r="BA226" s="24">
        <f t="shared" si="83"/>
        <v>55.319999999999993</v>
      </c>
      <c r="BB226" s="35">
        <v>34.15</v>
      </c>
      <c r="BC226" s="35">
        <v>33.979999999999997</v>
      </c>
      <c r="BD226" s="35">
        <v>33.76</v>
      </c>
      <c r="BE226" s="24">
        <f t="shared" si="84"/>
        <v>33.963333333333331</v>
      </c>
      <c r="BF226" s="35">
        <v>84.37</v>
      </c>
      <c r="BG226" s="35">
        <v>84.37</v>
      </c>
      <c r="BH226" s="35">
        <v>85.85</v>
      </c>
      <c r="BI226" s="24">
        <f t="shared" si="85"/>
        <v>84.86333333333333</v>
      </c>
      <c r="BK226" t="s">
        <v>51</v>
      </c>
      <c r="BU226" t="s">
        <v>1005</v>
      </c>
    </row>
    <row r="227" spans="1:73" x14ac:dyDescent="0.25">
      <c r="A227" t="s">
        <v>57</v>
      </c>
      <c r="B227" s="111" t="s">
        <v>1082</v>
      </c>
      <c r="C227" t="s">
        <v>207</v>
      </c>
      <c r="D227" t="s">
        <v>656</v>
      </c>
      <c r="E227" t="s">
        <v>1000</v>
      </c>
      <c r="H227" s="100">
        <v>43232</v>
      </c>
      <c r="I227" t="s">
        <v>101</v>
      </c>
      <c r="K227" s="33">
        <v>3</v>
      </c>
      <c r="L227" s="10" t="s">
        <v>50</v>
      </c>
      <c r="M227">
        <v>1091</v>
      </c>
      <c r="N227">
        <v>94</v>
      </c>
      <c r="O227" s="9">
        <f t="shared" si="77"/>
        <v>997</v>
      </c>
      <c r="P227">
        <v>273</v>
      </c>
      <c r="Q227">
        <v>273</v>
      </c>
      <c r="R227">
        <v>273</v>
      </c>
      <c r="S227" s="24">
        <f t="shared" si="78"/>
        <v>273</v>
      </c>
      <c r="T227">
        <v>0</v>
      </c>
      <c r="U227">
        <v>0</v>
      </c>
      <c r="V227">
        <v>0</v>
      </c>
      <c r="W227" s="24">
        <f t="shared" si="79"/>
        <v>0</v>
      </c>
      <c r="X227" s="36">
        <v>0</v>
      </c>
      <c r="Y227">
        <v>0</v>
      </c>
      <c r="Z227">
        <v>0</v>
      </c>
      <c r="AA227" s="24">
        <f t="shared" si="80"/>
        <v>0</v>
      </c>
      <c r="AB227" s="37">
        <v>50.48</v>
      </c>
      <c r="AC227" s="37">
        <v>50.47</v>
      </c>
      <c r="AD227" s="37">
        <v>50.72</v>
      </c>
      <c r="AE227" s="24">
        <f t="shared" si="81"/>
        <v>50.556666666666665</v>
      </c>
      <c r="AF227" s="37">
        <v>90.22</v>
      </c>
      <c r="AG227" s="37">
        <v>90.25</v>
      </c>
      <c r="AH227" s="37">
        <v>89.99</v>
      </c>
      <c r="AI227" s="24">
        <f t="shared" si="82"/>
        <v>90.153333333333322</v>
      </c>
      <c r="AJ227" s="37">
        <v>29.1</v>
      </c>
      <c r="AK227" s="37">
        <v>29.22</v>
      </c>
      <c r="AL227" s="37">
        <v>29.15</v>
      </c>
      <c r="AM227" s="24">
        <f>AVERAGE(AJ227:AL227)</f>
        <v>29.156666666666666</v>
      </c>
      <c r="AN227" s="37">
        <v>20.27</v>
      </c>
      <c r="AO227" s="37">
        <v>20.67</v>
      </c>
      <c r="AP227" s="37">
        <v>20.77</v>
      </c>
      <c r="AQ227" s="24">
        <f>AVERAGE(AN227:AP227)</f>
        <v>20.569999999999997</v>
      </c>
      <c r="AX227">
        <v>57.94</v>
      </c>
      <c r="AY227">
        <v>57.85</v>
      </c>
      <c r="AZ227">
        <v>57.99</v>
      </c>
      <c r="BA227" s="24">
        <f t="shared" si="83"/>
        <v>57.926666666666669</v>
      </c>
      <c r="BB227">
        <v>38.880000000000003</v>
      </c>
      <c r="BC227">
        <v>38.92</v>
      </c>
      <c r="BD227">
        <v>38.75</v>
      </c>
      <c r="BE227" s="24">
        <f t="shared" si="84"/>
        <v>38.85</v>
      </c>
      <c r="BF227">
        <v>86.42</v>
      </c>
      <c r="BG227">
        <v>86.44</v>
      </c>
      <c r="BH227">
        <v>86.77</v>
      </c>
      <c r="BI227" s="24">
        <f t="shared" si="85"/>
        <v>86.543333333333337</v>
      </c>
      <c r="BJ227" t="s">
        <v>52</v>
      </c>
      <c r="BK227" t="s">
        <v>51</v>
      </c>
      <c r="BL227" t="s">
        <v>52</v>
      </c>
      <c r="BU227" t="s">
        <v>1001</v>
      </c>
    </row>
    <row r="228" spans="1:73" x14ac:dyDescent="0.25">
      <c r="A228" t="s">
        <v>57</v>
      </c>
      <c r="B228" s="111" t="s">
        <v>1083</v>
      </c>
      <c r="C228" t="s">
        <v>207</v>
      </c>
      <c r="D228" t="s">
        <v>656</v>
      </c>
      <c r="E228">
        <v>1353</v>
      </c>
      <c r="H228" s="100">
        <v>43232</v>
      </c>
      <c r="I228" t="s">
        <v>93</v>
      </c>
      <c r="K228" s="33">
        <v>2</v>
      </c>
      <c r="L228" s="10" t="s">
        <v>64</v>
      </c>
      <c r="M228">
        <v>903</v>
      </c>
      <c r="N228">
        <v>95</v>
      </c>
      <c r="O228" s="9">
        <f t="shared" si="77"/>
        <v>808</v>
      </c>
      <c r="P228" s="35">
        <v>254</v>
      </c>
      <c r="Q228" s="35">
        <v>254</v>
      </c>
      <c r="R228" s="35">
        <v>254</v>
      </c>
      <c r="S228" s="24">
        <f t="shared" si="78"/>
        <v>254</v>
      </c>
      <c r="T228" s="35">
        <v>0</v>
      </c>
      <c r="U228" s="35">
        <v>0</v>
      </c>
      <c r="V228" s="35">
        <v>0</v>
      </c>
      <c r="W228" s="24">
        <f t="shared" si="79"/>
        <v>0</v>
      </c>
      <c r="X228" s="36">
        <v>0</v>
      </c>
      <c r="Y228">
        <v>0</v>
      </c>
      <c r="Z228">
        <v>0</v>
      </c>
      <c r="AA228" s="24">
        <f t="shared" si="80"/>
        <v>0</v>
      </c>
      <c r="AB228" s="37">
        <v>44.43</v>
      </c>
      <c r="AC228" s="37">
        <v>44.34</v>
      </c>
      <c r="AD228" s="37">
        <v>44.4</v>
      </c>
      <c r="AE228" s="24">
        <f t="shared" si="81"/>
        <v>44.390000000000008</v>
      </c>
      <c r="AF228" s="37">
        <v>83.21</v>
      </c>
      <c r="AG228" s="37">
        <v>83.42</v>
      </c>
      <c r="AH228" s="37">
        <v>83.23</v>
      </c>
      <c r="AI228" s="24">
        <f t="shared" si="82"/>
        <v>83.286666666666676</v>
      </c>
      <c r="AJ228" s="37"/>
      <c r="AK228" s="37"/>
      <c r="AL228" s="37"/>
      <c r="AM228" s="24"/>
      <c r="AS228" t="s">
        <v>65</v>
      </c>
      <c r="AT228">
        <v>8</v>
      </c>
      <c r="AU228">
        <v>2</v>
      </c>
      <c r="AV228">
        <v>1</v>
      </c>
      <c r="AX228" s="35">
        <v>51.75</v>
      </c>
      <c r="AY228" s="35">
        <v>51.33</v>
      </c>
      <c r="AZ228" s="35">
        <v>51.86</v>
      </c>
      <c r="BA228" s="24">
        <f t="shared" si="83"/>
        <v>51.646666666666668</v>
      </c>
      <c r="BB228" s="35">
        <v>31.99</v>
      </c>
      <c r="BC228" s="35">
        <v>32.020000000000003</v>
      </c>
      <c r="BD228" s="35">
        <v>32.03</v>
      </c>
      <c r="BE228" s="24">
        <f t="shared" si="84"/>
        <v>32.013333333333335</v>
      </c>
      <c r="BF228" s="35">
        <v>78.81</v>
      </c>
      <c r="BG228">
        <v>79.010000000000005</v>
      </c>
      <c r="BH228">
        <v>18.89</v>
      </c>
      <c r="BI228" s="24">
        <f t="shared" si="85"/>
        <v>58.903333333333329</v>
      </c>
      <c r="BJ228" t="s">
        <v>52</v>
      </c>
      <c r="BK228" t="s">
        <v>51</v>
      </c>
      <c r="BL228" t="s">
        <v>52</v>
      </c>
      <c r="BU228" t="s">
        <v>1002</v>
      </c>
    </row>
    <row r="229" spans="1:73" x14ac:dyDescent="0.25">
      <c r="A229" t="s">
        <v>57</v>
      </c>
      <c r="B229" s="111" t="s">
        <v>1101</v>
      </c>
      <c r="C229" t="s">
        <v>49</v>
      </c>
      <c r="D229" t="s">
        <v>656</v>
      </c>
      <c r="E229">
        <v>1692</v>
      </c>
      <c r="H229" s="100">
        <v>43232</v>
      </c>
      <c r="I229" t="s">
        <v>94</v>
      </c>
      <c r="K229" s="33">
        <v>1</v>
      </c>
      <c r="L229" s="10" t="s">
        <v>50</v>
      </c>
      <c r="M229">
        <v>474</v>
      </c>
      <c r="N229">
        <v>91</v>
      </c>
      <c r="O229" s="9">
        <f t="shared" si="77"/>
        <v>383</v>
      </c>
      <c r="P229">
        <v>190</v>
      </c>
      <c r="Q229">
        <v>191</v>
      </c>
      <c r="R229">
        <v>191</v>
      </c>
      <c r="S229" s="24">
        <f t="shared" si="78"/>
        <v>190.66666666666666</v>
      </c>
      <c r="T229">
        <v>115</v>
      </c>
      <c r="U229">
        <v>116</v>
      </c>
      <c r="V229">
        <v>115</v>
      </c>
      <c r="W229" s="24">
        <f t="shared" si="79"/>
        <v>115.33333333333333</v>
      </c>
      <c r="X229" s="36">
        <v>7.56</v>
      </c>
      <c r="Y229">
        <v>7.49</v>
      </c>
      <c r="Z229">
        <v>7.31</v>
      </c>
      <c r="AA229" s="24">
        <f t="shared" si="80"/>
        <v>7.4533333333333331</v>
      </c>
      <c r="AB229" s="37">
        <v>38.19</v>
      </c>
      <c r="AC229" s="37">
        <v>38.06</v>
      </c>
      <c r="AD229" s="37">
        <v>38.369999999999997</v>
      </c>
      <c r="AE229" s="24">
        <f t="shared" si="81"/>
        <v>38.206666666666671</v>
      </c>
      <c r="AF229" s="37">
        <v>65.27</v>
      </c>
      <c r="AG229" s="37">
        <v>64.400000000000006</v>
      </c>
      <c r="AH229" s="37">
        <v>65.25</v>
      </c>
      <c r="AI229" s="24">
        <f t="shared" si="82"/>
        <v>64.973333333333343</v>
      </c>
      <c r="AJ229" s="37">
        <v>12.03</v>
      </c>
      <c r="AK229" s="37">
        <v>11.79</v>
      </c>
      <c r="AL229" s="37">
        <v>12.08</v>
      </c>
      <c r="AM229" s="24">
        <f>AVERAGE(AJ229:AL229)</f>
        <v>11.966666666666667</v>
      </c>
      <c r="AN229" s="37">
        <v>8.6999999999999993</v>
      </c>
      <c r="AO229" s="37">
        <v>8.57</v>
      </c>
      <c r="AP229" s="37">
        <v>8.34</v>
      </c>
      <c r="AQ229" s="24">
        <f>AVERAGE(AN229:AP229)</f>
        <v>8.5366666666666671</v>
      </c>
      <c r="AX229">
        <v>38.67</v>
      </c>
      <c r="AY229">
        <v>38.72</v>
      </c>
      <c r="AZ229">
        <v>38.69</v>
      </c>
      <c r="BA229" s="24">
        <f t="shared" si="83"/>
        <v>38.693333333333335</v>
      </c>
      <c r="BB229">
        <v>28.16</v>
      </c>
      <c r="BC229">
        <v>18.170000000000002</v>
      </c>
      <c r="BD229">
        <v>28.19</v>
      </c>
      <c r="BE229" s="24">
        <f t="shared" si="84"/>
        <v>24.84</v>
      </c>
      <c r="BF229">
        <v>69.7</v>
      </c>
      <c r="BG229">
        <v>69.75</v>
      </c>
      <c r="BH229">
        <v>69.27</v>
      </c>
      <c r="BI229" s="24">
        <f t="shared" si="85"/>
        <v>69.573333333333323</v>
      </c>
      <c r="BJ229" t="s">
        <v>51</v>
      </c>
      <c r="BK229" t="s">
        <v>51</v>
      </c>
      <c r="BL229" t="s">
        <v>52</v>
      </c>
      <c r="BU229" t="s">
        <v>1003</v>
      </c>
    </row>
    <row r="230" spans="1:73" x14ac:dyDescent="0.25">
      <c r="A230" t="s">
        <v>57</v>
      </c>
      <c r="B230" s="111" t="s">
        <v>1081</v>
      </c>
      <c r="C230" t="s">
        <v>207</v>
      </c>
      <c r="D230" t="s">
        <v>656</v>
      </c>
      <c r="E230">
        <v>1402</v>
      </c>
      <c r="H230" s="100">
        <v>43232</v>
      </c>
      <c r="I230" t="s">
        <v>215</v>
      </c>
      <c r="K230" s="33">
        <v>4</v>
      </c>
      <c r="L230" s="10" t="s">
        <v>64</v>
      </c>
      <c r="M230">
        <v>1041</v>
      </c>
      <c r="N230">
        <v>92</v>
      </c>
      <c r="O230" s="9">
        <f t="shared" si="77"/>
        <v>949</v>
      </c>
      <c r="P230" s="35">
        <v>266</v>
      </c>
      <c r="Q230" s="35">
        <v>266</v>
      </c>
      <c r="R230" s="35">
        <v>266</v>
      </c>
      <c r="S230" s="24">
        <f t="shared" si="78"/>
        <v>266</v>
      </c>
      <c r="T230" s="35">
        <v>147</v>
      </c>
      <c r="U230" s="35">
        <v>148</v>
      </c>
      <c r="V230" s="35">
        <v>148</v>
      </c>
      <c r="W230" s="24">
        <f t="shared" si="79"/>
        <v>147.66666666666666</v>
      </c>
      <c r="X230" s="36">
        <v>9.61</v>
      </c>
      <c r="Y230" s="35">
        <v>9.56</v>
      </c>
      <c r="Z230" s="35">
        <v>9.8800000000000008</v>
      </c>
      <c r="AA230" s="24">
        <f t="shared" si="80"/>
        <v>9.6833333333333353</v>
      </c>
      <c r="AB230" s="37">
        <v>45.33</v>
      </c>
      <c r="AC230" s="37">
        <v>45.09</v>
      </c>
      <c r="AD230" s="37">
        <v>45.32</v>
      </c>
      <c r="AE230" s="24">
        <f t="shared" si="81"/>
        <v>45.24666666666667</v>
      </c>
      <c r="AF230" s="37">
        <v>82.79</v>
      </c>
      <c r="AG230" s="37">
        <v>82.89</v>
      </c>
      <c r="AH230" s="37">
        <v>82.98</v>
      </c>
      <c r="AI230" s="24">
        <f t="shared" si="82"/>
        <v>82.88666666666667</v>
      </c>
      <c r="AS230" t="s">
        <v>65</v>
      </c>
      <c r="AT230">
        <v>8</v>
      </c>
      <c r="AU230">
        <v>4</v>
      </c>
      <c r="AV230">
        <v>0</v>
      </c>
      <c r="AX230" s="35">
        <v>54.28</v>
      </c>
      <c r="AY230" s="35">
        <v>54.16</v>
      </c>
      <c r="AZ230" s="35">
        <v>54.1</v>
      </c>
      <c r="BA230" s="24">
        <f t="shared" si="83"/>
        <v>54.18</v>
      </c>
      <c r="BB230" s="35">
        <v>34.26</v>
      </c>
      <c r="BC230" s="35">
        <v>34.35</v>
      </c>
      <c r="BD230" s="35">
        <v>33.99</v>
      </c>
      <c r="BE230" s="24">
        <f t="shared" si="84"/>
        <v>34.199999999999996</v>
      </c>
      <c r="BF230" s="35">
        <v>80.77</v>
      </c>
      <c r="BG230" s="35">
        <v>80.97</v>
      </c>
      <c r="BH230" s="35">
        <v>81.099999999999994</v>
      </c>
      <c r="BI230" s="24">
        <f t="shared" si="85"/>
        <v>80.946666666666673</v>
      </c>
      <c r="BJ230" t="s">
        <v>52</v>
      </c>
      <c r="BK230" t="s">
        <v>51</v>
      </c>
      <c r="BL230" t="s">
        <v>52</v>
      </c>
      <c r="BU230" t="s">
        <v>1003</v>
      </c>
    </row>
    <row r="231" spans="1:73" s="176" customFormat="1" x14ac:dyDescent="0.25">
      <c r="A231" s="183" t="s">
        <v>1595</v>
      </c>
      <c r="J231" s="177"/>
      <c r="K231" s="178"/>
      <c r="L231" s="179"/>
      <c r="O231" s="177"/>
      <c r="S231" s="180"/>
      <c r="W231" s="180"/>
      <c r="X231" s="181"/>
      <c r="AA231" s="180"/>
      <c r="AE231" s="180"/>
      <c r="AI231" s="180"/>
      <c r="AJ231" s="182"/>
      <c r="AK231" s="182"/>
      <c r="AL231" s="182"/>
      <c r="AM231" s="177"/>
      <c r="AN231" s="182"/>
      <c r="AO231" s="182"/>
      <c r="AP231" s="182"/>
      <c r="AQ231" s="177"/>
      <c r="AR231" s="179"/>
      <c r="AW231" s="177"/>
      <c r="BA231" s="180"/>
      <c r="BE231" s="180"/>
      <c r="BI231" s="180"/>
      <c r="BO231" s="177"/>
      <c r="BP231" s="182"/>
      <c r="BQ231" s="182"/>
      <c r="BR231" s="182"/>
      <c r="BS231" s="182"/>
      <c r="BT231" s="177"/>
    </row>
    <row r="232" spans="1:73" x14ac:dyDescent="0.25">
      <c r="A232" t="s">
        <v>57</v>
      </c>
      <c r="B232" s="111" t="s">
        <v>1098</v>
      </c>
      <c r="C232" t="s">
        <v>207</v>
      </c>
      <c r="D232" t="s">
        <v>208</v>
      </c>
      <c r="E232">
        <v>1399</v>
      </c>
      <c r="H232" s="100">
        <v>43295</v>
      </c>
      <c r="I232" t="s">
        <v>95</v>
      </c>
      <c r="K232" s="34" t="s">
        <v>299</v>
      </c>
      <c r="L232" s="10" t="s">
        <v>50</v>
      </c>
      <c r="M232">
        <v>1301</v>
      </c>
      <c r="N232">
        <v>89</v>
      </c>
      <c r="O232" s="9">
        <f t="shared" ref="O232:O240" si="86">M232-N232</f>
        <v>1212</v>
      </c>
      <c r="P232" s="35">
        <v>305</v>
      </c>
      <c r="Q232" s="35">
        <v>302</v>
      </c>
      <c r="R232" s="35">
        <v>305</v>
      </c>
      <c r="S232" s="24">
        <f t="shared" ref="S232:S240" si="87">AVERAGE(P232:R232)</f>
        <v>304</v>
      </c>
      <c r="T232" s="35">
        <v>179</v>
      </c>
      <c r="U232" s="35">
        <v>181</v>
      </c>
      <c r="V232" s="35">
        <v>183</v>
      </c>
      <c r="W232" s="24">
        <f t="shared" ref="W232:W240" si="88">AVERAGE(T232:V232)</f>
        <v>181</v>
      </c>
      <c r="X232" s="36">
        <v>11.8</v>
      </c>
      <c r="Y232" s="35">
        <v>11.9</v>
      </c>
      <c r="Z232" s="35">
        <v>12</v>
      </c>
      <c r="AA232" s="24">
        <f t="shared" ref="AA232:AA240" si="89">AVERAGE(X232:Z232)</f>
        <v>11.9</v>
      </c>
      <c r="AB232" s="37">
        <v>54.37</v>
      </c>
      <c r="AC232" s="37">
        <v>53.96</v>
      </c>
      <c r="AD232">
        <v>54.32</v>
      </c>
      <c r="AE232" s="24">
        <f t="shared" ref="AE232:AE240" si="90">AVERAGE(AB232:AD232)</f>
        <v>54.216666666666669</v>
      </c>
      <c r="AF232" s="37">
        <v>97.8</v>
      </c>
      <c r="AG232" s="37">
        <v>97.45</v>
      </c>
      <c r="AH232" s="37">
        <v>98.16</v>
      </c>
      <c r="AI232" s="24">
        <f t="shared" ref="AI232:AI240" si="91">AVERAGE(AF232:AH232)</f>
        <v>97.803333333333327</v>
      </c>
      <c r="AJ232" s="37">
        <v>27.86</v>
      </c>
      <c r="AK232" s="37">
        <v>27.46</v>
      </c>
      <c r="AL232" s="37">
        <v>27.08</v>
      </c>
      <c r="AM232" s="24">
        <f>AVERAGE(AJ232:AL232)</f>
        <v>27.466666666666669</v>
      </c>
      <c r="AN232" s="37">
        <v>21.62</v>
      </c>
      <c r="AO232" s="37">
        <v>21.28</v>
      </c>
      <c r="AP232" s="37">
        <v>21.16</v>
      </c>
      <c r="AQ232" s="24">
        <f>AVERAGE(AN232:AP232)</f>
        <v>21.353333333333335</v>
      </c>
      <c r="AX232" s="35">
        <v>65.319999999999993</v>
      </c>
      <c r="AY232" s="35">
        <v>64.52</v>
      </c>
      <c r="AZ232" s="35">
        <v>64.34</v>
      </c>
      <c r="BA232" s="24">
        <f t="shared" ref="BA232:BA240" si="92">AVERAGE(AX232:AZ232)</f>
        <v>64.726666666666659</v>
      </c>
      <c r="BB232" s="35">
        <v>35.1</v>
      </c>
      <c r="BC232" s="35">
        <v>35.29</v>
      </c>
      <c r="BD232" s="35">
        <v>35.86</v>
      </c>
      <c r="BE232" s="24">
        <f t="shared" ref="BE232:BE240" si="93">AVERAGE(BB232:BD232)</f>
        <v>35.416666666666664</v>
      </c>
      <c r="BF232" s="35">
        <v>89.17</v>
      </c>
      <c r="BG232" s="35">
        <v>89.22</v>
      </c>
      <c r="BH232" s="35">
        <v>89.31</v>
      </c>
      <c r="BI232" s="24">
        <f t="shared" ref="BI232:BI240" si="94">AVERAGE(BF232:BH232)</f>
        <v>89.233333333333334</v>
      </c>
      <c r="BJ232" t="s">
        <v>52</v>
      </c>
      <c r="BK232" t="s">
        <v>51</v>
      </c>
      <c r="BL232" t="s">
        <v>52</v>
      </c>
      <c r="BU232" t="s">
        <v>1006</v>
      </c>
    </row>
    <row r="233" spans="1:73" x14ac:dyDescent="0.25">
      <c r="A233" t="s">
        <v>57</v>
      </c>
      <c r="B233" s="111" t="s">
        <v>1032</v>
      </c>
      <c r="C233" t="s">
        <v>207</v>
      </c>
      <c r="D233" t="s">
        <v>208</v>
      </c>
      <c r="E233">
        <v>1175</v>
      </c>
      <c r="H233" s="100">
        <v>43295</v>
      </c>
      <c r="I233" t="s">
        <v>90</v>
      </c>
      <c r="K233" s="112">
        <v>4</v>
      </c>
      <c r="L233" s="10" t="s">
        <v>64</v>
      </c>
      <c r="M233">
        <v>1137</v>
      </c>
      <c r="N233">
        <v>92</v>
      </c>
      <c r="O233" s="9">
        <f t="shared" si="86"/>
        <v>1045</v>
      </c>
      <c r="P233" s="35">
        <v>257</v>
      </c>
      <c r="Q233" s="35">
        <v>254</v>
      </c>
      <c r="R233" s="35">
        <v>255</v>
      </c>
      <c r="S233" s="24">
        <f t="shared" si="87"/>
        <v>255.33333333333334</v>
      </c>
      <c r="T233" s="35">
        <v>154</v>
      </c>
      <c r="U233" s="35">
        <v>155</v>
      </c>
      <c r="V233" s="35">
        <v>155</v>
      </c>
      <c r="W233" s="24">
        <f t="shared" si="88"/>
        <v>154.66666666666666</v>
      </c>
      <c r="X233" s="36">
        <v>11.71</v>
      </c>
      <c r="Y233" s="35">
        <v>11.81</v>
      </c>
      <c r="Z233" s="35">
        <v>11.79</v>
      </c>
      <c r="AA233" s="24">
        <f t="shared" si="89"/>
        <v>11.770000000000001</v>
      </c>
      <c r="AB233" s="37">
        <v>46.64</v>
      </c>
      <c r="AC233" s="37">
        <v>46.38</v>
      </c>
      <c r="AD233" s="37">
        <v>47.22</v>
      </c>
      <c r="AE233" s="24">
        <f t="shared" si="90"/>
        <v>46.74666666666667</v>
      </c>
      <c r="AF233" s="37">
        <v>94.91</v>
      </c>
      <c r="AG233" s="37">
        <v>93.58</v>
      </c>
      <c r="AH233" s="37">
        <v>93.45</v>
      </c>
      <c r="AI233" s="24">
        <f t="shared" si="91"/>
        <v>93.98</v>
      </c>
      <c r="AS233" t="s">
        <v>65</v>
      </c>
      <c r="AT233">
        <v>8</v>
      </c>
      <c r="AU233">
        <v>8</v>
      </c>
      <c r="AV233">
        <v>0</v>
      </c>
      <c r="AX233" s="35">
        <v>60.45</v>
      </c>
      <c r="AY233" s="35">
        <v>60.34</v>
      </c>
      <c r="AZ233" s="35">
        <v>59.99</v>
      </c>
      <c r="BA233" s="24">
        <f t="shared" si="92"/>
        <v>60.26</v>
      </c>
      <c r="BB233" s="35">
        <v>34.56</v>
      </c>
      <c r="BC233" s="35">
        <v>34</v>
      </c>
      <c r="BD233" s="35">
        <v>34.11</v>
      </c>
      <c r="BE233" s="24">
        <f t="shared" si="93"/>
        <v>34.223333333333336</v>
      </c>
      <c r="BF233" s="35">
        <v>84.25</v>
      </c>
      <c r="BG233" s="35">
        <v>83.41</v>
      </c>
      <c r="BH233" s="35">
        <v>83.4</v>
      </c>
      <c r="BI233" s="24">
        <f t="shared" si="94"/>
        <v>83.686666666666667</v>
      </c>
      <c r="BJ233" t="s">
        <v>51</v>
      </c>
      <c r="BK233" t="s">
        <v>51</v>
      </c>
      <c r="BL233" t="s">
        <v>52</v>
      </c>
      <c r="BU233" t="s">
        <v>1007</v>
      </c>
    </row>
    <row r="234" spans="1:73" x14ac:dyDescent="0.25">
      <c r="A234" t="s">
        <v>57</v>
      </c>
      <c r="B234" s="111" t="s">
        <v>1081</v>
      </c>
      <c r="C234" t="s">
        <v>207</v>
      </c>
      <c r="D234" t="s">
        <v>208</v>
      </c>
      <c r="E234">
        <v>1402</v>
      </c>
      <c r="H234" s="100">
        <v>43295</v>
      </c>
      <c r="I234" t="s">
        <v>1008</v>
      </c>
      <c r="K234" s="33">
        <v>3</v>
      </c>
      <c r="L234" s="10" t="s">
        <v>64</v>
      </c>
      <c r="M234">
        <v>1032</v>
      </c>
      <c r="N234">
        <v>95</v>
      </c>
      <c r="O234" s="9">
        <f t="shared" si="86"/>
        <v>937</v>
      </c>
      <c r="P234" s="35">
        <v>236</v>
      </c>
      <c r="Q234" s="35">
        <v>237</v>
      </c>
      <c r="R234" s="35">
        <v>236</v>
      </c>
      <c r="S234" s="24">
        <f t="shared" si="87"/>
        <v>236.33333333333334</v>
      </c>
      <c r="T234" s="35">
        <v>152</v>
      </c>
      <c r="U234" s="35">
        <v>152</v>
      </c>
      <c r="V234" s="35">
        <v>153</v>
      </c>
      <c r="W234" s="24">
        <f t="shared" si="88"/>
        <v>152.33333333333334</v>
      </c>
      <c r="X234" s="36">
        <v>98</v>
      </c>
      <c r="Y234" s="35">
        <v>9.4</v>
      </c>
      <c r="Z234" s="35">
        <v>9.4600000000000009</v>
      </c>
      <c r="AA234" s="24">
        <f t="shared" si="89"/>
        <v>38.95333333333334</v>
      </c>
      <c r="AB234" s="37">
        <v>44.74</v>
      </c>
      <c r="AC234" s="37">
        <v>44.4</v>
      </c>
      <c r="AD234" s="37">
        <v>44.67</v>
      </c>
      <c r="AE234" s="24">
        <f t="shared" si="90"/>
        <v>44.603333333333332</v>
      </c>
      <c r="AF234" s="37">
        <v>84.79</v>
      </c>
      <c r="AG234" s="37">
        <v>84.94</v>
      </c>
      <c r="AH234" s="37">
        <v>94.93</v>
      </c>
      <c r="AI234" s="24">
        <f t="shared" si="91"/>
        <v>88.220000000000013</v>
      </c>
      <c r="AS234" t="s">
        <v>65</v>
      </c>
      <c r="AT234">
        <v>8</v>
      </c>
      <c r="AU234">
        <v>8</v>
      </c>
      <c r="AV234">
        <v>0</v>
      </c>
      <c r="AX234" s="35">
        <v>56.21</v>
      </c>
      <c r="AY234" s="35">
        <v>56.03</v>
      </c>
      <c r="AZ234" s="35">
        <v>56.22</v>
      </c>
      <c r="BA234" s="24">
        <f t="shared" si="92"/>
        <v>56.153333333333336</v>
      </c>
      <c r="BB234" s="35">
        <v>34.07</v>
      </c>
      <c r="BC234" s="35">
        <v>33.979999999999997</v>
      </c>
      <c r="BD234" s="35">
        <v>34.04</v>
      </c>
      <c r="BE234" s="24">
        <f t="shared" si="93"/>
        <v>34.03</v>
      </c>
      <c r="BF234" s="35">
        <v>79.11</v>
      </c>
      <c r="BG234" s="35">
        <v>78.989999999999995</v>
      </c>
      <c r="BH234" s="35">
        <v>78.91</v>
      </c>
      <c r="BI234" s="24">
        <f t="shared" si="94"/>
        <v>79.00333333333333</v>
      </c>
      <c r="BJ234" t="s">
        <v>52</v>
      </c>
      <c r="BK234" t="s">
        <v>51</v>
      </c>
      <c r="BL234" t="s">
        <v>52</v>
      </c>
      <c r="BU234" t="s">
        <v>1007</v>
      </c>
    </row>
    <row r="235" spans="1:73" x14ac:dyDescent="0.25">
      <c r="A235" t="s">
        <v>57</v>
      </c>
      <c r="B235" s="111" t="s">
        <v>1021</v>
      </c>
      <c r="C235" t="s">
        <v>207</v>
      </c>
      <c r="D235" t="s">
        <v>208</v>
      </c>
      <c r="E235">
        <v>1143</v>
      </c>
      <c r="H235" s="100">
        <v>43297</v>
      </c>
      <c r="I235" t="s">
        <v>962</v>
      </c>
      <c r="K235" s="33">
        <v>3</v>
      </c>
      <c r="L235" s="10" t="s">
        <v>64</v>
      </c>
      <c r="M235">
        <v>999</v>
      </c>
      <c r="N235">
        <v>93</v>
      </c>
      <c r="O235" s="9">
        <f t="shared" si="86"/>
        <v>906</v>
      </c>
      <c r="P235" s="35">
        <v>287</v>
      </c>
      <c r="Q235" s="35">
        <v>287</v>
      </c>
      <c r="R235" s="35">
        <v>287</v>
      </c>
      <c r="S235" s="24">
        <f t="shared" si="87"/>
        <v>287</v>
      </c>
      <c r="T235" s="35">
        <v>0</v>
      </c>
      <c r="U235" s="35">
        <v>0</v>
      </c>
      <c r="V235" s="35">
        <v>0</v>
      </c>
      <c r="W235" s="24">
        <f t="shared" si="88"/>
        <v>0</v>
      </c>
      <c r="X235" s="36">
        <v>0</v>
      </c>
      <c r="Y235" s="35">
        <v>0</v>
      </c>
      <c r="Z235" s="35">
        <v>0</v>
      </c>
      <c r="AA235" s="24">
        <f t="shared" si="89"/>
        <v>0</v>
      </c>
      <c r="AB235" s="37">
        <v>45.32</v>
      </c>
      <c r="AC235" s="37">
        <v>45.32</v>
      </c>
      <c r="AD235" s="37">
        <v>45.37</v>
      </c>
      <c r="AE235" s="24">
        <f t="shared" si="90"/>
        <v>45.336666666666666</v>
      </c>
      <c r="AF235" s="37">
        <v>88.94</v>
      </c>
      <c r="AG235" s="37">
        <v>89.09</v>
      </c>
      <c r="AH235" s="37">
        <v>89.49</v>
      </c>
      <c r="AI235" s="24">
        <f t="shared" si="91"/>
        <v>89.173333333333332</v>
      </c>
      <c r="AS235" t="s">
        <v>65</v>
      </c>
      <c r="AT235">
        <v>8</v>
      </c>
      <c r="AU235">
        <v>8</v>
      </c>
      <c r="AV235">
        <v>0</v>
      </c>
      <c r="AX235" s="35">
        <v>53.06</v>
      </c>
      <c r="AY235" s="35">
        <v>53.09</v>
      </c>
      <c r="AZ235" s="35">
        <v>52.94</v>
      </c>
      <c r="BA235" s="24">
        <f t="shared" si="92"/>
        <v>53.03</v>
      </c>
      <c r="BB235" s="35">
        <v>32.090000000000003</v>
      </c>
      <c r="BC235" s="35">
        <v>31.89</v>
      </c>
      <c r="BD235" s="35">
        <v>31.98</v>
      </c>
      <c r="BE235" s="24">
        <f t="shared" si="93"/>
        <v>31.986666666666668</v>
      </c>
      <c r="BF235" s="35">
        <v>82.85</v>
      </c>
      <c r="BG235" s="35">
        <v>83.09</v>
      </c>
      <c r="BH235" s="35">
        <v>82.91</v>
      </c>
      <c r="BI235" s="24">
        <f t="shared" si="94"/>
        <v>82.95</v>
      </c>
      <c r="BJ235" t="s">
        <v>52</v>
      </c>
      <c r="BK235" t="s">
        <v>51</v>
      </c>
      <c r="BL235" t="s">
        <v>52</v>
      </c>
    </row>
    <row r="236" spans="1:73" x14ac:dyDescent="0.25">
      <c r="A236" t="s">
        <v>57</v>
      </c>
      <c r="B236" s="111" t="s">
        <v>1056</v>
      </c>
      <c r="C236" t="s">
        <v>207</v>
      </c>
      <c r="D236" t="s">
        <v>208</v>
      </c>
      <c r="E236">
        <v>1007</v>
      </c>
      <c r="H236" s="100">
        <v>43301</v>
      </c>
      <c r="I236" t="s">
        <v>1009</v>
      </c>
      <c r="K236" s="33">
        <v>3</v>
      </c>
      <c r="L236" s="10" t="s">
        <v>64</v>
      </c>
      <c r="M236">
        <v>844</v>
      </c>
      <c r="N236">
        <v>91</v>
      </c>
      <c r="O236" s="9">
        <f t="shared" si="86"/>
        <v>753</v>
      </c>
      <c r="P236" s="35">
        <v>236</v>
      </c>
      <c r="Q236" s="35">
        <v>237</v>
      </c>
      <c r="R236" s="35">
        <v>236</v>
      </c>
      <c r="S236" s="24">
        <f t="shared" si="87"/>
        <v>236.33333333333334</v>
      </c>
      <c r="T236" s="35">
        <v>154</v>
      </c>
      <c r="U236" s="35">
        <v>153</v>
      </c>
      <c r="V236" s="35">
        <v>154</v>
      </c>
      <c r="W236" s="24">
        <f t="shared" si="88"/>
        <v>153.66666666666666</v>
      </c>
      <c r="X236" s="36">
        <v>9.61</v>
      </c>
      <c r="Y236" s="35">
        <v>9.68</v>
      </c>
      <c r="Z236" s="35">
        <v>9.75</v>
      </c>
      <c r="AA236" s="24">
        <f t="shared" si="89"/>
        <v>9.68</v>
      </c>
      <c r="AB236" s="37">
        <v>41.08</v>
      </c>
      <c r="AC236" s="37">
        <v>41.21</v>
      </c>
      <c r="AD236" s="37">
        <v>41.64</v>
      </c>
      <c r="AE236" s="24">
        <f t="shared" si="90"/>
        <v>41.309999999999995</v>
      </c>
      <c r="AF236" s="37">
        <v>85.51</v>
      </c>
      <c r="AG236" s="37">
        <v>85.32</v>
      </c>
      <c r="AH236" s="37">
        <v>85.58</v>
      </c>
      <c r="AI236" s="24">
        <f t="shared" si="91"/>
        <v>85.469999999999985</v>
      </c>
      <c r="AS236" t="s">
        <v>65</v>
      </c>
      <c r="AT236">
        <v>8</v>
      </c>
      <c r="AU236">
        <v>8</v>
      </c>
      <c r="AV236">
        <v>0</v>
      </c>
      <c r="AX236" s="35">
        <v>52.34</v>
      </c>
      <c r="AY236" s="35">
        <v>52.08</v>
      </c>
      <c r="AZ236" s="35">
        <v>52.3</v>
      </c>
      <c r="BA236" s="24">
        <f t="shared" si="92"/>
        <v>52.24</v>
      </c>
      <c r="BB236" s="35">
        <v>32.82</v>
      </c>
      <c r="BC236" s="35">
        <v>31.94</v>
      </c>
      <c r="BD236" s="35">
        <v>31.89</v>
      </c>
      <c r="BE236" s="24">
        <f t="shared" si="93"/>
        <v>32.216666666666669</v>
      </c>
      <c r="BF236" s="35">
        <v>77.17</v>
      </c>
      <c r="BG236" s="35">
        <v>77.23</v>
      </c>
      <c r="BH236" s="35">
        <v>77.3</v>
      </c>
      <c r="BI236" s="24">
        <f t="shared" si="94"/>
        <v>77.233333333333334</v>
      </c>
      <c r="BJ236" t="s">
        <v>51</v>
      </c>
      <c r="BK236" t="s">
        <v>51</v>
      </c>
      <c r="BL236" t="s">
        <v>52</v>
      </c>
      <c r="BU236" t="s">
        <v>1007</v>
      </c>
    </row>
    <row r="237" spans="1:73" x14ac:dyDescent="0.25">
      <c r="A237" t="s">
        <v>57</v>
      </c>
      <c r="B237" s="111" t="s">
        <v>1102</v>
      </c>
      <c r="C237" t="s">
        <v>49</v>
      </c>
      <c r="D237" t="s">
        <v>208</v>
      </c>
      <c r="E237">
        <v>1549</v>
      </c>
      <c r="H237" s="100">
        <v>43301</v>
      </c>
      <c r="I237" t="s">
        <v>1010</v>
      </c>
      <c r="K237" s="33">
        <v>1</v>
      </c>
      <c r="L237" s="10" t="s">
        <v>64</v>
      </c>
      <c r="M237">
        <v>602</v>
      </c>
      <c r="N237">
        <v>91</v>
      </c>
      <c r="O237" s="9">
        <f t="shared" si="86"/>
        <v>511</v>
      </c>
      <c r="P237" s="35">
        <v>196</v>
      </c>
      <c r="Q237" s="35">
        <v>196</v>
      </c>
      <c r="R237" s="35">
        <v>196</v>
      </c>
      <c r="S237" s="24">
        <f t="shared" si="87"/>
        <v>196</v>
      </c>
      <c r="T237" s="35">
        <v>136</v>
      </c>
      <c r="U237" s="35">
        <v>135</v>
      </c>
      <c r="V237" s="35">
        <v>135</v>
      </c>
      <c r="W237" s="24">
        <f t="shared" si="88"/>
        <v>135.33333333333334</v>
      </c>
      <c r="X237" s="36">
        <v>8.2100000000000009</v>
      </c>
      <c r="Y237" s="35">
        <v>8.48</v>
      </c>
      <c r="Z237" s="35">
        <v>8.43</v>
      </c>
      <c r="AA237" s="24">
        <f t="shared" si="89"/>
        <v>8.3733333333333331</v>
      </c>
      <c r="AB237" s="37">
        <v>38.549999999999997</v>
      </c>
      <c r="AC237" s="37">
        <v>38.729999999999997</v>
      </c>
      <c r="AD237" s="37">
        <v>38.49</v>
      </c>
      <c r="AE237" s="24">
        <f t="shared" si="90"/>
        <v>38.590000000000003</v>
      </c>
      <c r="AF237" s="37">
        <v>69.069999999999993</v>
      </c>
      <c r="AG237" s="37">
        <v>69.45</v>
      </c>
      <c r="AH237" s="37">
        <v>69.319999999999993</v>
      </c>
      <c r="AI237" s="24">
        <f t="shared" si="91"/>
        <v>69.279999999999987</v>
      </c>
      <c r="AS237" t="s">
        <v>65</v>
      </c>
      <c r="AT237">
        <v>8</v>
      </c>
      <c r="AU237">
        <v>0</v>
      </c>
      <c r="AV237">
        <v>0</v>
      </c>
      <c r="AX237" s="35">
        <v>47.31</v>
      </c>
      <c r="AY237" s="35">
        <v>47.08</v>
      </c>
      <c r="AZ237" s="35">
        <v>47.27</v>
      </c>
      <c r="BA237" s="24">
        <f t="shared" si="92"/>
        <v>47.22</v>
      </c>
      <c r="BB237" s="35">
        <v>29.44</v>
      </c>
      <c r="BC237" s="35">
        <v>299.14</v>
      </c>
      <c r="BD237" s="35">
        <v>29.45</v>
      </c>
      <c r="BE237" s="24">
        <f t="shared" si="93"/>
        <v>119.34333333333332</v>
      </c>
      <c r="BF237" s="35">
        <v>70.28</v>
      </c>
      <c r="BG237" s="35">
        <v>69.77</v>
      </c>
      <c r="BH237" s="35">
        <v>69.78</v>
      </c>
      <c r="BI237" s="24">
        <f t="shared" si="94"/>
        <v>69.943333333333342</v>
      </c>
      <c r="BJ237" t="s">
        <v>51</v>
      </c>
      <c r="BK237" t="s">
        <v>51</v>
      </c>
      <c r="BL237" t="s">
        <v>51</v>
      </c>
      <c r="BU237" t="s">
        <v>1011</v>
      </c>
    </row>
    <row r="238" spans="1:73" x14ac:dyDescent="0.25">
      <c r="A238" t="s">
        <v>57</v>
      </c>
      <c r="B238" s="111" t="s">
        <v>1103</v>
      </c>
      <c r="C238" t="s">
        <v>49</v>
      </c>
      <c r="D238" t="s">
        <v>208</v>
      </c>
      <c r="E238">
        <v>1550</v>
      </c>
      <c r="H238" s="100">
        <v>43302</v>
      </c>
      <c r="I238" t="s">
        <v>1012</v>
      </c>
      <c r="K238" s="33">
        <v>1</v>
      </c>
      <c r="L238" s="10" t="s">
        <v>64</v>
      </c>
      <c r="M238">
        <v>784</v>
      </c>
      <c r="N238">
        <v>94</v>
      </c>
      <c r="O238" s="9">
        <f t="shared" si="86"/>
        <v>690</v>
      </c>
      <c r="P238" s="35">
        <v>227</v>
      </c>
      <c r="Q238" s="35">
        <v>225</v>
      </c>
      <c r="R238" s="35">
        <v>226</v>
      </c>
      <c r="S238" s="24">
        <f t="shared" si="87"/>
        <v>226</v>
      </c>
      <c r="T238" s="35">
        <v>144</v>
      </c>
      <c r="U238" s="35">
        <v>144</v>
      </c>
      <c r="V238" s="35">
        <v>144</v>
      </c>
      <c r="W238" s="24">
        <f t="shared" si="88"/>
        <v>144</v>
      </c>
      <c r="X238" s="36">
        <v>9.94</v>
      </c>
      <c r="Y238" s="35">
        <v>9.8699999999999992</v>
      </c>
      <c r="Z238" s="35">
        <v>9.74</v>
      </c>
      <c r="AA238" s="24">
        <f t="shared" si="89"/>
        <v>9.85</v>
      </c>
      <c r="AB238" s="37">
        <v>40.5</v>
      </c>
      <c r="AC238" s="37">
        <v>40.08</v>
      </c>
      <c r="AD238" s="37">
        <v>40.090000000000003</v>
      </c>
      <c r="AE238" s="24">
        <f t="shared" si="90"/>
        <v>40.223333333333336</v>
      </c>
      <c r="AF238" s="37">
        <v>77.72</v>
      </c>
      <c r="AG238" s="37">
        <v>77.94</v>
      </c>
      <c r="AH238" s="37">
        <v>77.790000000000006</v>
      </c>
      <c r="AI238" s="24">
        <f t="shared" si="91"/>
        <v>77.816666666666663</v>
      </c>
      <c r="AS238" t="s">
        <v>65</v>
      </c>
      <c r="AT238">
        <v>8</v>
      </c>
      <c r="AU238">
        <v>0</v>
      </c>
      <c r="AV238">
        <v>0</v>
      </c>
      <c r="AX238" s="35">
        <v>52.42</v>
      </c>
      <c r="AY238" s="35">
        <v>51.74</v>
      </c>
      <c r="AZ238" s="35">
        <v>51.91</v>
      </c>
      <c r="BA238" s="24">
        <f t="shared" si="92"/>
        <v>52.023333333333333</v>
      </c>
      <c r="BB238" s="35">
        <v>31.32</v>
      </c>
      <c r="BC238" s="35">
        <v>31.93</v>
      </c>
      <c r="BD238" s="35">
        <v>31.72</v>
      </c>
      <c r="BE238" s="24">
        <f t="shared" si="93"/>
        <v>31.656666666666666</v>
      </c>
      <c r="BF238" s="35">
        <v>74.78</v>
      </c>
      <c r="BG238" s="35">
        <v>73.95</v>
      </c>
      <c r="BH238" s="35">
        <v>73.64</v>
      </c>
      <c r="BI238" s="24">
        <f t="shared" si="94"/>
        <v>74.123333333333335</v>
      </c>
      <c r="BJ238" t="s">
        <v>51</v>
      </c>
      <c r="BK238" t="s">
        <v>51</v>
      </c>
      <c r="BL238" t="s">
        <v>51</v>
      </c>
      <c r="BU238" t="s">
        <v>1006</v>
      </c>
    </row>
    <row r="239" spans="1:73" x14ac:dyDescent="0.25">
      <c r="A239" t="s">
        <v>57</v>
      </c>
      <c r="B239" s="111" t="s">
        <v>1030</v>
      </c>
      <c r="C239" t="s">
        <v>207</v>
      </c>
      <c r="D239" t="s">
        <v>208</v>
      </c>
      <c r="E239">
        <v>1373</v>
      </c>
      <c r="H239" s="100">
        <v>43305</v>
      </c>
      <c r="I239" t="s">
        <v>1013</v>
      </c>
      <c r="K239" s="33">
        <v>4</v>
      </c>
      <c r="L239" s="10" t="s">
        <v>50</v>
      </c>
      <c r="M239">
        <v>1928</v>
      </c>
      <c r="N239">
        <v>93</v>
      </c>
      <c r="O239" s="9">
        <f t="shared" si="86"/>
        <v>1835</v>
      </c>
      <c r="P239" s="35">
        <v>291</v>
      </c>
      <c r="Q239" s="35">
        <v>292</v>
      </c>
      <c r="R239" s="35">
        <v>291</v>
      </c>
      <c r="S239" s="24">
        <f t="shared" si="87"/>
        <v>291.33333333333331</v>
      </c>
      <c r="T239" s="35">
        <v>160</v>
      </c>
      <c r="U239" s="35">
        <v>160</v>
      </c>
      <c r="V239" s="35">
        <v>160</v>
      </c>
      <c r="W239" s="24">
        <f t="shared" si="88"/>
        <v>160</v>
      </c>
      <c r="X239" s="36">
        <v>15.21</v>
      </c>
      <c r="Y239" s="35">
        <v>15.34</v>
      </c>
      <c r="Z239" s="35">
        <v>15.78</v>
      </c>
      <c r="AA239" s="24">
        <f t="shared" si="89"/>
        <v>15.443333333333333</v>
      </c>
      <c r="AB239" s="36">
        <v>53.97</v>
      </c>
      <c r="AC239" s="35">
        <v>53.6</v>
      </c>
      <c r="AD239" s="35">
        <v>53.93</v>
      </c>
      <c r="AE239" s="24">
        <f t="shared" si="90"/>
        <v>53.833333333333336</v>
      </c>
      <c r="AF239" s="37">
        <v>104.85</v>
      </c>
      <c r="AG239" s="37">
        <v>104.62</v>
      </c>
      <c r="AH239" s="37">
        <v>104.88</v>
      </c>
      <c r="AI239" s="24">
        <f t="shared" si="91"/>
        <v>104.78333333333335</v>
      </c>
      <c r="AJ239" s="37">
        <v>34.630000000000003</v>
      </c>
      <c r="AK239" s="37">
        <v>34.03</v>
      </c>
      <c r="AL239" s="37">
        <v>34.619999999999997</v>
      </c>
      <c r="AM239" s="24">
        <f>AVERAGE(AJ239:AL239)</f>
        <v>34.426666666666669</v>
      </c>
      <c r="AN239" s="37">
        <v>24.45</v>
      </c>
      <c r="AO239" s="37">
        <v>23.68</v>
      </c>
      <c r="AP239" s="37">
        <v>23.76</v>
      </c>
      <c r="AQ239" s="24">
        <f>AVERAGE(AN239:AP239)</f>
        <v>23.963333333333335</v>
      </c>
      <c r="AX239" s="35">
        <v>65.739999999999995</v>
      </c>
      <c r="AY239" s="35">
        <v>65.42</v>
      </c>
      <c r="AZ239" s="35">
        <v>65.290000000000006</v>
      </c>
      <c r="BA239" s="24">
        <f t="shared" si="92"/>
        <v>65.483333333333334</v>
      </c>
      <c r="BB239" s="35">
        <v>42.42</v>
      </c>
      <c r="BC239" s="35">
        <v>42.28</v>
      </c>
      <c r="BD239" s="35">
        <v>42.61</v>
      </c>
      <c r="BE239" s="24">
        <f t="shared" si="93"/>
        <v>42.436666666666667</v>
      </c>
      <c r="BF239" s="35">
        <v>92.44</v>
      </c>
      <c r="BG239" s="35">
        <v>92.46</v>
      </c>
      <c r="BH239" s="35">
        <v>92.04</v>
      </c>
      <c r="BI239" s="24">
        <f t="shared" si="94"/>
        <v>92.313333333333333</v>
      </c>
      <c r="BJ239" t="s">
        <v>51</v>
      </c>
      <c r="BK239" t="s">
        <v>51</v>
      </c>
      <c r="BL239" t="s">
        <v>52</v>
      </c>
      <c r="BU239" t="s">
        <v>1006</v>
      </c>
    </row>
    <row r="240" spans="1:73" x14ac:dyDescent="0.25">
      <c r="A240" t="s">
        <v>57</v>
      </c>
      <c r="B240" s="111" t="s">
        <v>1104</v>
      </c>
      <c r="C240" t="s">
        <v>49</v>
      </c>
      <c r="D240" t="s">
        <v>208</v>
      </c>
      <c r="E240">
        <v>1561</v>
      </c>
      <c r="H240" s="100">
        <v>43314</v>
      </c>
      <c r="I240" t="s">
        <v>79</v>
      </c>
      <c r="K240" s="33">
        <v>2</v>
      </c>
      <c r="L240" s="10" t="s">
        <v>50</v>
      </c>
      <c r="M240">
        <v>932</v>
      </c>
      <c r="N240">
        <v>93</v>
      </c>
      <c r="O240" s="9">
        <f t="shared" si="86"/>
        <v>839</v>
      </c>
      <c r="P240" s="35">
        <v>255</v>
      </c>
      <c r="Q240" s="35">
        <v>256</v>
      </c>
      <c r="R240" s="35">
        <v>256</v>
      </c>
      <c r="S240" s="24">
        <f t="shared" si="87"/>
        <v>255.66666666666666</v>
      </c>
      <c r="T240" s="35">
        <v>0</v>
      </c>
      <c r="U240" s="35">
        <v>0</v>
      </c>
      <c r="V240" s="35">
        <v>0</v>
      </c>
      <c r="W240" s="24">
        <f t="shared" si="88"/>
        <v>0</v>
      </c>
      <c r="X240" s="36">
        <v>0</v>
      </c>
      <c r="Y240" s="35">
        <v>0</v>
      </c>
      <c r="Z240" s="35">
        <v>0</v>
      </c>
      <c r="AA240" s="24">
        <f t="shared" si="89"/>
        <v>0</v>
      </c>
      <c r="AB240" s="36">
        <v>49.88</v>
      </c>
      <c r="AC240" s="37">
        <v>49.52</v>
      </c>
      <c r="AD240" s="37">
        <v>49.2</v>
      </c>
      <c r="AE240" s="24">
        <f t="shared" si="90"/>
        <v>49.533333333333339</v>
      </c>
      <c r="AF240" s="37">
        <v>87.21</v>
      </c>
      <c r="AG240" s="37">
        <v>87.07</v>
      </c>
      <c r="AH240" s="37">
        <v>87.58</v>
      </c>
      <c r="AI240" s="24">
        <f t="shared" si="91"/>
        <v>87.286666666666648</v>
      </c>
      <c r="AJ240" s="12">
        <v>28.12</v>
      </c>
      <c r="AK240" s="12">
        <v>28.47</v>
      </c>
      <c r="AL240" s="37">
        <v>28.58</v>
      </c>
      <c r="AM240" s="24">
        <f>AVERAGE(AJ240:AL240)</f>
        <v>28.39</v>
      </c>
      <c r="AN240" s="35">
        <v>22.46</v>
      </c>
      <c r="AO240" s="35">
        <v>22.6</v>
      </c>
      <c r="AP240" s="35">
        <v>22.43</v>
      </c>
      <c r="AQ240" s="24">
        <f>AVERAGE(AN240:AP240)</f>
        <v>22.49666666666667</v>
      </c>
      <c r="AX240" s="35">
        <v>58.55</v>
      </c>
      <c r="AY240" s="35">
        <v>58.15</v>
      </c>
      <c r="AZ240" s="35">
        <v>58.47</v>
      </c>
      <c r="BA240" s="24">
        <f t="shared" si="92"/>
        <v>58.389999999999993</v>
      </c>
      <c r="BB240" s="35">
        <v>34.85</v>
      </c>
      <c r="BC240" s="35">
        <v>35.11</v>
      </c>
      <c r="BD240" s="35">
        <v>34.93</v>
      </c>
      <c r="BE240" s="24">
        <f t="shared" si="93"/>
        <v>34.963333333333338</v>
      </c>
      <c r="BF240" s="35">
        <v>82.87</v>
      </c>
      <c r="BG240" s="35">
        <v>82.89</v>
      </c>
      <c r="BH240" s="35">
        <v>82.95</v>
      </c>
      <c r="BI240" s="24">
        <f t="shared" si="94"/>
        <v>82.903333333333322</v>
      </c>
      <c r="BJ240" t="s">
        <v>51</v>
      </c>
      <c r="BK240" t="s">
        <v>51</v>
      </c>
      <c r="BL240" t="s">
        <v>52</v>
      </c>
    </row>
    <row r="241" spans="1:73" s="176" customFormat="1" x14ac:dyDescent="0.25">
      <c r="A241" s="183" t="s">
        <v>1106</v>
      </c>
      <c r="B241" s="184"/>
      <c r="H241" s="215"/>
      <c r="I241" s="182"/>
      <c r="J241" s="177"/>
      <c r="K241" s="178"/>
      <c r="L241" s="179"/>
      <c r="N241" s="182"/>
      <c r="O241" s="177"/>
      <c r="P241" s="182"/>
      <c r="Q241" s="182"/>
      <c r="R241" s="182"/>
      <c r="S241" s="180"/>
      <c r="T241" s="182"/>
      <c r="U241" s="182"/>
      <c r="V241" s="182"/>
      <c r="W241" s="180"/>
      <c r="X241" s="181"/>
      <c r="Y241" s="182"/>
      <c r="Z241" s="182"/>
      <c r="AA241" s="180"/>
      <c r="AB241" s="181"/>
      <c r="AC241" s="216"/>
      <c r="AD241" s="216"/>
      <c r="AE241" s="180"/>
      <c r="AF241" s="216"/>
      <c r="AG241" s="216"/>
      <c r="AH241" s="216"/>
      <c r="AI241" s="180"/>
      <c r="AJ241" s="182"/>
      <c r="AK241" s="182"/>
      <c r="AL241" s="216"/>
      <c r="AM241" s="180"/>
      <c r="AN241" s="182"/>
      <c r="AO241" s="182"/>
      <c r="AP241" s="182"/>
      <c r="AQ241" s="180"/>
      <c r="AR241" s="179"/>
      <c r="AW241" s="177"/>
      <c r="AX241" s="182"/>
      <c r="AY241" s="182"/>
      <c r="AZ241" s="182"/>
      <c r="BA241" s="180"/>
      <c r="BB241" s="182"/>
      <c r="BC241" s="182"/>
      <c r="BD241" s="182"/>
      <c r="BE241" s="180"/>
      <c r="BF241" s="182"/>
      <c r="BG241" s="182"/>
      <c r="BH241" s="182"/>
      <c r="BI241" s="180"/>
      <c r="BN241" s="182"/>
      <c r="BO241" s="177"/>
      <c r="BP241" s="182"/>
      <c r="BQ241" s="182"/>
      <c r="BR241" s="182"/>
      <c r="BS241" s="182"/>
      <c r="BT241" s="177"/>
    </row>
    <row r="242" spans="1:73" x14ac:dyDescent="0.25">
      <c r="A242" t="s">
        <v>57</v>
      </c>
      <c r="B242" s="111" t="s">
        <v>1592</v>
      </c>
      <c r="C242" t="s">
        <v>49</v>
      </c>
      <c r="D242" t="s">
        <v>982</v>
      </c>
      <c r="E242">
        <v>1766</v>
      </c>
      <c r="H242" s="100">
        <v>43362</v>
      </c>
      <c r="I242" t="s">
        <v>215</v>
      </c>
      <c r="K242" s="33">
        <v>2</v>
      </c>
      <c r="L242" s="10" t="s">
        <v>50</v>
      </c>
      <c r="M242">
        <v>794</v>
      </c>
      <c r="N242">
        <v>97</v>
      </c>
      <c r="O242" s="9">
        <f t="shared" ref="O242:O247" si="95">M242-N242</f>
        <v>697</v>
      </c>
      <c r="P242" s="35">
        <v>244</v>
      </c>
      <c r="Q242" s="35">
        <v>225</v>
      </c>
      <c r="R242" s="35">
        <v>224</v>
      </c>
      <c r="S242" s="24">
        <f t="shared" ref="S242:S247" si="96">AVERAGE(P242:R242)</f>
        <v>231</v>
      </c>
      <c r="T242" s="35">
        <v>157</v>
      </c>
      <c r="U242" s="35">
        <v>158</v>
      </c>
      <c r="V242" s="35">
        <v>158</v>
      </c>
      <c r="W242" s="24">
        <f t="shared" ref="W242:W247" si="97">AVERAGE(T242:V242)</f>
        <v>157.66666666666666</v>
      </c>
      <c r="X242" s="36">
        <v>9.4600000000000009</v>
      </c>
      <c r="Y242" s="35">
        <v>9.25</v>
      </c>
      <c r="Z242" s="35">
        <v>9.66</v>
      </c>
      <c r="AA242" s="24">
        <f t="shared" ref="AA242:AA247" si="98">AVERAGE(X242:Z242)</f>
        <v>9.456666666666667</v>
      </c>
      <c r="AB242" s="36">
        <v>43.47</v>
      </c>
      <c r="AC242" s="37">
        <v>43.43</v>
      </c>
      <c r="AD242" s="37">
        <v>43.07</v>
      </c>
      <c r="AE242" s="24">
        <f t="shared" ref="AE242:AE247" si="99">AVERAGE(AB242:AD242)</f>
        <v>43.323333333333331</v>
      </c>
      <c r="AF242" s="37">
        <v>83.06</v>
      </c>
      <c r="AG242" s="37">
        <v>83.12</v>
      </c>
      <c r="AH242" s="37">
        <v>82.91</v>
      </c>
      <c r="AI242" s="24">
        <f t="shared" ref="AI242:AI247" si="100">AVERAGE(AF242:AH242)</f>
        <v>83.03</v>
      </c>
      <c r="AJ242" s="37">
        <v>29.64</v>
      </c>
      <c r="AK242" s="37">
        <v>29.34</v>
      </c>
      <c r="AL242" s="37">
        <v>29.39</v>
      </c>
      <c r="AM242" s="24">
        <f>AVERAGE(AJ242:AL242)</f>
        <v>29.456666666666667</v>
      </c>
      <c r="AN242" s="37">
        <v>21.23</v>
      </c>
      <c r="AO242" s="37">
        <v>21.1</v>
      </c>
      <c r="AP242" s="37">
        <v>21.45</v>
      </c>
      <c r="AQ242" s="24">
        <f>AVERAGE(AN242:AP242)</f>
        <v>21.26</v>
      </c>
      <c r="AX242" s="35">
        <v>51.89</v>
      </c>
      <c r="AY242" s="35">
        <v>51.48</v>
      </c>
      <c r="AZ242" s="35">
        <v>51.83</v>
      </c>
      <c r="BA242" s="24">
        <f t="shared" ref="BA242:BA247" si="101">AVERAGE(AX242:AZ242)</f>
        <v>51.733333333333327</v>
      </c>
      <c r="BB242" s="35">
        <v>33.619999999999997</v>
      </c>
      <c r="BC242" s="35">
        <v>33.53</v>
      </c>
      <c r="BD242" s="35">
        <v>33.21</v>
      </c>
      <c r="BE242" s="24">
        <f t="shared" ref="BE242:BE247" si="102">AVERAGE(BB242:BD242)</f>
        <v>33.45333333333334</v>
      </c>
      <c r="BF242" s="35">
        <v>74.83</v>
      </c>
      <c r="BG242" s="35">
        <v>74.819999999999993</v>
      </c>
      <c r="BH242" s="35">
        <v>74.66</v>
      </c>
      <c r="BI242" s="24">
        <f t="shared" ref="BI242:BI247" si="103">AVERAGE(BF242:BH242)</f>
        <v>74.77</v>
      </c>
      <c r="BJ242" t="s">
        <v>51</v>
      </c>
      <c r="BK242" t="s">
        <v>51</v>
      </c>
      <c r="BL242" t="s">
        <v>51</v>
      </c>
      <c r="BU242" t="s">
        <v>1588</v>
      </c>
    </row>
    <row r="243" spans="1:73" x14ac:dyDescent="0.25">
      <c r="A243" t="s">
        <v>57</v>
      </c>
      <c r="B243" s="111" t="s">
        <v>1593</v>
      </c>
      <c r="C243" t="s">
        <v>49</v>
      </c>
      <c r="D243" t="s">
        <v>982</v>
      </c>
      <c r="E243">
        <v>1765</v>
      </c>
      <c r="H243" s="100">
        <v>43362</v>
      </c>
      <c r="I243" t="s">
        <v>669</v>
      </c>
      <c r="K243" s="33">
        <v>2</v>
      </c>
      <c r="L243" s="10" t="s">
        <v>64</v>
      </c>
      <c r="M243">
        <v>916</v>
      </c>
      <c r="N243">
        <v>92</v>
      </c>
      <c r="O243" s="9">
        <f t="shared" si="95"/>
        <v>824</v>
      </c>
      <c r="P243" s="35">
        <v>240</v>
      </c>
      <c r="Q243" s="35">
        <v>240</v>
      </c>
      <c r="R243" s="35">
        <v>241</v>
      </c>
      <c r="S243" s="24">
        <f t="shared" si="96"/>
        <v>240.33333333333334</v>
      </c>
      <c r="T243" s="35">
        <v>164</v>
      </c>
      <c r="U243" s="35">
        <v>165</v>
      </c>
      <c r="V243" s="35">
        <v>164</v>
      </c>
      <c r="W243" s="24">
        <f t="shared" si="97"/>
        <v>164.33333333333334</v>
      </c>
      <c r="X243" s="36">
        <v>9.77</v>
      </c>
      <c r="Y243" s="35">
        <v>9.76</v>
      </c>
      <c r="Z243" s="35">
        <v>9.5399999999999991</v>
      </c>
      <c r="AA243" s="24">
        <f t="shared" si="98"/>
        <v>9.69</v>
      </c>
      <c r="AB243" s="36">
        <v>43.8</v>
      </c>
      <c r="AC243" s="37">
        <v>43.66</v>
      </c>
      <c r="AD243" s="37">
        <v>43.72</v>
      </c>
      <c r="AE243" s="24">
        <f t="shared" si="99"/>
        <v>43.726666666666667</v>
      </c>
      <c r="AF243" s="37">
        <v>85.09</v>
      </c>
      <c r="AG243" s="37">
        <v>85.06</v>
      </c>
      <c r="AH243" s="37">
        <v>84.98</v>
      </c>
      <c r="AI243" s="24">
        <f t="shared" si="100"/>
        <v>85.043333333333337</v>
      </c>
      <c r="AM243" s="24"/>
      <c r="AQ243" s="24"/>
      <c r="AS243" t="s">
        <v>65</v>
      </c>
      <c r="AT243">
        <v>8</v>
      </c>
      <c r="AU243">
        <v>8</v>
      </c>
      <c r="AV243">
        <v>0</v>
      </c>
      <c r="AX243" s="35">
        <v>53.66</v>
      </c>
      <c r="AY243" s="35">
        <v>53.74</v>
      </c>
      <c r="AZ243" s="35">
        <v>53.34</v>
      </c>
      <c r="BA243" s="24">
        <f t="shared" si="101"/>
        <v>53.580000000000005</v>
      </c>
      <c r="BB243" s="35">
        <v>33.57</v>
      </c>
      <c r="BC243" s="35">
        <v>33.76</v>
      </c>
      <c r="BD243" s="35">
        <v>33.54</v>
      </c>
      <c r="BE243" s="24">
        <f t="shared" si="102"/>
        <v>33.623333333333335</v>
      </c>
      <c r="BF243" s="35">
        <v>79.010000000000005</v>
      </c>
      <c r="BG243" s="35">
        <v>79.09</v>
      </c>
      <c r="BH243" s="35">
        <v>79.22</v>
      </c>
      <c r="BI243" s="24">
        <f t="shared" si="103"/>
        <v>79.106666666666669</v>
      </c>
      <c r="BJ243" t="s">
        <v>51</v>
      </c>
      <c r="BK243" t="s">
        <v>51</v>
      </c>
      <c r="BL243" t="s">
        <v>52</v>
      </c>
      <c r="BN243" s="12"/>
      <c r="BU243" t="s">
        <v>1588</v>
      </c>
    </row>
    <row r="244" spans="1:73" x14ac:dyDescent="0.25">
      <c r="A244" t="s">
        <v>57</v>
      </c>
      <c r="B244" s="111" t="s">
        <v>1056</v>
      </c>
      <c r="C244" t="s">
        <v>207</v>
      </c>
      <c r="D244" t="s">
        <v>982</v>
      </c>
      <c r="E244">
        <v>1007</v>
      </c>
      <c r="H244" s="100">
        <v>43363</v>
      </c>
      <c r="I244" t="s">
        <v>232</v>
      </c>
      <c r="K244" s="33">
        <v>3</v>
      </c>
      <c r="L244" s="10" t="s">
        <v>64</v>
      </c>
      <c r="M244">
        <v>800</v>
      </c>
      <c r="N244">
        <v>92</v>
      </c>
      <c r="O244" s="9">
        <f t="shared" si="95"/>
        <v>708</v>
      </c>
      <c r="P244" s="35">
        <v>225</v>
      </c>
      <c r="Q244" s="35">
        <v>226</v>
      </c>
      <c r="R244" s="35">
        <v>226</v>
      </c>
      <c r="S244" s="24">
        <f t="shared" si="96"/>
        <v>225.66666666666666</v>
      </c>
      <c r="T244" s="35">
        <v>115</v>
      </c>
      <c r="U244" s="35">
        <v>115</v>
      </c>
      <c r="V244" s="35">
        <v>116</v>
      </c>
      <c r="W244" s="24">
        <f t="shared" si="97"/>
        <v>115.33333333333333</v>
      </c>
      <c r="X244" s="36">
        <v>9.25</v>
      </c>
      <c r="Y244" s="35">
        <v>9.15</v>
      </c>
      <c r="Z244" s="35">
        <v>9.57</v>
      </c>
      <c r="AA244" s="24">
        <f t="shared" si="98"/>
        <v>9.3233333333333324</v>
      </c>
      <c r="AB244" s="36">
        <v>43.09</v>
      </c>
      <c r="AC244" s="37">
        <v>43.18</v>
      </c>
      <c r="AD244" s="37">
        <v>43.45</v>
      </c>
      <c r="AE244" s="24">
        <f t="shared" si="99"/>
        <v>43.240000000000009</v>
      </c>
      <c r="AF244" s="37">
        <v>82.47</v>
      </c>
      <c r="AG244" s="37">
        <v>82.88</v>
      </c>
      <c r="AH244" s="37">
        <v>82.85</v>
      </c>
      <c r="AI244" s="24">
        <f t="shared" si="100"/>
        <v>82.733333333333334</v>
      </c>
      <c r="AM244" s="24"/>
      <c r="AQ244" s="24"/>
      <c r="AS244" t="s">
        <v>65</v>
      </c>
      <c r="AT244">
        <v>8</v>
      </c>
      <c r="AU244">
        <v>8</v>
      </c>
      <c r="AV244">
        <v>0</v>
      </c>
      <c r="AX244" s="35">
        <v>51.42</v>
      </c>
      <c r="AY244" s="35">
        <v>51.37</v>
      </c>
      <c r="AZ244" s="35">
        <v>51.59</v>
      </c>
      <c r="BA244" s="24">
        <f t="shared" si="101"/>
        <v>51.46</v>
      </c>
      <c r="BB244" s="35">
        <v>31.56</v>
      </c>
      <c r="BC244" s="35">
        <v>31.85</v>
      </c>
      <c r="BD244" s="35">
        <v>31.96</v>
      </c>
      <c r="BE244" s="24">
        <f t="shared" si="102"/>
        <v>31.790000000000003</v>
      </c>
      <c r="BF244" s="35">
        <v>79.209999999999994</v>
      </c>
      <c r="BG244" s="35">
        <v>79.48</v>
      </c>
      <c r="BH244" s="35">
        <v>79.86</v>
      </c>
      <c r="BI244" s="24">
        <f t="shared" si="103"/>
        <v>79.516666666666666</v>
      </c>
      <c r="BJ244" t="s">
        <v>52</v>
      </c>
      <c r="BK244" t="s">
        <v>51</v>
      </c>
      <c r="BL244" t="s">
        <v>52</v>
      </c>
      <c r="BU244" t="s">
        <v>1588</v>
      </c>
    </row>
    <row r="245" spans="1:73" x14ac:dyDescent="0.25">
      <c r="A245" t="s">
        <v>57</v>
      </c>
      <c r="B245" s="111" t="s">
        <v>1594</v>
      </c>
      <c r="C245" t="s">
        <v>49</v>
      </c>
      <c r="D245" t="s">
        <v>982</v>
      </c>
      <c r="E245">
        <v>1577</v>
      </c>
      <c r="H245" s="100">
        <v>43371</v>
      </c>
      <c r="I245" t="s">
        <v>973</v>
      </c>
      <c r="K245" s="33">
        <v>2</v>
      </c>
      <c r="L245" s="10" t="s">
        <v>64</v>
      </c>
      <c r="M245">
        <v>945</v>
      </c>
      <c r="N245">
        <v>55</v>
      </c>
      <c r="O245" s="9">
        <f t="shared" si="95"/>
        <v>890</v>
      </c>
      <c r="P245" s="35">
        <v>257</v>
      </c>
      <c r="Q245" s="35">
        <v>256</v>
      </c>
      <c r="R245" s="35">
        <v>257</v>
      </c>
      <c r="S245" s="24">
        <f t="shared" si="96"/>
        <v>256.66666666666669</v>
      </c>
      <c r="T245" s="35">
        <v>95</v>
      </c>
      <c r="U245" s="35">
        <v>95</v>
      </c>
      <c r="V245" s="35">
        <v>95</v>
      </c>
      <c r="W245" s="24">
        <f t="shared" si="97"/>
        <v>95</v>
      </c>
      <c r="X245" s="36">
        <v>9.9600000000000009</v>
      </c>
      <c r="Y245" s="35">
        <v>10.119999999999999</v>
      </c>
      <c r="Z245" s="35">
        <v>9.82</v>
      </c>
      <c r="AA245" s="24">
        <f t="shared" si="98"/>
        <v>9.9666666666666668</v>
      </c>
      <c r="AB245" s="36">
        <v>46.62</v>
      </c>
      <c r="AC245" s="37">
        <v>46.32</v>
      </c>
      <c r="AD245" s="37">
        <v>46.22</v>
      </c>
      <c r="AE245" s="24">
        <f t="shared" si="99"/>
        <v>46.386666666666663</v>
      </c>
      <c r="AF245" s="37">
        <v>91.41</v>
      </c>
      <c r="AG245" s="37">
        <v>91.32</v>
      </c>
      <c r="AH245" s="37">
        <v>91.46</v>
      </c>
      <c r="AI245" s="24">
        <f t="shared" si="100"/>
        <v>91.396666666666661</v>
      </c>
      <c r="AM245" s="24"/>
      <c r="AQ245" s="24"/>
      <c r="AS245" t="s">
        <v>65</v>
      </c>
      <c r="AT245">
        <v>8</v>
      </c>
      <c r="AU245">
        <v>8</v>
      </c>
      <c r="AV245">
        <v>0</v>
      </c>
      <c r="AX245" s="35">
        <v>59.81</v>
      </c>
      <c r="AY245" s="35">
        <v>59.96</v>
      </c>
      <c r="AZ245" s="35">
        <v>60.12</v>
      </c>
      <c r="BA245" s="24">
        <f t="shared" si="101"/>
        <v>59.963333333333338</v>
      </c>
      <c r="BB245" s="35">
        <v>33.51</v>
      </c>
      <c r="BC245" s="35">
        <v>33.479999999999997</v>
      </c>
      <c r="BD245" s="35">
        <v>33.65</v>
      </c>
      <c r="BE245" s="24">
        <f t="shared" si="102"/>
        <v>33.54666666666666</v>
      </c>
      <c r="BF245" s="35">
        <v>79.66</v>
      </c>
      <c r="BG245" s="35">
        <v>79.81</v>
      </c>
      <c r="BH245" s="35">
        <v>79.92</v>
      </c>
      <c r="BI245" s="24">
        <f t="shared" si="103"/>
        <v>79.796666666666667</v>
      </c>
      <c r="BJ245" t="s">
        <v>51</v>
      </c>
      <c r="BK245" t="s">
        <v>51</v>
      </c>
      <c r="BL245" t="s">
        <v>52</v>
      </c>
      <c r="BU245" t="s">
        <v>1011</v>
      </c>
    </row>
    <row r="246" spans="1:73" x14ac:dyDescent="0.25">
      <c r="A246" t="s">
        <v>57</v>
      </c>
      <c r="B246" s="111" t="s">
        <v>1109</v>
      </c>
      <c r="C246" t="s">
        <v>49</v>
      </c>
      <c r="D246" t="s">
        <v>982</v>
      </c>
      <c r="E246">
        <v>1578</v>
      </c>
      <c r="H246" s="100">
        <v>43371</v>
      </c>
      <c r="I246" t="s">
        <v>283</v>
      </c>
      <c r="K246" s="33">
        <v>4</v>
      </c>
      <c r="L246" s="10" t="s">
        <v>50</v>
      </c>
      <c r="M246">
        <v>1354</v>
      </c>
      <c r="N246">
        <v>95</v>
      </c>
      <c r="O246" s="9">
        <f t="shared" si="95"/>
        <v>1259</v>
      </c>
      <c r="P246" s="35">
        <v>301</v>
      </c>
      <c r="Q246" s="35">
        <v>300</v>
      </c>
      <c r="R246" s="35">
        <v>301</v>
      </c>
      <c r="S246" s="24">
        <f t="shared" si="96"/>
        <v>300.66666666666669</v>
      </c>
      <c r="T246" s="35">
        <v>183</v>
      </c>
      <c r="U246" s="35">
        <v>183</v>
      </c>
      <c r="V246" s="35">
        <v>182</v>
      </c>
      <c r="W246" s="24">
        <f t="shared" si="97"/>
        <v>182.66666666666666</v>
      </c>
      <c r="X246" s="36">
        <v>11.35</v>
      </c>
      <c r="Y246" s="35">
        <v>11.41</v>
      </c>
      <c r="Z246" s="35">
        <v>11.64</v>
      </c>
      <c r="AA246" s="24">
        <f t="shared" si="98"/>
        <v>11.466666666666667</v>
      </c>
      <c r="AB246" s="36">
        <v>50.95</v>
      </c>
      <c r="AC246" s="37">
        <v>50.84</v>
      </c>
      <c r="AD246" s="37">
        <v>50.64</v>
      </c>
      <c r="AE246" s="24">
        <f t="shared" si="99"/>
        <v>50.81</v>
      </c>
      <c r="AF246" s="37">
        <v>102.65</v>
      </c>
      <c r="AG246" s="37">
        <v>102.41</v>
      </c>
      <c r="AH246" s="37">
        <v>102.53</v>
      </c>
      <c r="AI246" s="24">
        <f t="shared" si="100"/>
        <v>102.53000000000002</v>
      </c>
      <c r="AJ246" s="37">
        <v>31.52</v>
      </c>
      <c r="AK246" s="37">
        <v>31.66</v>
      </c>
      <c r="AL246" s="37">
        <v>31.7</v>
      </c>
      <c r="AM246" s="24">
        <f>AVERAGE(AJ246:AL246)</f>
        <v>31.626666666666665</v>
      </c>
      <c r="AN246" s="37">
        <v>24.26</v>
      </c>
      <c r="AO246" s="37">
        <v>24.46</v>
      </c>
      <c r="AP246" s="37">
        <v>24.32</v>
      </c>
      <c r="AQ246" s="24">
        <f>AVERAGE(AN246:AP246)</f>
        <v>24.346666666666664</v>
      </c>
      <c r="AX246" s="35">
        <v>66.97</v>
      </c>
      <c r="AY246" s="35">
        <v>66.89</v>
      </c>
      <c r="AZ246" s="35">
        <v>67.06</v>
      </c>
      <c r="BA246" s="24">
        <f t="shared" si="101"/>
        <v>66.973333333333343</v>
      </c>
      <c r="BB246" s="35">
        <v>36.520000000000003</v>
      </c>
      <c r="BC246" s="35">
        <v>36.479999999999997</v>
      </c>
      <c r="BD246" s="35">
        <v>36.25</v>
      </c>
      <c r="BE246" s="24">
        <f t="shared" si="102"/>
        <v>36.416666666666664</v>
      </c>
      <c r="BF246" s="35">
        <v>87.02</v>
      </c>
      <c r="BG246" s="35">
        <v>87.12</v>
      </c>
      <c r="BH246" s="35">
        <v>87.22</v>
      </c>
      <c r="BI246" s="24">
        <f t="shared" si="103"/>
        <v>87.12</v>
      </c>
      <c r="BJ246" t="s">
        <v>51</v>
      </c>
      <c r="BK246" t="s">
        <v>51</v>
      </c>
      <c r="BL246" t="s">
        <v>52</v>
      </c>
      <c r="BU246" t="s">
        <v>1011</v>
      </c>
    </row>
    <row r="247" spans="1:73" x14ac:dyDescent="0.25">
      <c r="A247" t="s">
        <v>57</v>
      </c>
      <c r="B247" s="111" t="s">
        <v>1104</v>
      </c>
      <c r="C247" t="s">
        <v>207</v>
      </c>
      <c r="D247" t="s">
        <v>982</v>
      </c>
      <c r="E247">
        <v>1561</v>
      </c>
      <c r="H247" s="100">
        <v>43373</v>
      </c>
      <c r="I247" t="s">
        <v>639</v>
      </c>
      <c r="K247" s="33">
        <v>2</v>
      </c>
      <c r="L247" s="10" t="s">
        <v>50</v>
      </c>
      <c r="M247">
        <v>969</v>
      </c>
      <c r="N247">
        <v>93</v>
      </c>
      <c r="O247" s="9">
        <f t="shared" si="95"/>
        <v>876</v>
      </c>
      <c r="P247" s="35">
        <v>271</v>
      </c>
      <c r="Q247" s="35">
        <v>270</v>
      </c>
      <c r="R247" s="35">
        <v>271</v>
      </c>
      <c r="S247" s="24">
        <f t="shared" si="96"/>
        <v>270.66666666666669</v>
      </c>
      <c r="T247" s="35">
        <v>0</v>
      </c>
      <c r="U247" s="35">
        <v>0</v>
      </c>
      <c r="V247" s="35">
        <v>0</v>
      </c>
      <c r="W247" s="24">
        <f t="shared" si="97"/>
        <v>0</v>
      </c>
      <c r="X247" s="36">
        <v>0</v>
      </c>
      <c r="Y247" s="35">
        <v>0</v>
      </c>
      <c r="Z247" s="35">
        <v>0</v>
      </c>
      <c r="AA247" s="24">
        <f t="shared" si="98"/>
        <v>0</v>
      </c>
      <c r="AB247" s="36">
        <v>47.79</v>
      </c>
      <c r="AC247" s="37">
        <v>47.9</v>
      </c>
      <c r="AD247" s="37">
        <v>47.57</v>
      </c>
      <c r="AE247" s="24">
        <f t="shared" si="99"/>
        <v>47.75333333333333</v>
      </c>
      <c r="AF247" s="37">
        <v>87.11</v>
      </c>
      <c r="AG247" s="37">
        <v>87.23</v>
      </c>
      <c r="AH247" s="37">
        <v>87.07</v>
      </c>
      <c r="AI247" s="24">
        <f t="shared" si="100"/>
        <v>87.136666666666656</v>
      </c>
      <c r="AJ247" s="37">
        <v>31.61</v>
      </c>
      <c r="AK247" s="37">
        <v>31.37</v>
      </c>
      <c r="AL247" s="37">
        <v>31.11</v>
      </c>
      <c r="AM247" s="24">
        <f>AVERAGE(AJ247:AL247)</f>
        <v>31.363333333333333</v>
      </c>
      <c r="AN247" s="37">
        <v>22.87</v>
      </c>
      <c r="AO247" s="37">
        <v>22.57</v>
      </c>
      <c r="AP247" s="37">
        <v>22.71</v>
      </c>
      <c r="AQ247" s="24">
        <f>AVERAGE(AN247:AP247)</f>
        <v>22.716666666666669</v>
      </c>
      <c r="AX247" s="35">
        <v>60.16</v>
      </c>
      <c r="AY247" s="35">
        <v>59.87</v>
      </c>
      <c r="AZ247" s="35">
        <v>59.96</v>
      </c>
      <c r="BA247" s="24">
        <f t="shared" si="101"/>
        <v>59.99666666666667</v>
      </c>
      <c r="BB247" s="35">
        <v>33.68</v>
      </c>
      <c r="BC247" s="35">
        <v>33.76</v>
      </c>
      <c r="BD247" s="35">
        <v>34.020000000000003</v>
      </c>
      <c r="BE247" s="24">
        <f t="shared" si="102"/>
        <v>33.82</v>
      </c>
      <c r="BF247" s="35">
        <v>81.56</v>
      </c>
      <c r="BG247" s="35">
        <v>81.88</v>
      </c>
      <c r="BH247" s="35">
        <v>81.459999999999994</v>
      </c>
      <c r="BI247" s="24">
        <f t="shared" si="103"/>
        <v>81.633333333333326</v>
      </c>
      <c r="BJ247" t="s">
        <v>52</v>
      </c>
      <c r="BK247" t="s">
        <v>51</v>
      </c>
      <c r="BL247" t="s">
        <v>52</v>
      </c>
      <c r="BU247" t="s">
        <v>1011</v>
      </c>
    </row>
    <row r="248" spans="1:73" s="183" customFormat="1" x14ac:dyDescent="0.25">
      <c r="A248" s="183" t="s">
        <v>1596</v>
      </c>
      <c r="J248" s="218"/>
      <c r="K248" s="275"/>
      <c r="L248" s="220"/>
      <c r="O248" s="218"/>
      <c r="S248" s="221"/>
      <c r="W248" s="221"/>
      <c r="X248" s="222"/>
      <c r="AA248" s="221"/>
      <c r="AE248" s="221"/>
      <c r="AI248" s="221"/>
      <c r="AJ248" s="224"/>
      <c r="AK248" s="224"/>
      <c r="AL248" s="224"/>
      <c r="AM248" s="218"/>
      <c r="AN248" s="224"/>
      <c r="AO248" s="224"/>
      <c r="AP248" s="224"/>
      <c r="AQ248" s="218"/>
      <c r="AR248" s="220"/>
      <c r="AW248" s="218"/>
      <c r="BA248" s="221"/>
      <c r="BE248" s="221"/>
      <c r="BI248" s="221"/>
      <c r="BO248" s="218"/>
      <c r="BP248" s="224"/>
      <c r="BQ248" s="224"/>
      <c r="BR248" s="224"/>
      <c r="BS248" s="224"/>
      <c r="BT248" s="218"/>
    </row>
    <row r="249" spans="1:73" x14ac:dyDescent="0.25">
      <c r="A249" t="s">
        <v>57</v>
      </c>
      <c r="B249" s="111" t="s">
        <v>1021</v>
      </c>
      <c r="C249" t="s">
        <v>207</v>
      </c>
      <c r="D249" t="s">
        <v>615</v>
      </c>
      <c r="E249">
        <v>1143</v>
      </c>
      <c r="H249" s="100">
        <v>43505</v>
      </c>
      <c r="I249" t="s">
        <v>62</v>
      </c>
      <c r="K249" s="33">
        <v>4</v>
      </c>
      <c r="L249" s="10" t="s">
        <v>64</v>
      </c>
      <c r="M249">
        <v>929</v>
      </c>
      <c r="N249">
        <v>93</v>
      </c>
      <c r="O249" s="9">
        <f>M249-N249</f>
        <v>836</v>
      </c>
      <c r="P249" s="35">
        <v>258</v>
      </c>
      <c r="Q249" s="35">
        <v>257</v>
      </c>
      <c r="R249" s="35">
        <v>257</v>
      </c>
      <c r="S249" s="24">
        <f>AVERAGE(P249:R249)</f>
        <v>257.33333333333331</v>
      </c>
      <c r="T249" s="35">
        <v>0</v>
      </c>
      <c r="U249" s="35">
        <v>0</v>
      </c>
      <c r="V249" s="35">
        <v>0</v>
      </c>
      <c r="W249" s="24">
        <f>AVERAGE(T249:V249)</f>
        <v>0</v>
      </c>
      <c r="X249" s="36">
        <v>0</v>
      </c>
      <c r="Y249" s="35">
        <v>0</v>
      </c>
      <c r="Z249" s="35">
        <v>0</v>
      </c>
      <c r="AA249" s="24">
        <f>AVERAGE(X249:Z249)</f>
        <v>0</v>
      </c>
      <c r="AB249" s="36">
        <v>60.02</v>
      </c>
      <c r="AC249" s="37">
        <v>60.25</v>
      </c>
      <c r="AD249" s="37">
        <v>60.51</v>
      </c>
      <c r="AE249" s="24">
        <f>AVERAGE(AB249:AD249)</f>
        <v>60.26</v>
      </c>
      <c r="AF249" s="37">
        <v>85.6</v>
      </c>
      <c r="AG249" s="37">
        <v>85.21</v>
      </c>
      <c r="AH249" s="37">
        <v>85.63</v>
      </c>
      <c r="AS249" t="s">
        <v>65</v>
      </c>
      <c r="AT249">
        <v>8</v>
      </c>
      <c r="AU249">
        <v>2</v>
      </c>
      <c r="AV249">
        <v>2</v>
      </c>
      <c r="AW249" s="9">
        <v>6.68</v>
      </c>
      <c r="AX249" s="35">
        <v>56.32</v>
      </c>
      <c r="AY249" s="35">
        <v>56.69</v>
      </c>
      <c r="AZ249" s="35">
        <v>56.78</v>
      </c>
      <c r="BB249" s="35">
        <v>34.61</v>
      </c>
      <c r="BC249" s="35">
        <v>34.72</v>
      </c>
      <c r="BD249" s="35">
        <v>34.65</v>
      </c>
      <c r="BE249" s="24">
        <f>AVERAGE(BB249:BD249)</f>
        <v>34.659999999999997</v>
      </c>
      <c r="BF249" s="35">
        <v>79.58</v>
      </c>
      <c r="BG249" s="35">
        <v>79.88</v>
      </c>
      <c r="BH249" s="35">
        <v>79.56</v>
      </c>
      <c r="BI249" s="24">
        <f>AVERAGE(BF249:BH249)</f>
        <v>79.673333333333332</v>
      </c>
      <c r="BJ249" t="s">
        <v>51</v>
      </c>
      <c r="BK249" t="s">
        <v>51</v>
      </c>
      <c r="BL249" t="s">
        <v>52</v>
      </c>
      <c r="BU249" t="s">
        <v>1011</v>
      </c>
    </row>
    <row r="250" spans="1:73" x14ac:dyDescent="0.25">
      <c r="A250" t="s">
        <v>57</v>
      </c>
      <c r="B250" s="111" t="s">
        <v>1102</v>
      </c>
      <c r="C250" t="s">
        <v>207</v>
      </c>
      <c r="D250" t="s">
        <v>615</v>
      </c>
      <c r="E250">
        <v>1549</v>
      </c>
      <c r="H250" s="100">
        <v>43508</v>
      </c>
      <c r="I250" t="s">
        <v>1597</v>
      </c>
      <c r="K250" s="33">
        <v>2</v>
      </c>
      <c r="L250" s="10" t="s">
        <v>64</v>
      </c>
      <c r="M250">
        <v>813</v>
      </c>
      <c r="N250">
        <v>94</v>
      </c>
      <c r="O250" s="9">
        <f>M250-N250</f>
        <v>719</v>
      </c>
      <c r="P250" s="35">
        <v>220</v>
      </c>
      <c r="Q250" s="35">
        <v>221</v>
      </c>
      <c r="R250" s="35">
        <v>220</v>
      </c>
      <c r="S250" s="24">
        <f>AVERAGE(P250:R250)</f>
        <v>220.33333333333334</v>
      </c>
      <c r="T250" s="35">
        <v>132</v>
      </c>
      <c r="U250" s="35">
        <v>133</v>
      </c>
      <c r="V250" s="35">
        <v>132</v>
      </c>
      <c r="W250" s="24">
        <f>AVERAGE(T250:V250)</f>
        <v>132.33333333333334</v>
      </c>
      <c r="X250" s="36">
        <v>8.14</v>
      </c>
      <c r="Y250" s="35">
        <v>8.15</v>
      </c>
      <c r="Z250" s="35">
        <v>8.41</v>
      </c>
      <c r="AA250" s="24">
        <f>AVERAGE(X250:Z250)</f>
        <v>8.2333333333333325</v>
      </c>
      <c r="AB250" s="36">
        <v>42.24</v>
      </c>
      <c r="AC250" s="37">
        <v>42.2</v>
      </c>
      <c r="AD250" s="37">
        <v>42.62</v>
      </c>
      <c r="AE250" s="24">
        <f>AVERAGE(AB250:AD250)</f>
        <v>42.353333333333332</v>
      </c>
      <c r="AF250" s="37">
        <v>73.36</v>
      </c>
      <c r="AG250" s="37">
        <v>73.290000000000006</v>
      </c>
      <c r="AH250" s="37">
        <v>73.209999999999994</v>
      </c>
      <c r="AS250" t="s">
        <v>65</v>
      </c>
      <c r="AT250">
        <v>8</v>
      </c>
      <c r="AU250">
        <v>8</v>
      </c>
      <c r="AV250">
        <v>2</v>
      </c>
      <c r="AW250" s="9">
        <v>17.3</v>
      </c>
      <c r="AX250" s="35">
        <v>47.51</v>
      </c>
      <c r="AY250" s="35">
        <v>47.4</v>
      </c>
      <c r="AZ250" s="35">
        <v>47.61</v>
      </c>
      <c r="BB250" s="35">
        <v>31.4</v>
      </c>
      <c r="BC250" s="35">
        <v>31.72</v>
      </c>
      <c r="BD250" s="35">
        <v>31.61</v>
      </c>
      <c r="BE250" s="24">
        <f>AVERAGE(BB250:BD250)</f>
        <v>31.576666666666664</v>
      </c>
      <c r="BF250" s="35">
        <v>77.7</v>
      </c>
      <c r="BG250" s="35">
        <v>77.72</v>
      </c>
      <c r="BH250" s="35">
        <v>77.7</v>
      </c>
      <c r="BI250" s="24">
        <f>AVERAGE(BF250:BH250)</f>
        <v>77.706666666666663</v>
      </c>
      <c r="BJ250" t="s">
        <v>51</v>
      </c>
      <c r="BK250" t="s">
        <v>51</v>
      </c>
      <c r="BL250" t="s">
        <v>52</v>
      </c>
      <c r="BU250" t="s">
        <v>1598</v>
      </c>
    </row>
    <row r="251" spans="1:73" x14ac:dyDescent="0.25">
      <c r="A251" t="s">
        <v>57</v>
      </c>
      <c r="B251" s="111" t="s">
        <v>1599</v>
      </c>
      <c r="C251" t="s">
        <v>207</v>
      </c>
      <c r="D251" t="s">
        <v>615</v>
      </c>
      <c r="E251">
        <v>1833</v>
      </c>
      <c r="H251" s="100">
        <v>43514</v>
      </c>
      <c r="I251" t="s">
        <v>1600</v>
      </c>
      <c r="K251" s="33">
        <v>3</v>
      </c>
      <c r="L251" s="10" t="s">
        <v>50</v>
      </c>
      <c r="M251">
        <v>1501</v>
      </c>
      <c r="N251">
        <v>91</v>
      </c>
      <c r="O251" s="9">
        <f>M251-N251</f>
        <v>1410</v>
      </c>
      <c r="P251" s="35">
        <v>313</v>
      </c>
      <c r="Q251" s="35">
        <v>314</v>
      </c>
      <c r="R251" s="35">
        <v>313</v>
      </c>
      <c r="S251" s="24">
        <f>AVERAGE(P251:R251)</f>
        <v>313.33333333333331</v>
      </c>
      <c r="T251" s="35">
        <v>100</v>
      </c>
      <c r="U251" s="35">
        <v>100</v>
      </c>
      <c r="V251" s="35">
        <v>99</v>
      </c>
      <c r="W251" s="24">
        <f>AVERAGE(T251:V251)</f>
        <v>99.666666666666671</v>
      </c>
      <c r="X251" s="36">
        <v>12.34</v>
      </c>
      <c r="Y251" s="35">
        <v>12.03</v>
      </c>
      <c r="Z251" s="35">
        <v>12.12</v>
      </c>
      <c r="AA251" s="24">
        <f>AVERAGE(X251:Z251)</f>
        <v>12.163333333333332</v>
      </c>
      <c r="AB251" s="36">
        <v>51.97</v>
      </c>
      <c r="AC251" s="37">
        <v>52.22</v>
      </c>
      <c r="AD251" s="37">
        <v>52.11</v>
      </c>
      <c r="AE251" s="24">
        <f>AVERAGE(AB251:AD251)</f>
        <v>52.1</v>
      </c>
      <c r="AF251" s="37">
        <v>108.84</v>
      </c>
      <c r="AG251" s="37">
        <v>108.83</v>
      </c>
      <c r="AH251" s="37">
        <v>108.66</v>
      </c>
      <c r="AJ251" s="37">
        <v>27.64</v>
      </c>
      <c r="AK251" s="37">
        <v>27.88</v>
      </c>
      <c r="AL251" s="37">
        <v>27.81</v>
      </c>
      <c r="AN251" s="37">
        <v>20.34</v>
      </c>
      <c r="AO251" s="37">
        <v>20.03</v>
      </c>
      <c r="AP251" s="37">
        <v>20.05</v>
      </c>
      <c r="AX251" s="35">
        <v>65.95</v>
      </c>
      <c r="AY251" s="35">
        <v>65.02</v>
      </c>
      <c r="AZ251" s="35">
        <v>65.12</v>
      </c>
      <c r="BB251" s="35">
        <v>38.54</v>
      </c>
      <c r="BC251" s="35">
        <v>38.450000000000003</v>
      </c>
      <c r="BD251" s="35">
        <v>38.630000000000003</v>
      </c>
      <c r="BE251" s="24">
        <f>AVERAGE(BB251:BD251)</f>
        <v>38.54</v>
      </c>
      <c r="BF251" s="35">
        <v>95.34</v>
      </c>
      <c r="BG251" s="35">
        <v>95.67</v>
      </c>
      <c r="BH251" s="35">
        <v>95.51</v>
      </c>
      <c r="BI251" s="24">
        <f>AVERAGE(BF251:BH251)</f>
        <v>95.506666666666661</v>
      </c>
      <c r="BJ251" t="s">
        <v>51</v>
      </c>
      <c r="BK251" t="s">
        <v>51</v>
      </c>
      <c r="BL251" t="s">
        <v>52</v>
      </c>
      <c r="BU251" t="s">
        <v>1601</v>
      </c>
    </row>
    <row r="252" spans="1:73" s="183" customFormat="1" x14ac:dyDescent="0.25">
      <c r="A252" s="183" t="s">
        <v>1602</v>
      </c>
      <c r="J252" s="218"/>
      <c r="K252" s="275"/>
      <c r="L252" s="220"/>
      <c r="O252" s="218"/>
      <c r="S252" s="221"/>
      <c r="W252" s="221"/>
      <c r="X252" s="222"/>
      <c r="AA252" s="221"/>
      <c r="AE252" s="221"/>
      <c r="AI252" s="221"/>
      <c r="AJ252" s="224"/>
      <c r="AK252" s="224"/>
      <c r="AL252" s="224"/>
      <c r="AM252" s="218"/>
      <c r="AN252" s="224"/>
      <c r="AO252" s="224"/>
      <c r="AP252" s="224"/>
      <c r="AQ252" s="218"/>
      <c r="AR252" s="220"/>
      <c r="AW252" s="218"/>
      <c r="BA252" s="221"/>
      <c r="BE252" s="221"/>
      <c r="BI252" s="221"/>
      <c r="BO252" s="218"/>
      <c r="BP252" s="224"/>
      <c r="BQ252" s="224"/>
      <c r="BR252" s="224"/>
      <c r="BS252" s="224"/>
      <c r="BT252" s="218"/>
    </row>
    <row r="253" spans="1:73" x14ac:dyDescent="0.25">
      <c r="A253" t="s">
        <v>57</v>
      </c>
      <c r="B253" s="111" t="s">
        <v>1603</v>
      </c>
      <c r="C253" t="s">
        <v>49</v>
      </c>
      <c r="D253" t="s">
        <v>656</v>
      </c>
      <c r="E253">
        <v>1778</v>
      </c>
      <c r="H253" s="100">
        <v>43596</v>
      </c>
      <c r="I253" t="s">
        <v>617</v>
      </c>
      <c r="K253" s="33">
        <v>2</v>
      </c>
      <c r="L253" s="10" t="s">
        <v>50</v>
      </c>
      <c r="M253">
        <v>1138</v>
      </c>
      <c r="N253">
        <v>93</v>
      </c>
      <c r="O253" s="9">
        <f t="shared" ref="O253:O259" si="104">M253-N253</f>
        <v>1045</v>
      </c>
      <c r="P253" s="35">
        <v>218</v>
      </c>
      <c r="Q253" s="35">
        <v>219</v>
      </c>
      <c r="R253" s="35">
        <v>218</v>
      </c>
      <c r="S253" s="24">
        <f t="shared" ref="S253:S259" si="105">AVERAGE(P253:R253)</f>
        <v>218.33333333333334</v>
      </c>
      <c r="T253" s="35">
        <v>170</v>
      </c>
      <c r="U253" s="35">
        <v>170</v>
      </c>
      <c r="V253" s="35">
        <v>170</v>
      </c>
      <c r="W253" s="24">
        <f t="shared" ref="W253:W259" si="106">AVERAGE(T253:V253)</f>
        <v>170</v>
      </c>
      <c r="X253" s="36">
        <v>11.56</v>
      </c>
      <c r="Y253" s="35">
        <v>11.34</v>
      </c>
      <c r="Z253" s="35">
        <v>11.79</v>
      </c>
      <c r="AA253" s="24">
        <f t="shared" ref="AA253:AA259" si="107">AVERAGE(X253:Z253)</f>
        <v>11.563333333333333</v>
      </c>
      <c r="AB253" s="36">
        <v>45.34</v>
      </c>
      <c r="AC253" s="37">
        <v>45.03</v>
      </c>
      <c r="AD253" s="37">
        <v>45.23</v>
      </c>
      <c r="AE253" s="24">
        <f t="shared" ref="AE253:AE259" si="108">AVERAGE(AB253:AD253)</f>
        <v>45.199999999999996</v>
      </c>
      <c r="AF253" s="37">
        <v>91.1</v>
      </c>
      <c r="AG253" s="37">
        <v>91.18</v>
      </c>
      <c r="AH253" s="37">
        <v>91.07</v>
      </c>
      <c r="AJ253" s="37">
        <v>26.72</v>
      </c>
      <c r="AK253" s="37">
        <v>26.87</v>
      </c>
      <c r="AL253" s="37">
        <v>27.03</v>
      </c>
      <c r="AN253" s="37">
        <v>19.63</v>
      </c>
      <c r="AO253" s="37">
        <v>19.21</v>
      </c>
      <c r="AP253" s="37">
        <v>19.68</v>
      </c>
      <c r="AX253" s="35">
        <v>59.08</v>
      </c>
      <c r="AY253" s="35">
        <v>59.06</v>
      </c>
      <c r="AZ253" s="35">
        <v>59.02</v>
      </c>
      <c r="BB253" s="35">
        <v>35.950000000000003</v>
      </c>
      <c r="BC253" s="35">
        <v>35.9</v>
      </c>
      <c r="BD253" s="35">
        <v>36.01</v>
      </c>
      <c r="BE253" s="24">
        <f>AVERAGE(BB253:BD253)</f>
        <v>35.953333333333326</v>
      </c>
      <c r="BF253" s="35">
        <v>83.31</v>
      </c>
      <c r="BG253" s="35">
        <v>82.73</v>
      </c>
      <c r="BH253" s="35">
        <v>83.36</v>
      </c>
      <c r="BI253" s="24">
        <f t="shared" ref="BI253:BI259" si="109">AVERAGE(BF253:BH253)</f>
        <v>83.13333333333334</v>
      </c>
      <c r="BJ253" t="s">
        <v>51</v>
      </c>
      <c r="BK253" t="s">
        <v>51</v>
      </c>
      <c r="BL253" t="s">
        <v>51</v>
      </c>
      <c r="BU253" t="s">
        <v>1608</v>
      </c>
    </row>
    <row r="254" spans="1:73" x14ac:dyDescent="0.25">
      <c r="A254" t="s">
        <v>57</v>
      </c>
      <c r="B254" s="111" t="s">
        <v>1604</v>
      </c>
      <c r="C254" t="s">
        <v>49</v>
      </c>
      <c r="D254" t="s">
        <v>656</v>
      </c>
      <c r="E254">
        <v>1781</v>
      </c>
      <c r="H254" s="100">
        <v>43596</v>
      </c>
      <c r="I254" t="s">
        <v>286</v>
      </c>
      <c r="K254" s="33">
        <v>1</v>
      </c>
      <c r="L254" s="10" t="s">
        <v>50</v>
      </c>
      <c r="M254">
        <v>316</v>
      </c>
      <c r="N254">
        <v>94</v>
      </c>
      <c r="O254" s="9">
        <f t="shared" si="104"/>
        <v>222</v>
      </c>
      <c r="P254" s="35">
        <v>139</v>
      </c>
      <c r="Q254" s="35">
        <v>138</v>
      </c>
      <c r="R254" s="35">
        <v>138</v>
      </c>
      <c r="S254" s="24">
        <f t="shared" si="105"/>
        <v>138.33333333333334</v>
      </c>
      <c r="T254" s="35">
        <v>0</v>
      </c>
      <c r="U254" s="35">
        <v>0</v>
      </c>
      <c r="V254" s="35">
        <v>0</v>
      </c>
      <c r="W254" s="24">
        <f t="shared" si="106"/>
        <v>0</v>
      </c>
      <c r="X254" s="36">
        <v>0</v>
      </c>
      <c r="Y254" s="35">
        <v>0</v>
      </c>
      <c r="Z254" s="35">
        <v>0</v>
      </c>
      <c r="AA254" s="24">
        <f t="shared" si="107"/>
        <v>0</v>
      </c>
      <c r="AB254" s="36">
        <v>31.59</v>
      </c>
      <c r="AC254" s="37">
        <v>31.15</v>
      </c>
      <c r="AD254" s="37">
        <v>31.86</v>
      </c>
      <c r="AE254" s="24">
        <f t="shared" si="108"/>
        <v>31.533333333333331</v>
      </c>
      <c r="AF254" s="37">
        <v>50.62</v>
      </c>
      <c r="AG254" s="37">
        <v>50.23</v>
      </c>
      <c r="AH254" s="37">
        <v>50.4</v>
      </c>
      <c r="AJ254" s="37">
        <v>9.7899999999999991</v>
      </c>
      <c r="AK254" s="37">
        <v>9.42</v>
      </c>
      <c r="AL254" s="37">
        <v>9.4600000000000009</v>
      </c>
      <c r="AN254" s="37">
        <v>6.82</v>
      </c>
      <c r="AO254" s="37">
        <v>6.31</v>
      </c>
      <c r="AP254" s="37">
        <v>6.48</v>
      </c>
      <c r="AX254" s="35">
        <v>34.44</v>
      </c>
      <c r="AY254" s="35">
        <v>34.64</v>
      </c>
      <c r="AZ254" s="35">
        <v>34.840000000000003</v>
      </c>
      <c r="BB254" s="35">
        <v>25.25</v>
      </c>
      <c r="BC254" s="35">
        <v>25.04</v>
      </c>
      <c r="BD254" s="35">
        <v>25.19</v>
      </c>
      <c r="BE254" s="24">
        <f>AVERAGE(BB254:BD254)</f>
        <v>25.16</v>
      </c>
      <c r="BF254" s="35">
        <v>57.73</v>
      </c>
      <c r="BG254" s="35">
        <v>58.01</v>
      </c>
      <c r="BH254" s="35">
        <v>57.5</v>
      </c>
      <c r="BI254" s="24">
        <f t="shared" si="109"/>
        <v>57.74666666666667</v>
      </c>
      <c r="BJ254" t="s">
        <v>51</v>
      </c>
      <c r="BK254" t="s">
        <v>51</v>
      </c>
      <c r="BL254" t="s">
        <v>52</v>
      </c>
      <c r="BU254" t="s">
        <v>1608</v>
      </c>
    </row>
    <row r="255" spans="1:73" x14ac:dyDescent="0.25">
      <c r="A255" t="s">
        <v>57</v>
      </c>
      <c r="B255" s="111" t="s">
        <v>1594</v>
      </c>
      <c r="C255" t="s">
        <v>207</v>
      </c>
      <c r="D255" t="s">
        <v>656</v>
      </c>
      <c r="E255">
        <v>1577</v>
      </c>
      <c r="H255" s="100">
        <v>43598</v>
      </c>
      <c r="I255" t="s">
        <v>94</v>
      </c>
      <c r="K255" s="33">
        <v>3</v>
      </c>
      <c r="L255" s="10" t="s">
        <v>64</v>
      </c>
      <c r="M255" t="s">
        <v>379</v>
      </c>
      <c r="N255" t="s">
        <v>379</v>
      </c>
      <c r="O255" s="9" t="e">
        <f t="shared" si="104"/>
        <v>#VALUE!</v>
      </c>
      <c r="P255" t="s">
        <v>379</v>
      </c>
      <c r="Q255" t="s">
        <v>379</v>
      </c>
      <c r="R255" t="s">
        <v>379</v>
      </c>
      <c r="S255" s="24" t="e">
        <f t="shared" si="105"/>
        <v>#DIV/0!</v>
      </c>
      <c r="T255" t="s">
        <v>379</v>
      </c>
      <c r="U255" t="s">
        <v>379</v>
      </c>
      <c r="V255" t="s">
        <v>379</v>
      </c>
      <c r="W255" s="24" t="e">
        <f t="shared" si="106"/>
        <v>#DIV/0!</v>
      </c>
      <c r="X255" t="s">
        <v>379</v>
      </c>
      <c r="Y255" t="s">
        <v>379</v>
      </c>
      <c r="Z255" t="s">
        <v>379</v>
      </c>
      <c r="AA255" s="24" t="e">
        <f t="shared" si="107"/>
        <v>#DIV/0!</v>
      </c>
      <c r="AE255" s="24" t="e">
        <f t="shared" si="108"/>
        <v>#DIV/0!</v>
      </c>
      <c r="AV255" t="s">
        <v>1605</v>
      </c>
      <c r="AW255" s="9">
        <v>21.95</v>
      </c>
      <c r="BB255" t="s">
        <v>379</v>
      </c>
      <c r="BC255" t="s">
        <v>379</v>
      </c>
      <c r="BD255" t="s">
        <v>379</v>
      </c>
      <c r="BF255" t="s">
        <v>379</v>
      </c>
      <c r="BG255" t="s">
        <v>379</v>
      </c>
      <c r="BH255" t="s">
        <v>379</v>
      </c>
      <c r="BI255" s="24" t="e">
        <f t="shared" si="109"/>
        <v>#DIV/0!</v>
      </c>
      <c r="BJ255" t="s">
        <v>52</v>
      </c>
      <c r="BK255" t="s">
        <v>52</v>
      </c>
      <c r="BL255" t="s">
        <v>52</v>
      </c>
      <c r="BU255" t="s">
        <v>1606</v>
      </c>
    </row>
    <row r="256" spans="1:73" x14ac:dyDescent="0.25">
      <c r="A256" t="s">
        <v>57</v>
      </c>
      <c r="B256" s="111" t="s">
        <v>1607</v>
      </c>
      <c r="C256" t="s">
        <v>49</v>
      </c>
      <c r="D256" t="s">
        <v>656</v>
      </c>
      <c r="E256">
        <v>1785</v>
      </c>
      <c r="H256" s="100">
        <v>43599</v>
      </c>
      <c r="I256" t="s">
        <v>623</v>
      </c>
      <c r="K256" s="33">
        <v>2</v>
      </c>
      <c r="L256" s="10" t="s">
        <v>50</v>
      </c>
      <c r="M256">
        <v>1686</v>
      </c>
      <c r="N256">
        <v>91</v>
      </c>
      <c r="O256" s="9">
        <f t="shared" si="104"/>
        <v>1595</v>
      </c>
      <c r="P256">
        <v>278</v>
      </c>
      <c r="Q256">
        <v>278</v>
      </c>
      <c r="R256">
        <v>279</v>
      </c>
      <c r="S256" s="24">
        <f t="shared" si="105"/>
        <v>278.33333333333331</v>
      </c>
      <c r="T256">
        <v>190</v>
      </c>
      <c r="U256">
        <v>191</v>
      </c>
      <c r="V256">
        <v>191</v>
      </c>
      <c r="W256" s="24">
        <f t="shared" si="106"/>
        <v>190.66666666666666</v>
      </c>
      <c r="X256" s="36">
        <v>12.97</v>
      </c>
      <c r="Y256">
        <v>12.74</v>
      </c>
      <c r="Z256">
        <v>12.88</v>
      </c>
      <c r="AA256" s="24">
        <f t="shared" si="107"/>
        <v>12.863333333333335</v>
      </c>
      <c r="AB256" s="36">
        <v>51.3</v>
      </c>
      <c r="AC256" s="37">
        <v>51.36</v>
      </c>
      <c r="AD256" s="37">
        <v>51.03</v>
      </c>
      <c r="AE256" s="24">
        <f t="shared" si="108"/>
        <v>51.23</v>
      </c>
      <c r="AF256" s="37">
        <v>103.6</v>
      </c>
      <c r="AG256" s="37">
        <v>103.78</v>
      </c>
      <c r="AH256" s="37">
        <v>103.23</v>
      </c>
      <c r="AJ256" s="37">
        <v>29.26</v>
      </c>
      <c r="AK256" s="37">
        <v>29.65</v>
      </c>
      <c r="AL256" s="37">
        <v>29.54</v>
      </c>
      <c r="AN256" s="37">
        <v>21.6</v>
      </c>
      <c r="AO256" s="37">
        <v>21.79</v>
      </c>
      <c r="AP256" s="37">
        <v>21.6</v>
      </c>
      <c r="AX256">
        <v>66.430000000000007</v>
      </c>
      <c r="AY256">
        <v>66.23</v>
      </c>
      <c r="AZ256">
        <v>66.319999999999993</v>
      </c>
      <c r="BB256">
        <v>40.47</v>
      </c>
      <c r="BC256">
        <v>40.03</v>
      </c>
      <c r="BD256">
        <v>39.9</v>
      </c>
      <c r="BE256" s="24">
        <f>AVERAGE(BB256:BD256)</f>
        <v>40.133333333333333</v>
      </c>
      <c r="BF256">
        <v>88.44</v>
      </c>
      <c r="BG256">
        <v>88.91</v>
      </c>
      <c r="BH256">
        <v>88.13</v>
      </c>
      <c r="BI256" s="24">
        <f t="shared" si="109"/>
        <v>88.493333333333339</v>
      </c>
      <c r="BJ256" t="s">
        <v>51</v>
      </c>
      <c r="BK256" t="s">
        <v>51</v>
      </c>
      <c r="BL256" t="s">
        <v>52</v>
      </c>
      <c r="BU256" t="s">
        <v>1608</v>
      </c>
    </row>
    <row r="257" spans="1:73" x14ac:dyDescent="0.25">
      <c r="A257" t="s">
        <v>57</v>
      </c>
      <c r="B257" s="111" t="s">
        <v>1102</v>
      </c>
      <c r="C257" t="s">
        <v>207</v>
      </c>
      <c r="D257" t="s">
        <v>656</v>
      </c>
      <c r="E257">
        <v>1549</v>
      </c>
      <c r="H257" s="100">
        <v>43605</v>
      </c>
      <c r="I257" t="s">
        <v>67</v>
      </c>
      <c r="K257" s="33">
        <v>2</v>
      </c>
      <c r="L257" s="10" t="s">
        <v>64</v>
      </c>
      <c r="M257">
        <v>790</v>
      </c>
      <c r="N257">
        <v>92</v>
      </c>
      <c r="O257" s="9">
        <f t="shared" si="104"/>
        <v>698</v>
      </c>
      <c r="P257" s="35">
        <v>213</v>
      </c>
      <c r="Q257" s="35">
        <v>214</v>
      </c>
      <c r="R257" s="35">
        <v>214</v>
      </c>
      <c r="S257" s="24">
        <f t="shared" si="105"/>
        <v>213.66666666666666</v>
      </c>
      <c r="T257" s="35">
        <v>146</v>
      </c>
      <c r="U257" s="35">
        <v>147</v>
      </c>
      <c r="V257" s="35">
        <v>146</v>
      </c>
      <c r="W257" s="24">
        <f t="shared" si="106"/>
        <v>146.33333333333334</v>
      </c>
      <c r="X257" s="36">
        <v>9.09</v>
      </c>
      <c r="Y257" s="35">
        <v>9.14</v>
      </c>
      <c r="Z257" s="35">
        <v>9.0299999999999994</v>
      </c>
      <c r="AA257" s="24">
        <f t="shared" si="107"/>
        <v>9.086666666666666</v>
      </c>
      <c r="AB257" s="36">
        <v>41.59</v>
      </c>
      <c r="AC257" s="37">
        <v>41.08</v>
      </c>
      <c r="AD257" s="37">
        <v>41.28</v>
      </c>
      <c r="AE257" s="24">
        <f t="shared" si="108"/>
        <v>41.31666666666667</v>
      </c>
      <c r="AF257" s="37">
        <v>81.56</v>
      </c>
      <c r="AG257" s="37">
        <v>81.45</v>
      </c>
      <c r="AH257" s="37">
        <v>81.3</v>
      </c>
      <c r="AJ257" s="37"/>
      <c r="AS257" t="s">
        <v>65</v>
      </c>
      <c r="AT257">
        <v>8</v>
      </c>
      <c r="AU257">
        <v>1</v>
      </c>
      <c r="AV257">
        <v>0</v>
      </c>
      <c r="AX257">
        <v>52.02</v>
      </c>
      <c r="AY257">
        <v>51.91</v>
      </c>
      <c r="AZ257">
        <v>51.94</v>
      </c>
      <c r="BB257">
        <v>31.56</v>
      </c>
      <c r="BC257">
        <v>31.34</v>
      </c>
      <c r="BD257">
        <v>31.36</v>
      </c>
      <c r="BE257" s="24">
        <f>AVERAGE(BB257:BD257)</f>
        <v>31.419999999999998</v>
      </c>
      <c r="BF257">
        <v>77.930000000000007</v>
      </c>
      <c r="BG257">
        <v>77.790000000000006</v>
      </c>
      <c r="BH257">
        <v>77.61</v>
      </c>
      <c r="BI257" s="24">
        <f t="shared" si="109"/>
        <v>77.776666666666685</v>
      </c>
      <c r="BJ257" t="s">
        <v>52</v>
      </c>
      <c r="BK257" t="s">
        <v>51</v>
      </c>
      <c r="BL257" t="s">
        <v>51</v>
      </c>
      <c r="BU257" t="s">
        <v>1608</v>
      </c>
    </row>
    <row r="258" spans="1:73" x14ac:dyDescent="0.25">
      <c r="A258" t="s">
        <v>57</v>
      </c>
      <c r="B258" s="111" t="s">
        <v>1021</v>
      </c>
      <c r="C258" t="s">
        <v>207</v>
      </c>
      <c r="D258" t="s">
        <v>656</v>
      </c>
      <c r="E258">
        <v>1143</v>
      </c>
      <c r="H258" s="100">
        <v>43606</v>
      </c>
      <c r="I258" t="s">
        <v>666</v>
      </c>
      <c r="K258" s="33">
        <v>4</v>
      </c>
      <c r="L258" s="10" t="s">
        <v>64</v>
      </c>
      <c r="M258">
        <v>1222</v>
      </c>
      <c r="N258">
        <v>92</v>
      </c>
      <c r="O258" s="9">
        <f t="shared" si="104"/>
        <v>1130</v>
      </c>
      <c r="P258" s="35">
        <v>253</v>
      </c>
      <c r="Q258" s="35">
        <v>252</v>
      </c>
      <c r="R258" s="35">
        <v>253</v>
      </c>
      <c r="S258" s="24">
        <f t="shared" si="105"/>
        <v>252.66666666666666</v>
      </c>
      <c r="T258" s="35">
        <v>0</v>
      </c>
      <c r="U258" s="35">
        <v>0</v>
      </c>
      <c r="V258" s="35">
        <v>0</v>
      </c>
      <c r="W258" s="24">
        <f t="shared" si="106"/>
        <v>0</v>
      </c>
      <c r="X258" s="36">
        <v>0</v>
      </c>
      <c r="Y258" s="35">
        <v>0</v>
      </c>
      <c r="Z258" s="35">
        <v>0</v>
      </c>
      <c r="AA258" s="24">
        <f t="shared" si="107"/>
        <v>0</v>
      </c>
      <c r="AB258" s="36">
        <v>43.35</v>
      </c>
      <c r="AC258" s="37">
        <v>43.67</v>
      </c>
      <c r="AD258" s="37">
        <v>43.89</v>
      </c>
      <c r="AE258" s="24">
        <f t="shared" si="108"/>
        <v>43.636666666666677</v>
      </c>
      <c r="AF258" s="36">
        <v>83.34</v>
      </c>
      <c r="AG258" s="37">
        <v>83.58</v>
      </c>
      <c r="AH258" s="37">
        <v>84.77</v>
      </c>
      <c r="AI258" s="24">
        <f>AVERAGE(AF258:AH258)</f>
        <v>83.896666666666661</v>
      </c>
      <c r="AS258" t="s">
        <v>65</v>
      </c>
      <c r="AT258">
        <v>8</v>
      </c>
      <c r="AU258">
        <v>3</v>
      </c>
      <c r="AV258" t="s">
        <v>1605</v>
      </c>
      <c r="AW258" s="9">
        <v>11.47</v>
      </c>
      <c r="AX258">
        <v>52.37</v>
      </c>
      <c r="AY258">
        <v>52.62</v>
      </c>
      <c r="AZ258">
        <v>52.46</v>
      </c>
      <c r="BB258">
        <v>35.46</v>
      </c>
      <c r="BC258">
        <v>35.35</v>
      </c>
      <c r="BD258">
        <v>35.33</v>
      </c>
      <c r="BE258" s="24">
        <f>AVERAGE(BB258:BD258)</f>
        <v>35.380000000000003</v>
      </c>
      <c r="BF258">
        <v>80.819999999999993</v>
      </c>
      <c r="BG258">
        <v>80.67</v>
      </c>
      <c r="BH258">
        <v>80.63</v>
      </c>
      <c r="BI258" s="24">
        <f t="shared" si="109"/>
        <v>80.706666666666663</v>
      </c>
      <c r="BJ258" t="s">
        <v>52</v>
      </c>
      <c r="BK258" t="s">
        <v>51</v>
      </c>
      <c r="BL258" t="s">
        <v>51</v>
      </c>
      <c r="BU258" t="s">
        <v>1608</v>
      </c>
    </row>
    <row r="259" spans="1:73" x14ac:dyDescent="0.25">
      <c r="A259" t="s">
        <v>57</v>
      </c>
      <c r="B259" s="111" t="s">
        <v>1609</v>
      </c>
      <c r="C259" t="s">
        <v>49</v>
      </c>
      <c r="D259" t="s">
        <v>656</v>
      </c>
      <c r="E259">
        <v>1793</v>
      </c>
      <c r="H259" s="100">
        <v>43607</v>
      </c>
      <c r="I259" t="s">
        <v>669</v>
      </c>
      <c r="K259" s="33">
        <v>2</v>
      </c>
      <c r="L259" s="10" t="s">
        <v>64</v>
      </c>
      <c r="M259">
        <v>1135</v>
      </c>
      <c r="N259">
        <v>95</v>
      </c>
      <c r="O259" s="9">
        <f t="shared" si="104"/>
        <v>1040</v>
      </c>
      <c r="P259" s="35">
        <v>276</v>
      </c>
      <c r="Q259" s="35">
        <v>276</v>
      </c>
      <c r="R259" s="35">
        <v>277</v>
      </c>
      <c r="S259" s="24">
        <f t="shared" si="105"/>
        <v>276.33333333333331</v>
      </c>
      <c r="T259" s="35">
        <v>150</v>
      </c>
      <c r="U259" s="35">
        <v>150</v>
      </c>
      <c r="V259" s="35">
        <v>150</v>
      </c>
      <c r="W259" s="24">
        <f t="shared" si="106"/>
        <v>150</v>
      </c>
      <c r="X259" s="36">
        <v>11.19</v>
      </c>
      <c r="Y259" s="35">
        <v>11.12</v>
      </c>
      <c r="Z259" s="35">
        <v>11.24</v>
      </c>
      <c r="AA259" s="24">
        <f t="shared" si="107"/>
        <v>11.183333333333332</v>
      </c>
      <c r="AB259" s="36">
        <v>45.92</v>
      </c>
      <c r="AC259" s="37">
        <v>46.02</v>
      </c>
      <c r="AD259" s="37">
        <v>45.99</v>
      </c>
      <c r="AE259" s="24">
        <f t="shared" si="108"/>
        <v>45.976666666666667</v>
      </c>
      <c r="AF259" s="36">
        <v>88.8</v>
      </c>
      <c r="AG259" s="37">
        <v>88.5</v>
      </c>
      <c r="AH259" s="37">
        <v>88.45</v>
      </c>
      <c r="AI259" s="24">
        <f>AVERAGE(AF259:AH259)</f>
        <v>88.583333333333329</v>
      </c>
      <c r="AS259" t="s">
        <v>65</v>
      </c>
      <c r="AT259">
        <v>8</v>
      </c>
      <c r="AU259">
        <v>1</v>
      </c>
      <c r="AV259" t="s">
        <v>1610</v>
      </c>
      <c r="AW259" s="9">
        <v>16.11</v>
      </c>
      <c r="AX259" s="35">
        <v>55.11</v>
      </c>
      <c r="AY259" s="35">
        <v>55.09</v>
      </c>
      <c r="AZ259" s="35">
        <v>54.99</v>
      </c>
      <c r="BB259" s="35">
        <v>35.1</v>
      </c>
      <c r="BC259" s="35">
        <v>35.15</v>
      </c>
      <c r="BD259" s="35">
        <v>35.369999999999997</v>
      </c>
      <c r="BE259" s="24">
        <f>AVERAGE(BB259:BD259)</f>
        <v>35.206666666666671</v>
      </c>
      <c r="BF259" s="35">
        <v>81.45</v>
      </c>
      <c r="BG259" s="35">
        <v>81.56</v>
      </c>
      <c r="BH259" s="35">
        <v>81.3</v>
      </c>
      <c r="BI259" s="24">
        <f t="shared" si="109"/>
        <v>81.436666666666667</v>
      </c>
      <c r="BJ259" t="s">
        <v>51</v>
      </c>
      <c r="BK259" t="s">
        <v>51</v>
      </c>
      <c r="BL259" t="s">
        <v>51</v>
      </c>
    </row>
    <row r="260" spans="1:73" s="176" customFormat="1" x14ac:dyDescent="0.25">
      <c r="A260" s="183" t="s">
        <v>1907</v>
      </c>
      <c r="B260" s="184"/>
      <c r="H260" s="215"/>
      <c r="J260" s="177"/>
      <c r="K260" s="178"/>
      <c r="L260" s="179"/>
      <c r="O260" s="177"/>
      <c r="P260" s="182"/>
      <c r="Q260" s="182"/>
      <c r="R260" s="182"/>
      <c r="S260" s="180"/>
      <c r="T260" s="182"/>
      <c r="U260" s="182"/>
      <c r="V260" s="182"/>
      <c r="W260" s="180"/>
      <c r="X260" s="181"/>
      <c r="Y260" s="182"/>
      <c r="Z260" s="182"/>
      <c r="AA260" s="180"/>
      <c r="AB260" s="181"/>
      <c r="AC260" s="216"/>
      <c r="AD260" s="216"/>
      <c r="AE260" s="180"/>
      <c r="AF260" s="181"/>
      <c r="AG260" s="216"/>
      <c r="AH260" s="216"/>
      <c r="AI260" s="180"/>
      <c r="AJ260" s="182"/>
      <c r="AK260" s="182"/>
      <c r="AL260" s="182"/>
      <c r="AM260" s="177"/>
      <c r="AN260" s="182"/>
      <c r="AO260" s="182"/>
      <c r="AP260" s="182"/>
      <c r="AQ260" s="177"/>
      <c r="AR260" s="179"/>
      <c r="AW260" s="177"/>
      <c r="AX260" s="182"/>
      <c r="AY260" s="182"/>
      <c r="AZ260" s="182"/>
      <c r="BA260" s="180"/>
      <c r="BB260" s="182"/>
      <c r="BC260" s="182"/>
      <c r="BD260" s="182"/>
      <c r="BE260" s="180"/>
      <c r="BF260" s="182"/>
      <c r="BG260" s="182"/>
      <c r="BH260" s="182"/>
      <c r="BI260" s="180"/>
      <c r="BO260" s="177"/>
      <c r="BP260" s="182"/>
      <c r="BQ260" s="182"/>
      <c r="BR260" s="182"/>
      <c r="BS260" s="182"/>
      <c r="BT260" s="177"/>
    </row>
    <row r="261" spans="1:73" x14ac:dyDescent="0.25">
      <c r="A261" t="s">
        <v>57</v>
      </c>
      <c r="B261" s="111" t="s">
        <v>1898</v>
      </c>
      <c r="C261" t="s">
        <v>49</v>
      </c>
      <c r="D261" t="s">
        <v>208</v>
      </c>
      <c r="E261">
        <v>1912</v>
      </c>
      <c r="H261" s="100">
        <v>43676</v>
      </c>
      <c r="I261" t="s">
        <v>88</v>
      </c>
      <c r="K261" s="33">
        <v>2</v>
      </c>
      <c r="L261" s="10" t="s">
        <v>50</v>
      </c>
      <c r="M261">
        <v>910</v>
      </c>
      <c r="N261">
        <v>91</v>
      </c>
      <c r="O261" s="9">
        <f t="shared" ref="O261:O269" si="110">M261-N261</f>
        <v>819</v>
      </c>
      <c r="P261" s="35">
        <v>203</v>
      </c>
      <c r="Q261" s="35">
        <v>203</v>
      </c>
      <c r="R261" s="35">
        <v>202</v>
      </c>
      <c r="S261" s="24">
        <f>AVERAGE(P261:R261)</f>
        <v>202.66666666666666</v>
      </c>
      <c r="T261" s="35">
        <v>65</v>
      </c>
      <c r="U261" s="35">
        <v>64</v>
      </c>
      <c r="V261" s="35">
        <v>64</v>
      </c>
      <c r="W261" s="24">
        <f>AVERAGE(T261:V261)</f>
        <v>64.333333333333329</v>
      </c>
      <c r="X261" s="36">
        <v>10.38</v>
      </c>
      <c r="Y261" s="35">
        <v>10.6</v>
      </c>
      <c r="Z261" s="35">
        <v>10.119999999999999</v>
      </c>
      <c r="AA261" s="24">
        <f>AVERAGE(X261:Z261)</f>
        <v>10.366666666666667</v>
      </c>
      <c r="AB261" s="36">
        <v>44.16</v>
      </c>
      <c r="AC261" s="37">
        <v>44.01</v>
      </c>
      <c r="AD261" s="37">
        <v>44.15</v>
      </c>
      <c r="AE261" s="24">
        <f>AVERAGE(AB261:AD261)</f>
        <v>44.106666666666662</v>
      </c>
      <c r="AF261" s="36">
        <v>88.88</v>
      </c>
      <c r="AG261" s="37">
        <v>88.95</v>
      </c>
      <c r="AH261" s="37">
        <v>88.98</v>
      </c>
      <c r="AI261" s="24">
        <f>AVERAGE(AF261:AH261)</f>
        <v>88.936666666666667</v>
      </c>
      <c r="AJ261" s="37">
        <v>18.170000000000002</v>
      </c>
      <c r="AK261" s="37">
        <v>18.21</v>
      </c>
      <c r="AL261" s="37">
        <v>18.55</v>
      </c>
      <c r="AN261" s="37">
        <v>30.55</v>
      </c>
      <c r="AO261" s="37">
        <v>30.18</v>
      </c>
      <c r="AP261" s="37">
        <v>30.21</v>
      </c>
      <c r="AX261" s="35">
        <v>57</v>
      </c>
      <c r="AY261" s="35">
        <v>57.39</v>
      </c>
      <c r="AZ261" s="35">
        <v>57.51</v>
      </c>
      <c r="BB261" s="35">
        <v>32.43</v>
      </c>
      <c r="BC261" s="35">
        <v>32.4</v>
      </c>
      <c r="BD261" s="35">
        <v>32.799999999999997</v>
      </c>
      <c r="BE261" s="24">
        <f>AVERAGE(BB261:BD261)</f>
        <v>32.543333333333329</v>
      </c>
      <c r="BF261" s="35">
        <v>81.099999999999994</v>
      </c>
      <c r="BG261" s="35">
        <v>81</v>
      </c>
      <c r="BH261" s="35">
        <v>81.11</v>
      </c>
      <c r="BI261" s="24">
        <f>AVERAGE(BF261:BH261)</f>
        <v>81.069999999999993</v>
      </c>
      <c r="BJ261" t="s">
        <v>51</v>
      </c>
      <c r="BK261" t="s">
        <v>51</v>
      </c>
      <c r="BL261" t="s">
        <v>52</v>
      </c>
      <c r="BM261" t="s">
        <v>51</v>
      </c>
      <c r="BU261" t="s">
        <v>1608</v>
      </c>
    </row>
    <row r="262" spans="1:73" x14ac:dyDescent="0.25">
      <c r="A262" s="235" t="s">
        <v>57</v>
      </c>
      <c r="B262" s="97" t="s">
        <v>1899</v>
      </c>
      <c r="C262" t="s">
        <v>49</v>
      </c>
      <c r="D262" t="s">
        <v>208</v>
      </c>
      <c r="E262">
        <v>1911</v>
      </c>
      <c r="G262" s="100">
        <v>43676</v>
      </c>
      <c r="H262" s="100">
        <v>43676</v>
      </c>
      <c r="I262" s="9" t="s">
        <v>589</v>
      </c>
      <c r="J262" s="76" t="s">
        <v>402</v>
      </c>
      <c r="K262" s="10">
        <v>1</v>
      </c>
      <c r="L262" s="12" t="s">
        <v>50</v>
      </c>
      <c r="M262">
        <v>654</v>
      </c>
      <c r="N262" s="9">
        <v>91</v>
      </c>
      <c r="O262" s="9">
        <f t="shared" si="110"/>
        <v>563</v>
      </c>
      <c r="P262">
        <v>176</v>
      </c>
      <c r="Q262">
        <v>175</v>
      </c>
      <c r="R262" s="24">
        <v>176</v>
      </c>
      <c r="S262" s="24">
        <f>AVERAGE(P262:R262)</f>
        <v>175.66666666666666</v>
      </c>
      <c r="T262">
        <v>155</v>
      </c>
      <c r="U262">
        <v>155</v>
      </c>
      <c r="V262" s="24">
        <v>156</v>
      </c>
      <c r="W262" s="24">
        <f>AVERAGE(T262:V262)</f>
        <v>155.33333333333334</v>
      </c>
      <c r="X262">
        <v>8.23</v>
      </c>
      <c r="Y262">
        <v>8.61</v>
      </c>
      <c r="Z262" s="24">
        <v>8.08</v>
      </c>
      <c r="AA262" s="24">
        <f>AVERAGE(X262:Z262)</f>
        <v>8.3066666666666666</v>
      </c>
      <c r="AB262" s="37">
        <v>42.95</v>
      </c>
      <c r="AC262" s="37">
        <v>42.53</v>
      </c>
      <c r="AD262" s="24">
        <v>42.75</v>
      </c>
      <c r="AE262" s="24">
        <f>AVERAGE(AB262:AD262)</f>
        <v>42.743333333333339</v>
      </c>
      <c r="AF262" s="37">
        <v>80.06</v>
      </c>
      <c r="AG262" s="37">
        <v>80.069999999999993</v>
      </c>
      <c r="AH262" s="24">
        <v>79.92</v>
      </c>
      <c r="AI262" s="24">
        <f>AVERAGE(AF262:AH262)</f>
        <v>80.016666666666666</v>
      </c>
      <c r="AJ262" s="37">
        <v>17.510000000000002</v>
      </c>
      <c r="AK262" s="37">
        <v>17.84</v>
      </c>
      <c r="AL262" s="9">
        <v>17.350000000000001</v>
      </c>
      <c r="AM262" s="37"/>
      <c r="AN262" s="37">
        <v>25.21</v>
      </c>
      <c r="AO262" s="37">
        <v>25.18</v>
      </c>
      <c r="AP262" s="9">
        <v>25.82</v>
      </c>
      <c r="AQ262" s="10"/>
      <c r="AR262" s="12"/>
      <c r="AV262" s="12"/>
      <c r="AX262" s="35">
        <v>50.27</v>
      </c>
      <c r="AY262" s="35">
        <v>50.04</v>
      </c>
      <c r="AZ262" s="35">
        <v>50.16</v>
      </c>
      <c r="BB262" s="35">
        <v>32.74</v>
      </c>
      <c r="BC262" s="35">
        <v>32.35</v>
      </c>
      <c r="BD262" s="35">
        <v>32.83</v>
      </c>
      <c r="BE262" s="24">
        <f>AVERAGE(BB262:BD262)</f>
        <v>32.64</v>
      </c>
      <c r="BF262" s="35">
        <v>75.290000000000006</v>
      </c>
      <c r="BG262" s="35">
        <v>75.790000000000006</v>
      </c>
      <c r="BH262" s="35">
        <v>75.64</v>
      </c>
      <c r="BI262" s="24">
        <f>AVERAGE(BF262:BH262)</f>
        <v>75.573333333333338</v>
      </c>
      <c r="BJ262" t="s">
        <v>51</v>
      </c>
      <c r="BK262" t="s">
        <v>51</v>
      </c>
      <c r="BL262" t="s">
        <v>52</v>
      </c>
      <c r="BM262" t="s">
        <v>52</v>
      </c>
      <c r="BN262" s="9"/>
      <c r="BO262" s="12"/>
      <c r="BS262" s="9"/>
      <c r="BT262" s="12"/>
      <c r="BU262" t="s">
        <v>1910</v>
      </c>
    </row>
    <row r="263" spans="1:73" x14ac:dyDescent="0.25">
      <c r="A263" t="s">
        <v>57</v>
      </c>
      <c r="B263" s="111" t="s">
        <v>1942</v>
      </c>
      <c r="C263" t="s">
        <v>49</v>
      </c>
      <c r="D263" t="s">
        <v>208</v>
      </c>
      <c r="E263">
        <v>1925</v>
      </c>
      <c r="H263" s="100">
        <v>43677</v>
      </c>
      <c r="I263" s="35" t="s">
        <v>639</v>
      </c>
      <c r="K263" s="33">
        <v>1</v>
      </c>
      <c r="L263" s="10" t="s">
        <v>64</v>
      </c>
      <c r="M263" t="s">
        <v>379</v>
      </c>
      <c r="N263" t="s">
        <v>379</v>
      </c>
      <c r="O263" s="9" t="e">
        <f t="shared" si="110"/>
        <v>#VALUE!</v>
      </c>
      <c r="P263" t="s">
        <v>379</v>
      </c>
      <c r="Q263" t="s">
        <v>379</v>
      </c>
      <c r="R263" t="s">
        <v>379</v>
      </c>
      <c r="S263" s="24" t="e">
        <f>AVERAGE(P263:R263)</f>
        <v>#DIV/0!</v>
      </c>
      <c r="T263" t="s">
        <v>379</v>
      </c>
      <c r="U263" t="s">
        <v>379</v>
      </c>
      <c r="V263" t="s">
        <v>379</v>
      </c>
      <c r="W263" s="24" t="e">
        <f t="shared" ref="W263:W269" si="111">AVERAGE(T263:V263)</f>
        <v>#DIV/0!</v>
      </c>
      <c r="X263" t="s">
        <v>379</v>
      </c>
      <c r="Y263" t="s">
        <v>379</v>
      </c>
      <c r="Z263" t="s">
        <v>379</v>
      </c>
      <c r="AA263" s="24" t="e">
        <f t="shared" ref="AA263:AA269" si="112">AVERAGE(X263:Z263)</f>
        <v>#DIV/0!</v>
      </c>
      <c r="AB263" t="s">
        <v>379</v>
      </c>
      <c r="AC263" t="s">
        <v>379</v>
      </c>
      <c r="AD263" t="s">
        <v>379</v>
      </c>
      <c r="AE263" s="24" t="e">
        <f>AVERAGE(AB263:AD263)</f>
        <v>#DIV/0!</v>
      </c>
      <c r="AF263" t="s">
        <v>379</v>
      </c>
      <c r="AG263" t="s">
        <v>379</v>
      </c>
      <c r="AH263" t="s">
        <v>379</v>
      </c>
      <c r="AI263" s="24" t="e">
        <f>AVERAGE(AF263:AH263)</f>
        <v>#DIV/0!</v>
      </c>
      <c r="AJ263"/>
      <c r="AK263"/>
      <c r="AL263"/>
      <c r="AM263" s="12"/>
      <c r="AS263" t="s">
        <v>65</v>
      </c>
      <c r="AT263">
        <v>8</v>
      </c>
      <c r="AU263">
        <v>1</v>
      </c>
      <c r="AV263" t="s">
        <v>1908</v>
      </c>
      <c r="AX263" t="s">
        <v>379</v>
      </c>
      <c r="AY263" t="s">
        <v>379</v>
      </c>
      <c r="AZ263" t="s">
        <v>379</v>
      </c>
      <c r="BB263" t="s">
        <v>379</v>
      </c>
      <c r="BC263" t="s">
        <v>379</v>
      </c>
      <c r="BD263" t="s">
        <v>379</v>
      </c>
      <c r="BF263" t="s">
        <v>379</v>
      </c>
      <c r="BG263" t="s">
        <v>379</v>
      </c>
      <c r="BH263" t="s">
        <v>379</v>
      </c>
      <c r="BJ263" t="s">
        <v>52</v>
      </c>
      <c r="BK263" t="s">
        <v>52</v>
      </c>
      <c r="BL263" t="s">
        <v>52</v>
      </c>
      <c r="BM263" t="s">
        <v>52</v>
      </c>
      <c r="BU263" t="s">
        <v>1909</v>
      </c>
    </row>
    <row r="264" spans="1:73" x14ac:dyDescent="0.25">
      <c r="A264" t="s">
        <v>57</v>
      </c>
      <c r="B264" s="111" t="s">
        <v>1934</v>
      </c>
      <c r="C264" t="s">
        <v>49</v>
      </c>
      <c r="D264" t="s">
        <v>208</v>
      </c>
      <c r="E264">
        <v>1913</v>
      </c>
      <c r="H264" s="100">
        <v>43679</v>
      </c>
      <c r="I264" s="35" t="s">
        <v>1915</v>
      </c>
      <c r="K264" s="33">
        <v>2</v>
      </c>
      <c r="L264" s="10" t="s">
        <v>64</v>
      </c>
      <c r="M264">
        <v>751</v>
      </c>
      <c r="N264">
        <v>88</v>
      </c>
      <c r="O264" s="9">
        <f t="shared" si="110"/>
        <v>663</v>
      </c>
      <c r="P264">
        <v>220</v>
      </c>
      <c r="Q264">
        <v>220</v>
      </c>
      <c r="R264">
        <v>199</v>
      </c>
      <c r="S264" s="24">
        <f t="shared" ref="S264:S267" si="113">AVERAGE(P264:R264)</f>
        <v>213</v>
      </c>
      <c r="T264" t="s">
        <v>379</v>
      </c>
      <c r="U264" t="s">
        <v>379</v>
      </c>
      <c r="V264" t="s">
        <v>379</v>
      </c>
      <c r="W264" s="24" t="e">
        <f t="shared" si="111"/>
        <v>#DIV/0!</v>
      </c>
      <c r="X264" s="36" t="s">
        <v>379</v>
      </c>
      <c r="Y264" t="s">
        <v>379</v>
      </c>
      <c r="Z264" t="s">
        <v>379</v>
      </c>
      <c r="AA264" s="24" t="e">
        <f t="shared" si="112"/>
        <v>#DIV/0!</v>
      </c>
      <c r="AB264" s="37">
        <v>41.04</v>
      </c>
      <c r="AC264" s="37">
        <v>41.04</v>
      </c>
      <c r="AD264" s="37">
        <v>41.07</v>
      </c>
      <c r="AE264" s="24">
        <f t="shared" ref="AE264:AE269" si="114">AVERAGE(AB264:AD264)</f>
        <v>41.050000000000004</v>
      </c>
      <c r="AF264" s="37">
        <v>80.45</v>
      </c>
      <c r="AG264" s="37">
        <v>80.48</v>
      </c>
      <c r="AH264" s="37">
        <v>80.63</v>
      </c>
      <c r="AI264" s="24">
        <f t="shared" ref="AI264:AI269" si="115">AVERAGE(AF264:AH264)</f>
        <v>80.52</v>
      </c>
      <c r="AS264" t="s">
        <v>65</v>
      </c>
      <c r="AT264">
        <v>8</v>
      </c>
      <c r="AU264">
        <v>8</v>
      </c>
      <c r="AV264">
        <v>0</v>
      </c>
      <c r="AX264">
        <v>53.49</v>
      </c>
      <c r="AY264">
        <v>53.28</v>
      </c>
      <c r="AZ264">
        <v>53.38</v>
      </c>
      <c r="BB264">
        <v>31.51</v>
      </c>
      <c r="BC264">
        <v>31.58</v>
      </c>
      <c r="BD264">
        <v>31.21</v>
      </c>
      <c r="BF264">
        <v>77.61</v>
      </c>
      <c r="BG264">
        <v>77.760000000000005</v>
      </c>
      <c r="BH264">
        <v>77.45</v>
      </c>
      <c r="BJ264" t="s">
        <v>51</v>
      </c>
      <c r="BK264" t="s">
        <v>51</v>
      </c>
      <c r="BL264" t="s">
        <v>52</v>
      </c>
      <c r="BM264" t="s">
        <v>52</v>
      </c>
      <c r="BU264" t="s">
        <v>1916</v>
      </c>
    </row>
    <row r="265" spans="1:73" x14ac:dyDescent="0.25">
      <c r="A265" t="s">
        <v>57</v>
      </c>
      <c r="B265" s="111" t="s">
        <v>1607</v>
      </c>
      <c r="C265" t="s">
        <v>207</v>
      </c>
      <c r="D265" t="s">
        <v>208</v>
      </c>
      <c r="E265">
        <v>1785</v>
      </c>
      <c r="H265" s="100">
        <v>43679</v>
      </c>
      <c r="I265" s="35" t="s">
        <v>99</v>
      </c>
      <c r="K265" s="33">
        <v>2</v>
      </c>
      <c r="L265" s="10" t="s">
        <v>50</v>
      </c>
      <c r="M265">
        <v>2299</v>
      </c>
      <c r="N265">
        <v>95</v>
      </c>
      <c r="O265" s="9">
        <f t="shared" si="110"/>
        <v>2204</v>
      </c>
      <c r="P265">
        <v>300</v>
      </c>
      <c r="Q265">
        <v>301</v>
      </c>
      <c r="R265">
        <v>301</v>
      </c>
      <c r="S265" s="24">
        <f t="shared" si="113"/>
        <v>300.66666666666669</v>
      </c>
      <c r="T265">
        <v>193</v>
      </c>
      <c r="U265">
        <v>192</v>
      </c>
      <c r="V265">
        <v>192</v>
      </c>
      <c r="W265" s="24">
        <f>AVERAGE(T265:V265)</f>
        <v>192.33333333333334</v>
      </c>
      <c r="X265" s="36">
        <v>14.77</v>
      </c>
      <c r="Y265">
        <v>14.78</v>
      </c>
      <c r="Z265">
        <v>14.66</v>
      </c>
      <c r="AA265" s="24">
        <f>AVERAGE(X265:Z265)</f>
        <v>14.736666666666665</v>
      </c>
      <c r="AB265" s="37">
        <v>55.58</v>
      </c>
      <c r="AC265" s="37">
        <v>55.43</v>
      </c>
      <c r="AD265" s="37">
        <v>55.51</v>
      </c>
      <c r="AE265" s="24">
        <f t="shared" si="114"/>
        <v>55.506666666666661</v>
      </c>
      <c r="AF265" s="37">
        <v>111.3</v>
      </c>
      <c r="AG265" s="37">
        <v>111.4</v>
      </c>
      <c r="AH265" s="37">
        <v>111.34</v>
      </c>
      <c r="AI265" s="24">
        <f t="shared" si="115"/>
        <v>111.34666666666665</v>
      </c>
      <c r="AJ265" s="37">
        <v>22.94</v>
      </c>
      <c r="AK265" s="37">
        <v>22.99</v>
      </c>
      <c r="AL265" s="37">
        <v>22.83</v>
      </c>
      <c r="AN265" s="37">
        <v>32.15</v>
      </c>
      <c r="AO265" s="37">
        <v>32.08</v>
      </c>
      <c r="AP265" s="37">
        <v>32.049999999999997</v>
      </c>
      <c r="AX265">
        <v>70.94</v>
      </c>
      <c r="AY265">
        <v>70.98</v>
      </c>
      <c r="AZ265">
        <v>70.819999999999993</v>
      </c>
      <c r="BB265">
        <v>41.47</v>
      </c>
      <c r="BC265">
        <v>41.28</v>
      </c>
      <c r="BD265">
        <v>41.16</v>
      </c>
      <c r="BF265">
        <v>93.78</v>
      </c>
      <c r="BG265">
        <v>93.81</v>
      </c>
      <c r="BH265">
        <v>93.78</v>
      </c>
      <c r="BJ265" t="s">
        <v>52</v>
      </c>
      <c r="BK265" t="s">
        <v>51</v>
      </c>
      <c r="BL265" t="s">
        <v>52</v>
      </c>
      <c r="BM265" t="s">
        <v>51</v>
      </c>
    </row>
    <row r="266" spans="1:73" x14ac:dyDescent="0.25">
      <c r="A266" t="s">
        <v>57</v>
      </c>
      <c r="B266" s="111" t="s">
        <v>1941</v>
      </c>
      <c r="C266" t="s">
        <v>49</v>
      </c>
      <c r="D266" t="s">
        <v>208</v>
      </c>
      <c r="E266">
        <v>1917</v>
      </c>
      <c r="H266" s="100">
        <v>43684</v>
      </c>
      <c r="I266" s="35" t="s">
        <v>605</v>
      </c>
      <c r="K266" s="33">
        <v>3</v>
      </c>
      <c r="L266" s="10" t="s">
        <v>64</v>
      </c>
      <c r="M266">
        <v>889</v>
      </c>
      <c r="N266">
        <v>94</v>
      </c>
      <c r="O266" s="9">
        <f t="shared" si="110"/>
        <v>795</v>
      </c>
      <c r="P266">
        <v>214</v>
      </c>
      <c r="Q266">
        <v>213</v>
      </c>
      <c r="R266">
        <v>214</v>
      </c>
      <c r="S266" s="24">
        <f t="shared" si="113"/>
        <v>213.66666666666666</v>
      </c>
      <c r="T266">
        <v>160</v>
      </c>
      <c r="U266">
        <v>159</v>
      </c>
      <c r="V266">
        <v>159</v>
      </c>
      <c r="W266" s="24">
        <f t="shared" si="111"/>
        <v>159.33333333333334</v>
      </c>
      <c r="X266" s="36">
        <v>10.82</v>
      </c>
      <c r="Y266">
        <v>10.82</v>
      </c>
      <c r="Z266">
        <v>11.09</v>
      </c>
      <c r="AA266" s="24">
        <f t="shared" si="112"/>
        <v>10.910000000000002</v>
      </c>
      <c r="AB266" s="37">
        <v>41.95</v>
      </c>
      <c r="AC266" s="37">
        <v>41.79</v>
      </c>
      <c r="AD266" s="37">
        <v>41.82</v>
      </c>
      <c r="AE266" s="24">
        <f t="shared" si="114"/>
        <v>41.853333333333332</v>
      </c>
      <c r="AF266" s="37">
        <v>87.5</v>
      </c>
      <c r="AG266" s="37">
        <v>87.68</v>
      </c>
      <c r="AH266" s="37">
        <v>87.01</v>
      </c>
      <c r="AI266" s="24">
        <f t="shared" si="115"/>
        <v>87.396666666666661</v>
      </c>
      <c r="AS266" t="s">
        <v>65</v>
      </c>
      <c r="AT266">
        <v>8</v>
      </c>
      <c r="AU266">
        <v>5</v>
      </c>
      <c r="AV266">
        <v>0</v>
      </c>
      <c r="AX266" s="35">
        <v>56.68</v>
      </c>
      <c r="AY266" s="35">
        <v>56.59</v>
      </c>
      <c r="AZ266" s="35">
        <v>56.27</v>
      </c>
      <c r="BB266" s="35">
        <v>32.520000000000003</v>
      </c>
      <c r="BC266" s="35">
        <v>32.869999999999997</v>
      </c>
      <c r="BD266" s="35">
        <v>32.89</v>
      </c>
      <c r="BF266" s="35">
        <v>80.209999999999994</v>
      </c>
      <c r="BG266" s="35">
        <v>80.239999999999995</v>
      </c>
      <c r="BH266" s="35">
        <v>80.45</v>
      </c>
      <c r="BJ266" t="s">
        <v>51</v>
      </c>
      <c r="BK266" t="s">
        <v>51</v>
      </c>
      <c r="BL266" t="s">
        <v>52</v>
      </c>
      <c r="BM266" t="s">
        <v>52</v>
      </c>
    </row>
    <row r="267" spans="1:73" x14ac:dyDescent="0.25">
      <c r="A267" t="s">
        <v>57</v>
      </c>
      <c r="B267" s="111" t="s">
        <v>1949</v>
      </c>
      <c r="C267" t="s">
        <v>49</v>
      </c>
      <c r="D267" t="s">
        <v>208</v>
      </c>
      <c r="E267">
        <v>1951</v>
      </c>
      <c r="H267" s="100">
        <v>43686</v>
      </c>
      <c r="I267" s="35" t="s">
        <v>639</v>
      </c>
      <c r="K267" s="33">
        <v>2</v>
      </c>
      <c r="L267" s="10" t="s">
        <v>50</v>
      </c>
      <c r="M267">
        <v>1469</v>
      </c>
      <c r="N267">
        <v>92</v>
      </c>
      <c r="O267" s="9">
        <f t="shared" si="110"/>
        <v>1377</v>
      </c>
      <c r="P267" s="35">
        <v>264</v>
      </c>
      <c r="Q267" s="35">
        <v>263</v>
      </c>
      <c r="R267" s="35">
        <v>264</v>
      </c>
      <c r="T267" s="35">
        <v>171</v>
      </c>
      <c r="U267" s="35">
        <v>171</v>
      </c>
      <c r="V267" s="35">
        <v>170</v>
      </c>
      <c r="W267" s="24">
        <f t="shared" si="111"/>
        <v>170.66666666666666</v>
      </c>
      <c r="X267" s="36">
        <v>12.86</v>
      </c>
      <c r="Y267" s="35">
        <v>12.78</v>
      </c>
      <c r="Z267" s="35">
        <v>12.89</v>
      </c>
      <c r="AA267" s="24">
        <f t="shared" si="112"/>
        <v>12.843333333333334</v>
      </c>
      <c r="AB267" s="37">
        <v>51.2</v>
      </c>
      <c r="AC267" s="37">
        <v>51.09</v>
      </c>
      <c r="AD267" s="37">
        <v>51.2</v>
      </c>
      <c r="AE267" s="24">
        <f t="shared" si="114"/>
        <v>51.163333333333334</v>
      </c>
      <c r="AF267" s="37">
        <v>99.44</v>
      </c>
      <c r="AG267" s="37">
        <v>99.52</v>
      </c>
      <c r="AH267" s="37">
        <v>99.52</v>
      </c>
      <c r="AI267" s="24">
        <f t="shared" si="115"/>
        <v>99.493333333333325</v>
      </c>
      <c r="AJ267" s="37">
        <v>19.05</v>
      </c>
      <c r="AK267" s="37">
        <v>19.399999999999999</v>
      </c>
      <c r="AL267" s="37">
        <v>19.47</v>
      </c>
      <c r="AN267" s="37">
        <v>26.44</v>
      </c>
      <c r="AO267" s="37">
        <v>26.1</v>
      </c>
      <c r="AP267" s="37">
        <v>26.73</v>
      </c>
      <c r="AX267" s="35">
        <v>61.44</v>
      </c>
      <c r="AY267" s="35">
        <v>61.45</v>
      </c>
      <c r="AZ267" s="35">
        <v>61.62</v>
      </c>
      <c r="BB267" s="35">
        <v>37.479999999999997</v>
      </c>
      <c r="BC267" s="35">
        <v>37.89</v>
      </c>
      <c r="BD267" s="35">
        <v>37.75</v>
      </c>
      <c r="BF267" s="35">
        <v>90.51</v>
      </c>
      <c r="BG267" s="35">
        <v>90.65</v>
      </c>
      <c r="BH267" s="35">
        <v>90.33</v>
      </c>
      <c r="BJ267" t="s">
        <v>51</v>
      </c>
      <c r="BK267" t="s">
        <v>51</v>
      </c>
      <c r="BL267" t="s">
        <v>52</v>
      </c>
      <c r="BM267" t="s">
        <v>51</v>
      </c>
    </row>
    <row r="268" spans="1:73" x14ac:dyDescent="0.25">
      <c r="A268" t="s">
        <v>57</v>
      </c>
      <c r="B268" s="111" t="s">
        <v>1948</v>
      </c>
      <c r="C268" t="s">
        <v>49</v>
      </c>
      <c r="D268" t="s">
        <v>208</v>
      </c>
      <c r="E268">
        <v>1952</v>
      </c>
      <c r="H268" s="100">
        <v>43686</v>
      </c>
      <c r="I268" s="35" t="s">
        <v>1951</v>
      </c>
      <c r="K268" s="33">
        <v>1</v>
      </c>
      <c r="L268" s="10" t="s">
        <v>50</v>
      </c>
      <c r="M268">
        <v>921</v>
      </c>
      <c r="N268">
        <v>91</v>
      </c>
      <c r="O268" s="9">
        <f t="shared" si="110"/>
        <v>830</v>
      </c>
      <c r="P268" s="35">
        <v>223</v>
      </c>
      <c r="Q268" s="35">
        <v>222</v>
      </c>
      <c r="R268" s="35">
        <v>222</v>
      </c>
      <c r="T268" s="35">
        <v>0</v>
      </c>
      <c r="U268" s="35">
        <v>0</v>
      </c>
      <c r="V268" s="35">
        <v>0</v>
      </c>
      <c r="W268" s="24">
        <f t="shared" si="111"/>
        <v>0</v>
      </c>
      <c r="X268" s="36">
        <v>0</v>
      </c>
      <c r="Y268" s="35">
        <v>0</v>
      </c>
      <c r="Z268" s="35">
        <v>0</v>
      </c>
      <c r="AA268" s="24">
        <f t="shared" si="112"/>
        <v>0</v>
      </c>
      <c r="AB268" s="37">
        <v>45.75</v>
      </c>
      <c r="AC268" s="37">
        <v>45.99</v>
      </c>
      <c r="AD268" s="37">
        <v>46</v>
      </c>
      <c r="AE268" s="24">
        <f t="shared" si="114"/>
        <v>45.913333333333334</v>
      </c>
      <c r="AF268" s="37">
        <v>83.6</v>
      </c>
      <c r="AG268" s="37">
        <v>83.7</v>
      </c>
      <c r="AH268" s="37">
        <v>83.44</v>
      </c>
      <c r="AI268" s="24">
        <f t="shared" si="115"/>
        <v>83.58</v>
      </c>
      <c r="AJ268" s="37">
        <v>17.88</v>
      </c>
      <c r="AK268" s="37">
        <v>17.690000000000001</v>
      </c>
      <c r="AL268" s="37">
        <v>17.760000000000002</v>
      </c>
      <c r="AN268" s="37">
        <v>26.19</v>
      </c>
      <c r="AO268" s="37">
        <v>26.22</v>
      </c>
      <c r="AP268" s="37">
        <v>26.61</v>
      </c>
      <c r="AX268" s="35">
        <v>52.1</v>
      </c>
      <c r="AY268" s="35">
        <v>51.99</v>
      </c>
      <c r="AZ268" s="35">
        <v>52.16</v>
      </c>
      <c r="BB268" s="35">
        <v>33.5</v>
      </c>
      <c r="BC268" s="35">
        <v>33.4</v>
      </c>
      <c r="BD268" s="35">
        <v>33.31</v>
      </c>
      <c r="BF268" s="35">
        <v>80.2</v>
      </c>
      <c r="BG268" s="35">
        <v>80.400000000000006</v>
      </c>
      <c r="BH268" s="35">
        <v>80.39</v>
      </c>
      <c r="BJ268" t="s">
        <v>51</v>
      </c>
      <c r="BK268" t="s">
        <v>51</v>
      </c>
      <c r="BL268" t="s">
        <v>52</v>
      </c>
      <c r="BM268" t="s">
        <v>52</v>
      </c>
      <c r="BU268" t="s">
        <v>73</v>
      </c>
    </row>
    <row r="269" spans="1:73" x14ac:dyDescent="0.25">
      <c r="A269" t="s">
        <v>57</v>
      </c>
      <c r="B269" s="24" t="s">
        <v>1950</v>
      </c>
      <c r="C269" t="s">
        <v>49</v>
      </c>
      <c r="D269" t="s">
        <v>208</v>
      </c>
      <c r="E269">
        <v>1953</v>
      </c>
      <c r="H269" s="100">
        <v>43686</v>
      </c>
      <c r="I269" s="35" t="s">
        <v>1952</v>
      </c>
      <c r="K269" s="33">
        <v>2</v>
      </c>
      <c r="L269" s="10" t="s">
        <v>50</v>
      </c>
      <c r="M269">
        <v>997</v>
      </c>
      <c r="N269">
        <v>95</v>
      </c>
      <c r="O269" s="9">
        <f t="shared" si="110"/>
        <v>902</v>
      </c>
      <c r="P269" s="35">
        <v>219</v>
      </c>
      <c r="Q269" s="35">
        <v>219</v>
      </c>
      <c r="R269" s="35">
        <v>218</v>
      </c>
      <c r="T269" s="35">
        <v>141</v>
      </c>
      <c r="U269" s="35">
        <v>142</v>
      </c>
      <c r="V269" s="35">
        <v>142</v>
      </c>
      <c r="W269" s="24">
        <f t="shared" si="111"/>
        <v>141.66666666666666</v>
      </c>
      <c r="X269" s="36">
        <v>10.33</v>
      </c>
      <c r="Y269" s="35">
        <v>10.59</v>
      </c>
      <c r="Z269" s="35">
        <v>10.49</v>
      </c>
      <c r="AA269" s="24">
        <f t="shared" si="112"/>
        <v>10.47</v>
      </c>
      <c r="AB269" s="37">
        <v>45.43</v>
      </c>
      <c r="AC269" s="37">
        <v>45.88</v>
      </c>
      <c r="AD269" s="37">
        <v>45.76</v>
      </c>
      <c r="AE269" s="24">
        <f t="shared" si="114"/>
        <v>45.69</v>
      </c>
      <c r="AF269" s="37">
        <v>89.14</v>
      </c>
      <c r="AG269" s="37">
        <v>89.44</v>
      </c>
      <c r="AH269" s="37">
        <v>89.14</v>
      </c>
      <c r="AI269" s="24">
        <f t="shared" si="115"/>
        <v>89.24</v>
      </c>
      <c r="AJ269" s="37">
        <v>18.739999999999998</v>
      </c>
      <c r="AK269" s="37">
        <v>18.760000000000002</v>
      </c>
      <c r="AL269" s="37">
        <v>18.75</v>
      </c>
      <c r="AN269" s="37">
        <v>26.35</v>
      </c>
      <c r="AO269" s="37">
        <v>26.17</v>
      </c>
      <c r="AP269" s="37">
        <v>26.4</v>
      </c>
      <c r="AX269" s="35">
        <v>54.52</v>
      </c>
      <c r="AY269" s="35">
        <v>54.51</v>
      </c>
      <c r="AZ269" s="35">
        <v>54.27</v>
      </c>
      <c r="BB269">
        <v>32.43</v>
      </c>
      <c r="BC269" s="35">
        <v>32.56</v>
      </c>
      <c r="BD269" s="35">
        <v>32.409999999999997</v>
      </c>
      <c r="BF269" s="35">
        <v>88.1</v>
      </c>
      <c r="BG269" s="35">
        <v>88.17</v>
      </c>
      <c r="BH269" s="35">
        <v>88.17</v>
      </c>
      <c r="BJ269" t="s">
        <v>51</v>
      </c>
      <c r="BK269" t="s">
        <v>51</v>
      </c>
      <c r="BL269" t="s">
        <v>52</v>
      </c>
      <c r="BM269" t="s">
        <v>51</v>
      </c>
    </row>
  </sheetData>
  <mergeCells count="13">
    <mergeCell ref="BP1:BT1"/>
    <mergeCell ref="M1:O1"/>
    <mergeCell ref="P1:S1"/>
    <mergeCell ref="T1:W1"/>
    <mergeCell ref="X1:AA1"/>
    <mergeCell ref="AS1:AV1"/>
    <mergeCell ref="BJ1:BO1"/>
    <mergeCell ref="AF1:AI1"/>
    <mergeCell ref="AB1:AE1"/>
    <mergeCell ref="AX1:BA1"/>
    <mergeCell ref="BB1:BE1"/>
    <mergeCell ref="BF1:BI1"/>
    <mergeCell ref="AJ1:AQ1"/>
  </mergeCells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117"/>
  <sheetViews>
    <sheetView topLeftCell="A2" workbookViewId="0">
      <pane xSplit="2" ySplit="1" topLeftCell="C85" activePane="bottomRight" state="frozen"/>
      <selection activeCell="A2" sqref="A2"/>
      <selection pane="topRight" activeCell="C2" sqref="C2"/>
      <selection pane="bottomLeft" activeCell="A3" sqref="A3"/>
      <selection pane="bottomRight" activeCell="B116" sqref="B116"/>
    </sheetView>
  </sheetViews>
  <sheetFormatPr defaultColWidth="10.125" defaultRowHeight="15.75" x14ac:dyDescent="0.25"/>
  <cols>
    <col min="1" max="1" width="11.375" style="235" customWidth="1"/>
    <col min="2" max="2" width="11.375" bestFit="1" customWidth="1"/>
    <col min="3" max="3" width="10.375" bestFit="1" customWidth="1"/>
    <col min="4" max="4" width="8.5" bestFit="1" customWidth="1"/>
    <col min="5" max="5" width="10.125" bestFit="1" customWidth="1"/>
    <col min="6" max="6" width="6.5" bestFit="1" customWidth="1"/>
    <col min="7" max="7" width="10.875" bestFit="1" customWidth="1"/>
    <col min="8" max="8" width="8" bestFit="1" customWidth="1"/>
    <col min="9" max="9" width="7.125" style="9" bestFit="1" customWidth="1"/>
    <col min="10" max="10" width="8.125" style="76" bestFit="1" customWidth="1"/>
    <col min="11" max="11" width="6.875" style="10" bestFit="1" customWidth="1"/>
    <col min="12" max="12" width="13.125" bestFit="1" customWidth="1"/>
    <col min="13" max="13" width="4.375" bestFit="1" customWidth="1"/>
    <col min="14" max="14" width="5.5" style="9" bestFit="1" customWidth="1"/>
    <col min="15" max="16" width="11.625" bestFit="1" customWidth="1"/>
    <col min="17" max="17" width="11.625" customWidth="1"/>
    <col min="18" max="18" width="13.625" style="24" bestFit="1" customWidth="1"/>
    <col min="22" max="22" width="11" style="24" bestFit="1" customWidth="1"/>
    <col min="23" max="23" width="9.125" style="36" bestFit="1" customWidth="1"/>
    <col min="24" max="25" width="9.125" bestFit="1" customWidth="1"/>
    <col min="26" max="26" width="11" style="24" bestFit="1" customWidth="1"/>
    <col min="27" max="29" width="7" bestFit="1" customWidth="1"/>
    <col min="30" max="30" width="9" style="24" bestFit="1" customWidth="1"/>
    <col min="31" max="33" width="11" bestFit="1" customWidth="1"/>
    <col min="34" max="34" width="13" style="24" bestFit="1" customWidth="1"/>
    <col min="35" max="37" width="7.125" style="12" bestFit="1" customWidth="1"/>
    <col min="38" max="38" width="5.875" style="9" bestFit="1" customWidth="1"/>
    <col min="39" max="41" width="6.125" style="12" bestFit="1" customWidth="1"/>
    <col min="42" max="42" width="5.875" style="9" bestFit="1" customWidth="1"/>
    <col min="43" max="43" width="7.125" style="10" bestFit="1" customWidth="1"/>
    <col min="44" max="44" width="7.125" bestFit="1" customWidth="1"/>
    <col min="45" max="45" width="6.375" bestFit="1" customWidth="1"/>
    <col min="46" max="46" width="13.375" bestFit="1" customWidth="1"/>
    <col min="47" max="47" width="13" bestFit="1" customWidth="1"/>
    <col min="48" max="48" width="8.625" style="12" bestFit="1" customWidth="1"/>
    <col min="49" max="49" width="9.375" style="9" bestFit="1" customWidth="1"/>
    <col min="50" max="52" width="10.375" bestFit="1" customWidth="1"/>
    <col min="53" max="53" width="12.375" style="24" bestFit="1" customWidth="1"/>
    <col min="54" max="56" width="11.125" bestFit="1" customWidth="1"/>
    <col min="57" max="57" width="13.125" style="24" bestFit="1" customWidth="1"/>
    <col min="58" max="60" width="11.625" bestFit="1" customWidth="1"/>
    <col min="61" max="61" width="13.625" style="24" bestFit="1" customWidth="1"/>
    <col min="62" max="62" width="5" bestFit="1" customWidth="1"/>
    <col min="63" max="63" width="4.5" bestFit="1" customWidth="1"/>
    <col min="64" max="64" width="6.5" bestFit="1" customWidth="1"/>
    <col min="65" max="65" width="5" bestFit="1" customWidth="1"/>
    <col min="66" max="66" width="6" style="9" bestFit="1" customWidth="1"/>
    <col min="67" max="67" width="4.5" style="12" bestFit="1" customWidth="1"/>
    <col min="68" max="68" width="4.375" style="12" bestFit="1" customWidth="1"/>
    <col min="69" max="69" width="5.125" style="12" bestFit="1" customWidth="1"/>
    <col min="70" max="70" width="6" style="12" bestFit="1" customWidth="1"/>
    <col min="71" max="71" width="6.125" style="9" bestFit="1" customWidth="1"/>
    <col min="72" max="72" width="34.375" bestFit="1" customWidth="1"/>
    <col min="78" max="78" width="12.625" bestFit="1" customWidth="1"/>
  </cols>
  <sheetData>
    <row r="1" spans="1:72" s="1" customFormat="1" x14ac:dyDescent="0.25">
      <c r="A1" s="77"/>
      <c r="F1" s="2"/>
      <c r="I1" s="40"/>
      <c r="J1" s="74" t="s">
        <v>107</v>
      </c>
      <c r="K1" s="3"/>
      <c r="L1" s="285" t="s">
        <v>119</v>
      </c>
      <c r="M1" s="286"/>
      <c r="N1" s="287"/>
      <c r="O1" s="285" t="s">
        <v>120</v>
      </c>
      <c r="P1" s="286"/>
      <c r="Q1" s="286"/>
      <c r="R1" s="287"/>
      <c r="S1" s="285" t="s">
        <v>121</v>
      </c>
      <c r="T1" s="286"/>
      <c r="U1" s="286"/>
      <c r="V1" s="287"/>
      <c r="W1" s="285" t="s">
        <v>122</v>
      </c>
      <c r="X1" s="286"/>
      <c r="Y1" s="286"/>
      <c r="Z1" s="287"/>
      <c r="AA1" s="285" t="s">
        <v>124</v>
      </c>
      <c r="AB1" s="286"/>
      <c r="AC1" s="286"/>
      <c r="AD1" s="287"/>
      <c r="AE1" s="285" t="s">
        <v>123</v>
      </c>
      <c r="AF1" s="286"/>
      <c r="AG1" s="286"/>
      <c r="AH1" s="287"/>
      <c r="AI1" s="288" t="s">
        <v>272</v>
      </c>
      <c r="AJ1" s="289"/>
      <c r="AK1" s="289"/>
      <c r="AL1" s="289"/>
      <c r="AM1" s="289"/>
      <c r="AN1" s="289"/>
      <c r="AO1" s="289"/>
      <c r="AP1" s="290"/>
      <c r="AQ1" s="11" t="s">
        <v>0</v>
      </c>
      <c r="AR1" s="285" t="s">
        <v>1</v>
      </c>
      <c r="AS1" s="286"/>
      <c r="AT1" s="286"/>
      <c r="AU1" s="286"/>
      <c r="AV1" s="95"/>
      <c r="AW1" s="41"/>
      <c r="AX1" s="285" t="s">
        <v>125</v>
      </c>
      <c r="AY1" s="286"/>
      <c r="AZ1" s="286"/>
      <c r="BA1" s="287"/>
      <c r="BB1" s="285" t="s">
        <v>126</v>
      </c>
      <c r="BC1" s="286"/>
      <c r="BD1" s="286"/>
      <c r="BE1" s="287"/>
      <c r="BF1" s="285" t="s">
        <v>127</v>
      </c>
      <c r="BG1" s="286"/>
      <c r="BH1" s="286"/>
      <c r="BI1" s="287"/>
      <c r="BJ1" s="286" t="s">
        <v>108</v>
      </c>
      <c r="BK1" s="286"/>
      <c r="BL1" s="286"/>
      <c r="BM1" s="286"/>
      <c r="BN1" s="287"/>
      <c r="BO1" s="282" t="s">
        <v>109</v>
      </c>
      <c r="BP1" s="283"/>
      <c r="BQ1" s="283"/>
      <c r="BR1" s="283"/>
      <c r="BS1" s="284"/>
    </row>
    <row r="2" spans="1:72" s="22" customFormat="1" ht="16.5" thickBot="1" x14ac:dyDescent="0.3">
      <c r="A2" s="84" t="s">
        <v>56</v>
      </c>
      <c r="B2" s="13" t="s">
        <v>2</v>
      </c>
      <c r="C2" s="13" t="s">
        <v>3</v>
      </c>
      <c r="D2" s="13" t="s">
        <v>4</v>
      </c>
      <c r="E2" s="13" t="s">
        <v>5</v>
      </c>
      <c r="F2" s="18" t="s">
        <v>103</v>
      </c>
      <c r="G2" s="13" t="s">
        <v>6</v>
      </c>
      <c r="H2" s="13" t="s">
        <v>7</v>
      </c>
      <c r="I2" s="14" t="s">
        <v>8</v>
      </c>
      <c r="J2" s="75" t="s">
        <v>40</v>
      </c>
      <c r="K2" s="20" t="s">
        <v>41</v>
      </c>
      <c r="L2" s="13" t="s">
        <v>9</v>
      </c>
      <c r="M2" s="13" t="s">
        <v>10</v>
      </c>
      <c r="N2" s="14" t="s">
        <v>11</v>
      </c>
      <c r="O2" s="13" t="s">
        <v>12</v>
      </c>
      <c r="P2" s="13" t="s">
        <v>13</v>
      </c>
      <c r="Q2" s="13" t="s">
        <v>14</v>
      </c>
      <c r="R2" s="23" t="s">
        <v>15</v>
      </c>
      <c r="S2" s="13" t="s">
        <v>16</v>
      </c>
      <c r="T2" s="13" t="s">
        <v>17</v>
      </c>
      <c r="U2" s="13" t="s">
        <v>18</v>
      </c>
      <c r="V2" s="23" t="s">
        <v>19</v>
      </c>
      <c r="W2" s="19" t="s">
        <v>20</v>
      </c>
      <c r="X2" s="13" t="s">
        <v>21</v>
      </c>
      <c r="Y2" s="13" t="s">
        <v>22</v>
      </c>
      <c r="Z2" s="23" t="s">
        <v>23</v>
      </c>
      <c r="AA2" s="19" t="s">
        <v>28</v>
      </c>
      <c r="AB2" s="19" t="s">
        <v>29</v>
      </c>
      <c r="AC2" s="19" t="s">
        <v>30</v>
      </c>
      <c r="AD2" s="23" t="s">
        <v>31</v>
      </c>
      <c r="AE2" s="13" t="s">
        <v>24</v>
      </c>
      <c r="AF2" s="13" t="s">
        <v>25</v>
      </c>
      <c r="AG2" s="13" t="s">
        <v>26</v>
      </c>
      <c r="AH2" s="23" t="s">
        <v>27</v>
      </c>
      <c r="AI2" s="19" t="s">
        <v>273</v>
      </c>
      <c r="AJ2" s="19" t="s">
        <v>274</v>
      </c>
      <c r="AK2" s="19" t="s">
        <v>275</v>
      </c>
      <c r="AL2" s="23" t="s">
        <v>276</v>
      </c>
      <c r="AM2" s="19" t="s">
        <v>277</v>
      </c>
      <c r="AN2" s="19" t="s">
        <v>278</v>
      </c>
      <c r="AO2" s="19" t="s">
        <v>279</v>
      </c>
      <c r="AP2" s="23" t="s">
        <v>276</v>
      </c>
      <c r="AQ2" s="21" t="s">
        <v>128</v>
      </c>
      <c r="AR2" s="13" t="s">
        <v>42</v>
      </c>
      <c r="AS2" s="13" t="s">
        <v>43</v>
      </c>
      <c r="AT2" s="13" t="s">
        <v>44</v>
      </c>
      <c r="AU2" s="13" t="s">
        <v>45</v>
      </c>
      <c r="AV2" s="13" t="s">
        <v>483</v>
      </c>
      <c r="AW2" s="14" t="s">
        <v>91</v>
      </c>
      <c r="AX2" s="13" t="s">
        <v>115</v>
      </c>
      <c r="AY2" s="13" t="s">
        <v>116</v>
      </c>
      <c r="AZ2" s="13" t="s">
        <v>117</v>
      </c>
      <c r="BA2" s="23" t="s">
        <v>118</v>
      </c>
      <c r="BB2" s="13" t="s">
        <v>32</v>
      </c>
      <c r="BC2" s="13" t="s">
        <v>33</v>
      </c>
      <c r="BD2" s="13" t="s">
        <v>34</v>
      </c>
      <c r="BE2" s="23" t="s">
        <v>35</v>
      </c>
      <c r="BF2" s="13" t="s">
        <v>36</v>
      </c>
      <c r="BG2" s="13" t="s">
        <v>37</v>
      </c>
      <c r="BH2" s="13" t="s">
        <v>38</v>
      </c>
      <c r="BI2" s="23" t="s">
        <v>39</v>
      </c>
      <c r="BJ2" s="13" t="s">
        <v>105</v>
      </c>
      <c r="BK2" s="13" t="s">
        <v>110</v>
      </c>
      <c r="BL2" s="13" t="s">
        <v>106</v>
      </c>
      <c r="BM2" s="13" t="s">
        <v>46</v>
      </c>
      <c r="BN2" s="14" t="s">
        <v>47</v>
      </c>
      <c r="BO2" s="13" t="s">
        <v>110</v>
      </c>
      <c r="BP2" s="13" t="s">
        <v>111</v>
      </c>
      <c r="BQ2" s="13" t="s">
        <v>112</v>
      </c>
      <c r="BR2" s="13" t="s">
        <v>113</v>
      </c>
      <c r="BS2" s="14" t="s">
        <v>114</v>
      </c>
      <c r="BT2" s="13" t="s">
        <v>48</v>
      </c>
    </row>
    <row r="3" spans="1:72" s="227" customFormat="1" x14ac:dyDescent="0.25">
      <c r="A3" s="234">
        <v>2016</v>
      </c>
      <c r="B3" s="213"/>
      <c r="I3" s="228"/>
      <c r="J3" s="229"/>
      <c r="K3" s="230"/>
      <c r="N3" s="228"/>
      <c r="R3" s="231"/>
      <c r="V3" s="231"/>
      <c r="W3" s="232"/>
      <c r="Z3" s="231"/>
      <c r="AD3" s="231"/>
      <c r="AH3" s="231"/>
      <c r="AI3" s="233"/>
      <c r="AJ3" s="233"/>
      <c r="AK3" s="233"/>
      <c r="AL3" s="228"/>
      <c r="AM3" s="233"/>
      <c r="AN3" s="233"/>
      <c r="AO3" s="233"/>
      <c r="AP3" s="228"/>
      <c r="AQ3" s="230"/>
      <c r="AV3" s="233"/>
      <c r="AW3" s="228"/>
      <c r="BA3" s="231"/>
      <c r="BE3" s="231"/>
      <c r="BI3" s="231"/>
      <c r="BN3" s="228"/>
      <c r="BO3" s="233"/>
      <c r="BP3" s="233"/>
      <c r="BQ3" s="233"/>
      <c r="BR3" s="233"/>
      <c r="BS3" s="228"/>
    </row>
    <row r="4" spans="1:72" x14ac:dyDescent="0.25">
      <c r="A4" s="235" t="s">
        <v>57</v>
      </c>
      <c r="B4" t="s">
        <v>287</v>
      </c>
      <c r="C4" t="s">
        <v>49</v>
      </c>
      <c r="D4" t="s">
        <v>289</v>
      </c>
      <c r="E4">
        <v>1026</v>
      </c>
      <c r="F4" s="5"/>
      <c r="G4" s="100">
        <v>42597</v>
      </c>
      <c r="H4" t="s">
        <v>300</v>
      </c>
      <c r="J4" s="76">
        <v>2</v>
      </c>
      <c r="K4" s="10" t="s">
        <v>50</v>
      </c>
      <c r="L4">
        <v>1184</v>
      </c>
      <c r="M4">
        <v>96</v>
      </c>
      <c r="N4" s="9">
        <f t="shared" ref="N4:N30" si="0">L4-M4</f>
        <v>1088</v>
      </c>
      <c r="O4">
        <v>285</v>
      </c>
      <c r="P4">
        <v>285</v>
      </c>
      <c r="Q4">
        <v>285</v>
      </c>
      <c r="R4" s="24">
        <f t="shared" ref="R4:R30" si="1">AVERAGE(O4:Q4)</f>
        <v>285</v>
      </c>
      <c r="S4">
        <v>0</v>
      </c>
      <c r="T4">
        <v>0</v>
      </c>
      <c r="U4">
        <v>0</v>
      </c>
      <c r="V4" s="24">
        <f t="shared" ref="V4:V30" si="2">AVERAGE(S4:U4)</f>
        <v>0</v>
      </c>
      <c r="W4">
        <v>0</v>
      </c>
      <c r="X4">
        <v>0</v>
      </c>
      <c r="Y4">
        <v>0</v>
      </c>
      <c r="Z4" s="24">
        <f t="shared" ref="Z4:Z30" si="3">AVERAGE(W4:Y4)</f>
        <v>0</v>
      </c>
      <c r="AA4">
        <v>50.71</v>
      </c>
      <c r="AB4">
        <v>50.71</v>
      </c>
      <c r="AC4">
        <v>50.59</v>
      </c>
      <c r="AD4" s="24">
        <f t="shared" ref="AD4:AD30" si="4">AVERAGE(AA4:AC4)</f>
        <v>50.669999999999995</v>
      </c>
      <c r="AE4">
        <v>93.2</v>
      </c>
      <c r="AF4">
        <v>93.42</v>
      </c>
      <c r="AG4">
        <v>93.26</v>
      </c>
      <c r="AH4" s="24">
        <f t="shared" ref="AH4:AH30" si="5">AVERAGE(AE4:AG4)</f>
        <v>93.293333333333337</v>
      </c>
      <c r="AI4" s="12">
        <v>21.79</v>
      </c>
      <c r="AJ4" s="35">
        <v>21.89</v>
      </c>
      <c r="AK4" s="35">
        <v>51.88</v>
      </c>
      <c r="AM4" s="35">
        <v>26.88</v>
      </c>
      <c r="AN4" s="35">
        <v>26.03</v>
      </c>
      <c r="AO4" s="35">
        <v>26.87</v>
      </c>
      <c r="AP4" s="24">
        <f>AVERAGE(AM4:AO4)</f>
        <v>26.593333333333334</v>
      </c>
      <c r="AX4">
        <v>60.03</v>
      </c>
      <c r="AY4">
        <v>60.65</v>
      </c>
      <c r="AZ4">
        <v>60.58</v>
      </c>
      <c r="BA4" s="24">
        <f t="shared" ref="BA4:BA30" si="6">AVERAGE(AX4:AZ4)</f>
        <v>60.419999999999995</v>
      </c>
      <c r="BB4">
        <v>36.15</v>
      </c>
      <c r="BC4">
        <v>36.42</v>
      </c>
      <c r="BD4">
        <v>36.630000000000003</v>
      </c>
      <c r="BE4" s="24">
        <f t="shared" ref="BE4:BE30" si="7">AVERAGE(BB4:BD4)</f>
        <v>36.4</v>
      </c>
      <c r="BF4">
        <v>80.59</v>
      </c>
      <c r="BG4">
        <v>80.77</v>
      </c>
      <c r="BH4">
        <v>80.41</v>
      </c>
      <c r="BI4" s="24">
        <f t="shared" ref="BI4:BI30" si="8">AVERAGE(BF4:BH4)</f>
        <v>80.59</v>
      </c>
      <c r="BJ4" s="15" t="s">
        <v>51</v>
      </c>
      <c r="BK4" s="15" t="s">
        <v>51</v>
      </c>
      <c r="BL4" s="15"/>
      <c r="BM4" s="15"/>
      <c r="BN4" s="16"/>
      <c r="BO4" s="17"/>
      <c r="BP4" s="17"/>
      <c r="BQ4" s="17"/>
      <c r="BR4" s="17"/>
      <c r="BS4" s="16"/>
    </row>
    <row r="5" spans="1:72" x14ac:dyDescent="0.25">
      <c r="A5" s="235" t="s">
        <v>57</v>
      </c>
      <c r="B5" t="s">
        <v>313</v>
      </c>
      <c r="C5" t="s">
        <v>49</v>
      </c>
      <c r="D5" t="s">
        <v>289</v>
      </c>
      <c r="E5">
        <v>1029</v>
      </c>
      <c r="F5" s="4"/>
      <c r="G5" s="100">
        <v>42598</v>
      </c>
      <c r="H5" t="s">
        <v>311</v>
      </c>
      <c r="J5" s="76">
        <v>1</v>
      </c>
      <c r="K5" s="10" t="s">
        <v>50</v>
      </c>
      <c r="L5">
        <v>911</v>
      </c>
      <c r="M5">
        <v>96</v>
      </c>
      <c r="N5" s="9">
        <f t="shared" si="0"/>
        <v>815</v>
      </c>
      <c r="O5">
        <v>252</v>
      </c>
      <c r="P5">
        <v>252</v>
      </c>
      <c r="Q5">
        <v>252</v>
      </c>
      <c r="R5" s="24">
        <f t="shared" si="1"/>
        <v>252</v>
      </c>
      <c r="S5">
        <v>152</v>
      </c>
      <c r="T5">
        <v>152</v>
      </c>
      <c r="U5">
        <v>152</v>
      </c>
      <c r="V5" s="24">
        <f t="shared" si="2"/>
        <v>152</v>
      </c>
      <c r="W5" s="36">
        <v>10.49</v>
      </c>
      <c r="X5">
        <v>10.54</v>
      </c>
      <c r="Y5">
        <v>10.54</v>
      </c>
      <c r="Z5" s="24">
        <f t="shared" si="3"/>
        <v>10.523333333333333</v>
      </c>
      <c r="AA5" s="37">
        <v>47.33</v>
      </c>
      <c r="AB5" s="37">
        <v>47.49</v>
      </c>
      <c r="AC5" s="37">
        <v>47.58</v>
      </c>
      <c r="AD5" s="24">
        <f t="shared" si="4"/>
        <v>47.466666666666661</v>
      </c>
      <c r="AE5" s="37">
        <v>87.56</v>
      </c>
      <c r="AF5" s="37">
        <v>87.26</v>
      </c>
      <c r="AG5" s="37">
        <v>87.55</v>
      </c>
      <c r="AH5" s="24">
        <f t="shared" si="5"/>
        <v>87.456666666666663</v>
      </c>
      <c r="AI5" s="37">
        <v>19.57</v>
      </c>
      <c r="AJ5" s="37">
        <v>19.46</v>
      </c>
      <c r="AK5" s="37">
        <v>19.09</v>
      </c>
      <c r="AM5" s="37">
        <v>28.01</v>
      </c>
      <c r="AN5" s="37">
        <v>27.32</v>
      </c>
      <c r="AO5" s="37">
        <v>27.32</v>
      </c>
      <c r="AP5" s="24">
        <f>AVERAGE(AM5:AO5)</f>
        <v>27.55</v>
      </c>
      <c r="AX5">
        <v>51.41</v>
      </c>
      <c r="AY5">
        <v>51.57</v>
      </c>
      <c r="AZ5">
        <v>51.12</v>
      </c>
      <c r="BA5" s="24">
        <f t="shared" si="6"/>
        <v>51.366666666666667</v>
      </c>
      <c r="BB5">
        <v>34.020000000000003</v>
      </c>
      <c r="BC5">
        <v>34.200000000000003</v>
      </c>
      <c r="BD5">
        <v>34.450000000000003</v>
      </c>
      <c r="BE5" s="24">
        <f t="shared" si="7"/>
        <v>34.223333333333336</v>
      </c>
      <c r="BF5">
        <v>79.11</v>
      </c>
      <c r="BG5">
        <v>79.5</v>
      </c>
      <c r="BH5">
        <v>79.319999999999993</v>
      </c>
      <c r="BI5" s="24">
        <f t="shared" si="8"/>
        <v>79.31</v>
      </c>
      <c r="BJ5" t="s">
        <v>51</v>
      </c>
      <c r="BK5" t="s">
        <v>51</v>
      </c>
    </row>
    <row r="6" spans="1:72" x14ac:dyDescent="0.25">
      <c r="A6" s="235" t="s">
        <v>57</v>
      </c>
      <c r="B6" t="s">
        <v>315</v>
      </c>
      <c r="C6" t="s">
        <v>49</v>
      </c>
      <c r="D6" t="s">
        <v>289</v>
      </c>
      <c r="E6">
        <v>1030</v>
      </c>
      <c r="F6" s="4"/>
      <c r="G6" s="100">
        <v>42598</v>
      </c>
      <c r="H6" t="s">
        <v>314</v>
      </c>
      <c r="J6" s="76" t="s">
        <v>328</v>
      </c>
      <c r="K6" s="10" t="s">
        <v>64</v>
      </c>
      <c r="L6">
        <v>839</v>
      </c>
      <c r="M6">
        <v>96</v>
      </c>
      <c r="N6" s="9">
        <f t="shared" si="0"/>
        <v>743</v>
      </c>
      <c r="O6">
        <v>262</v>
      </c>
      <c r="P6">
        <v>261</v>
      </c>
      <c r="Q6">
        <v>262</v>
      </c>
      <c r="R6" s="24">
        <f t="shared" si="1"/>
        <v>261.66666666666669</v>
      </c>
      <c r="S6">
        <v>160</v>
      </c>
      <c r="T6">
        <v>160</v>
      </c>
      <c r="U6">
        <v>160</v>
      </c>
      <c r="V6" s="24">
        <f t="shared" si="2"/>
        <v>160</v>
      </c>
      <c r="W6" s="36">
        <v>10.1</v>
      </c>
      <c r="X6">
        <v>10.34</v>
      </c>
      <c r="Y6">
        <v>10.119999999999999</v>
      </c>
      <c r="Z6" s="24">
        <f t="shared" si="3"/>
        <v>10.186666666666666</v>
      </c>
      <c r="AA6" s="37">
        <v>45.38</v>
      </c>
      <c r="AB6" s="37">
        <v>45.16</v>
      </c>
      <c r="AC6" s="37">
        <v>45.23</v>
      </c>
      <c r="AD6" s="24">
        <f t="shared" si="4"/>
        <v>45.256666666666661</v>
      </c>
      <c r="AE6" s="37">
        <v>85.85</v>
      </c>
      <c r="AF6" s="37">
        <v>85.8</v>
      </c>
      <c r="AG6" s="37">
        <v>85.81</v>
      </c>
      <c r="AH6" s="24">
        <f t="shared" si="5"/>
        <v>85.82</v>
      </c>
      <c r="AR6" t="s">
        <v>65</v>
      </c>
      <c r="AS6">
        <v>8</v>
      </c>
      <c r="AT6">
        <v>2</v>
      </c>
      <c r="AX6">
        <v>55.21</v>
      </c>
      <c r="AY6">
        <v>55.05</v>
      </c>
      <c r="AZ6">
        <v>55.16</v>
      </c>
      <c r="BA6" s="24">
        <f t="shared" si="6"/>
        <v>55.139999999999993</v>
      </c>
      <c r="BB6">
        <v>35.07</v>
      </c>
      <c r="BC6">
        <v>35.32</v>
      </c>
      <c r="BD6">
        <v>35.9</v>
      </c>
      <c r="BE6" s="24">
        <f t="shared" si="7"/>
        <v>35.43</v>
      </c>
      <c r="BF6">
        <v>80.760000000000005</v>
      </c>
      <c r="BG6">
        <v>81.150000000000006</v>
      </c>
      <c r="BH6">
        <v>80.72</v>
      </c>
      <c r="BI6" s="24">
        <f t="shared" si="8"/>
        <v>80.876666666666679</v>
      </c>
      <c r="BJ6" t="s">
        <v>51</v>
      </c>
      <c r="BK6" t="s">
        <v>51</v>
      </c>
    </row>
    <row r="7" spans="1:72" x14ac:dyDescent="0.25">
      <c r="A7" s="235" t="s">
        <v>57</v>
      </c>
      <c r="B7" t="s">
        <v>318</v>
      </c>
      <c r="C7" t="s">
        <v>49</v>
      </c>
      <c r="D7" t="s">
        <v>289</v>
      </c>
      <c r="E7">
        <v>1031</v>
      </c>
      <c r="F7" s="4"/>
      <c r="G7" s="100">
        <v>42598</v>
      </c>
      <c r="H7" t="s">
        <v>317</v>
      </c>
      <c r="J7" s="76" t="s">
        <v>66</v>
      </c>
      <c r="K7" s="10" t="s">
        <v>50</v>
      </c>
      <c r="L7">
        <v>852</v>
      </c>
      <c r="M7">
        <v>97</v>
      </c>
      <c r="N7" s="9">
        <f t="shared" si="0"/>
        <v>755</v>
      </c>
      <c r="O7">
        <v>240</v>
      </c>
      <c r="P7">
        <v>241</v>
      </c>
      <c r="Q7">
        <v>240</v>
      </c>
      <c r="R7" s="24">
        <f t="shared" si="1"/>
        <v>240.33333333333334</v>
      </c>
      <c r="S7">
        <v>152</v>
      </c>
      <c r="T7">
        <v>152</v>
      </c>
      <c r="U7">
        <v>152</v>
      </c>
      <c r="V7" s="24">
        <f t="shared" si="2"/>
        <v>152</v>
      </c>
      <c r="W7" s="36">
        <v>9.4</v>
      </c>
      <c r="X7">
        <v>9.7899999999999991</v>
      </c>
      <c r="Y7">
        <v>9.8699999999999992</v>
      </c>
      <c r="Z7" s="24">
        <f t="shared" si="3"/>
        <v>9.6866666666666656</v>
      </c>
      <c r="AA7" s="37">
        <v>45.05</v>
      </c>
      <c r="AB7" s="37">
        <v>44.84</v>
      </c>
      <c r="AC7" s="37">
        <v>44.94</v>
      </c>
      <c r="AD7" s="24">
        <f t="shared" si="4"/>
        <v>44.943333333333328</v>
      </c>
      <c r="AE7" s="37">
        <v>83.84</v>
      </c>
      <c r="AF7" s="37">
        <v>83.93</v>
      </c>
      <c r="AG7" s="37">
        <v>83.92</v>
      </c>
      <c r="AH7" s="24">
        <f t="shared" si="5"/>
        <v>83.896666666666661</v>
      </c>
      <c r="AI7" s="37">
        <v>20.91</v>
      </c>
      <c r="AJ7" s="37">
        <v>20.85</v>
      </c>
      <c r="AK7" s="37">
        <v>20.95</v>
      </c>
      <c r="AM7" s="37">
        <v>25.81</v>
      </c>
      <c r="AN7" s="37">
        <v>25.8</v>
      </c>
      <c r="AO7" s="37">
        <v>25.79</v>
      </c>
      <c r="AP7" s="24">
        <f>AVERAGE(AM7:AO7)</f>
        <v>25.8</v>
      </c>
      <c r="AX7">
        <v>53.37</v>
      </c>
      <c r="AY7">
        <v>53.37</v>
      </c>
      <c r="AZ7">
        <v>53.39</v>
      </c>
      <c r="BA7" s="24">
        <f t="shared" si="6"/>
        <v>53.376666666666665</v>
      </c>
      <c r="BB7">
        <v>34.549999999999997</v>
      </c>
      <c r="BC7">
        <v>34.590000000000003</v>
      </c>
      <c r="BD7">
        <v>34.659999999999997</v>
      </c>
      <c r="BE7" s="24">
        <f t="shared" si="7"/>
        <v>34.6</v>
      </c>
      <c r="BF7">
        <v>80.709999999999994</v>
      </c>
      <c r="BG7">
        <v>80.84</v>
      </c>
      <c r="BH7">
        <v>80.900000000000006</v>
      </c>
      <c r="BI7" s="24">
        <f t="shared" si="8"/>
        <v>80.816666666666677</v>
      </c>
      <c r="BJ7" t="s">
        <v>51</v>
      </c>
      <c r="BK7" t="s">
        <v>51</v>
      </c>
    </row>
    <row r="8" spans="1:72" x14ac:dyDescent="0.25">
      <c r="A8" s="235" t="s">
        <v>57</v>
      </c>
      <c r="B8" t="s">
        <v>319</v>
      </c>
      <c r="C8" t="s">
        <v>49</v>
      </c>
      <c r="D8" t="s">
        <v>289</v>
      </c>
      <c r="E8">
        <v>1032</v>
      </c>
      <c r="F8" s="4"/>
      <c r="G8" s="100">
        <v>42598</v>
      </c>
      <c r="H8" t="s">
        <v>321</v>
      </c>
      <c r="J8" s="76" t="s">
        <v>322</v>
      </c>
      <c r="K8" s="10" t="s">
        <v>50</v>
      </c>
      <c r="L8">
        <v>1378</v>
      </c>
      <c r="M8">
        <v>99</v>
      </c>
      <c r="N8" s="9">
        <f t="shared" si="0"/>
        <v>1279</v>
      </c>
      <c r="O8">
        <v>283</v>
      </c>
      <c r="P8">
        <v>283</v>
      </c>
      <c r="Q8">
        <v>283</v>
      </c>
      <c r="R8" s="24">
        <f t="shared" si="1"/>
        <v>283</v>
      </c>
      <c r="S8">
        <v>167</v>
      </c>
      <c r="T8">
        <v>166</v>
      </c>
      <c r="U8">
        <v>166</v>
      </c>
      <c r="V8" s="24">
        <f t="shared" si="2"/>
        <v>166.33333333333334</v>
      </c>
      <c r="W8" s="36">
        <v>12.68</v>
      </c>
      <c r="X8">
        <v>12.53</v>
      </c>
      <c r="Y8">
        <v>12.58</v>
      </c>
      <c r="Z8" s="24">
        <f t="shared" si="3"/>
        <v>12.596666666666666</v>
      </c>
      <c r="AA8" s="37">
        <v>50.58</v>
      </c>
      <c r="AB8" s="37">
        <v>50.87</v>
      </c>
      <c r="AC8" s="37">
        <v>50.52</v>
      </c>
      <c r="AD8" s="24">
        <f t="shared" si="4"/>
        <v>50.656666666666666</v>
      </c>
      <c r="AE8" s="37">
        <v>95.56</v>
      </c>
      <c r="AF8" s="37">
        <v>96.33</v>
      </c>
      <c r="AG8" s="37">
        <v>96.07</v>
      </c>
      <c r="AH8" s="24">
        <f t="shared" si="5"/>
        <v>95.986666666666665</v>
      </c>
      <c r="AI8" s="37">
        <v>21.78</v>
      </c>
      <c r="AJ8" s="37">
        <v>22.18</v>
      </c>
      <c r="AK8" s="37">
        <v>21.33</v>
      </c>
      <c r="AM8" s="37">
        <v>30.44</v>
      </c>
      <c r="AN8" s="37">
        <v>30.51</v>
      </c>
      <c r="AO8" s="37">
        <v>30.69</v>
      </c>
      <c r="AP8" s="24">
        <f>AVERAGE(AM8:AO8)</f>
        <v>30.546666666666667</v>
      </c>
      <c r="AX8">
        <v>60.84</v>
      </c>
      <c r="AY8">
        <v>60.94</v>
      </c>
      <c r="AZ8">
        <v>60.93</v>
      </c>
      <c r="BA8" s="24">
        <f t="shared" si="6"/>
        <v>60.903333333333336</v>
      </c>
      <c r="BB8">
        <v>36.950000000000003</v>
      </c>
      <c r="BC8">
        <v>37.17</v>
      </c>
      <c r="BD8">
        <v>37.46</v>
      </c>
      <c r="BE8" s="24">
        <f t="shared" si="7"/>
        <v>37.193333333333335</v>
      </c>
      <c r="BF8">
        <v>87.59</v>
      </c>
      <c r="BG8">
        <v>88.34</v>
      </c>
      <c r="BH8">
        <v>87.89</v>
      </c>
      <c r="BI8" s="24">
        <f t="shared" si="8"/>
        <v>87.94</v>
      </c>
      <c r="BJ8" t="s">
        <v>51</v>
      </c>
      <c r="BK8" t="s">
        <v>51</v>
      </c>
    </row>
    <row r="9" spans="1:72" x14ac:dyDescent="0.25">
      <c r="A9" s="235" t="s">
        <v>57</v>
      </c>
      <c r="B9" t="s">
        <v>324</v>
      </c>
      <c r="C9" t="s">
        <v>49</v>
      </c>
      <c r="D9" t="s">
        <v>289</v>
      </c>
      <c r="E9">
        <v>1033</v>
      </c>
      <c r="F9" s="4"/>
      <c r="G9" s="100">
        <v>42598</v>
      </c>
      <c r="H9" t="s">
        <v>323</v>
      </c>
      <c r="J9" s="76" t="s">
        <v>316</v>
      </c>
      <c r="K9" s="10" t="s">
        <v>50</v>
      </c>
      <c r="L9">
        <v>1202</v>
      </c>
      <c r="M9">
        <v>95</v>
      </c>
      <c r="N9" s="9">
        <f t="shared" si="0"/>
        <v>1107</v>
      </c>
      <c r="O9">
        <v>294</v>
      </c>
      <c r="P9">
        <v>294</v>
      </c>
      <c r="Q9">
        <v>295</v>
      </c>
      <c r="R9" s="24">
        <f t="shared" si="1"/>
        <v>294.33333333333331</v>
      </c>
      <c r="S9">
        <v>0</v>
      </c>
      <c r="T9">
        <v>0</v>
      </c>
      <c r="U9">
        <v>0</v>
      </c>
      <c r="V9" s="24">
        <f t="shared" si="2"/>
        <v>0</v>
      </c>
      <c r="W9">
        <v>0</v>
      </c>
      <c r="X9">
        <v>0</v>
      </c>
      <c r="Y9">
        <v>0</v>
      </c>
      <c r="Z9" s="24">
        <f t="shared" si="3"/>
        <v>0</v>
      </c>
      <c r="AA9" s="37">
        <v>47.43</v>
      </c>
      <c r="AB9" s="37">
        <v>47.24</v>
      </c>
      <c r="AC9" s="37" t="s">
        <v>325</v>
      </c>
      <c r="AD9" s="24">
        <f t="shared" si="4"/>
        <v>47.335000000000001</v>
      </c>
      <c r="AE9" s="37">
        <v>90.95</v>
      </c>
      <c r="AF9" s="37">
        <v>90.82</v>
      </c>
      <c r="AG9" s="37">
        <v>90.78</v>
      </c>
      <c r="AH9" s="24">
        <f t="shared" si="5"/>
        <v>90.84999999999998</v>
      </c>
      <c r="AI9" s="37">
        <v>22.2</v>
      </c>
      <c r="AJ9" s="37">
        <v>20.95</v>
      </c>
      <c r="AK9" s="37">
        <v>21.87</v>
      </c>
      <c r="AM9" s="37">
        <v>28.42</v>
      </c>
      <c r="AN9" s="37">
        <v>28.7</v>
      </c>
      <c r="AO9" s="37">
        <v>28.92</v>
      </c>
      <c r="AP9" s="24">
        <f>AVERAGE(AM9:AO9)</f>
        <v>28.680000000000003</v>
      </c>
      <c r="AX9">
        <v>60.01</v>
      </c>
      <c r="AY9">
        <v>60.47</v>
      </c>
      <c r="AZ9">
        <v>60.52</v>
      </c>
      <c r="BA9" s="24">
        <f t="shared" si="6"/>
        <v>60.333333333333336</v>
      </c>
      <c r="BB9">
        <v>37.880000000000003</v>
      </c>
      <c r="BC9">
        <v>37.49</v>
      </c>
      <c r="BD9">
        <v>37.86</v>
      </c>
      <c r="BE9" s="24">
        <f t="shared" si="7"/>
        <v>37.743333333333332</v>
      </c>
      <c r="BF9">
        <v>84.18</v>
      </c>
      <c r="BG9">
        <v>84.48</v>
      </c>
      <c r="BH9">
        <v>84.24</v>
      </c>
      <c r="BI9" s="24">
        <f t="shared" si="8"/>
        <v>84.300000000000011</v>
      </c>
      <c r="BJ9" t="s">
        <v>51</v>
      </c>
      <c r="BK9" t="s">
        <v>51</v>
      </c>
    </row>
    <row r="10" spans="1:72" x14ac:dyDescent="0.25">
      <c r="A10" s="235" t="s">
        <v>57</v>
      </c>
      <c r="B10" t="s">
        <v>326</v>
      </c>
      <c r="C10" t="s">
        <v>49</v>
      </c>
      <c r="D10" t="s">
        <v>289</v>
      </c>
      <c r="E10">
        <v>1034</v>
      </c>
      <c r="F10" s="4"/>
      <c r="G10" s="100">
        <v>42598</v>
      </c>
      <c r="H10" t="s">
        <v>327</v>
      </c>
      <c r="J10" s="76" t="s">
        <v>316</v>
      </c>
      <c r="K10" s="10" t="s">
        <v>50</v>
      </c>
      <c r="L10">
        <v>1670</v>
      </c>
      <c r="M10">
        <v>97</v>
      </c>
      <c r="N10" s="9">
        <f t="shared" si="0"/>
        <v>1573</v>
      </c>
      <c r="O10">
        <v>312</v>
      </c>
      <c r="P10">
        <v>312</v>
      </c>
      <c r="Q10">
        <v>312</v>
      </c>
      <c r="R10" s="24">
        <f t="shared" si="1"/>
        <v>312</v>
      </c>
      <c r="S10">
        <v>173</v>
      </c>
      <c r="T10">
        <v>173</v>
      </c>
      <c r="U10">
        <v>173</v>
      </c>
      <c r="V10" s="24">
        <f t="shared" si="2"/>
        <v>173</v>
      </c>
      <c r="W10" s="36">
        <v>13.77</v>
      </c>
      <c r="X10">
        <v>13.83</v>
      </c>
      <c r="Y10">
        <v>13.9</v>
      </c>
      <c r="Z10" s="24">
        <f t="shared" si="3"/>
        <v>13.833333333333334</v>
      </c>
      <c r="AA10" s="37">
        <v>51.5</v>
      </c>
      <c r="AB10" s="37">
        <v>51.54</v>
      </c>
      <c r="AC10" s="37">
        <v>51.64</v>
      </c>
      <c r="AD10" s="24">
        <f t="shared" si="4"/>
        <v>51.56</v>
      </c>
      <c r="AE10" s="37">
        <v>98.31</v>
      </c>
      <c r="AF10" s="37">
        <v>98.69</v>
      </c>
      <c r="AG10" s="37">
        <v>98.12</v>
      </c>
      <c r="AH10" s="24">
        <f t="shared" si="5"/>
        <v>98.373333333333335</v>
      </c>
      <c r="AI10" s="37">
        <v>23.37</v>
      </c>
      <c r="AJ10" s="37">
        <v>23.39</v>
      </c>
      <c r="AK10" s="37">
        <v>23.9</v>
      </c>
      <c r="AM10" s="37">
        <v>32.520000000000003</v>
      </c>
      <c r="AN10" s="37">
        <v>31.68</v>
      </c>
      <c r="AO10" s="37">
        <v>31.64</v>
      </c>
      <c r="AP10" s="24">
        <f>AVERAGE(AM10:AO10)</f>
        <v>31.946666666666669</v>
      </c>
      <c r="AX10">
        <v>65.8</v>
      </c>
      <c r="AY10">
        <v>65.87</v>
      </c>
      <c r="AZ10">
        <v>65.760000000000005</v>
      </c>
      <c r="BA10" s="24">
        <f t="shared" si="6"/>
        <v>65.81</v>
      </c>
      <c r="BB10">
        <v>37.56</v>
      </c>
      <c r="BC10">
        <v>38.06</v>
      </c>
      <c r="BD10">
        <v>37.69</v>
      </c>
      <c r="BE10" s="24">
        <f t="shared" si="7"/>
        <v>37.770000000000003</v>
      </c>
      <c r="BF10">
        <v>90.18</v>
      </c>
      <c r="BG10">
        <v>89.21</v>
      </c>
      <c r="BH10">
        <v>90.03</v>
      </c>
      <c r="BI10" s="24">
        <f t="shared" si="8"/>
        <v>89.806666666666658</v>
      </c>
      <c r="BJ10" t="s">
        <v>51</v>
      </c>
      <c r="BK10" t="s">
        <v>51</v>
      </c>
    </row>
    <row r="11" spans="1:72" x14ac:dyDescent="0.25">
      <c r="A11" s="235" t="s">
        <v>57</v>
      </c>
      <c r="B11" t="s">
        <v>335</v>
      </c>
      <c r="C11" t="s">
        <v>49</v>
      </c>
      <c r="D11" t="s">
        <v>289</v>
      </c>
      <c r="E11">
        <v>1035</v>
      </c>
      <c r="F11" s="4"/>
      <c r="G11" s="100">
        <v>42599</v>
      </c>
      <c r="H11" t="s">
        <v>334</v>
      </c>
      <c r="J11" s="76" t="s">
        <v>320</v>
      </c>
      <c r="K11" s="10" t="s">
        <v>64</v>
      </c>
      <c r="L11">
        <v>799</v>
      </c>
      <c r="M11">
        <v>98</v>
      </c>
      <c r="N11" s="9">
        <f t="shared" si="0"/>
        <v>701</v>
      </c>
      <c r="O11">
        <v>214</v>
      </c>
      <c r="P11">
        <v>214</v>
      </c>
      <c r="Q11">
        <v>215</v>
      </c>
      <c r="R11" s="24">
        <f t="shared" si="1"/>
        <v>214.33333333333334</v>
      </c>
      <c r="S11">
        <v>147</v>
      </c>
      <c r="T11">
        <v>147</v>
      </c>
      <c r="U11">
        <v>147</v>
      </c>
      <c r="V11" s="24">
        <f t="shared" si="2"/>
        <v>147</v>
      </c>
      <c r="W11" s="36">
        <v>9.59</v>
      </c>
      <c r="X11">
        <v>8.81</v>
      </c>
      <c r="Y11">
        <v>9.4700000000000006</v>
      </c>
      <c r="Z11" s="24">
        <f t="shared" si="3"/>
        <v>9.2899999999999991</v>
      </c>
      <c r="AA11" s="37">
        <v>44.65</v>
      </c>
      <c r="AB11" s="37">
        <v>44.49</v>
      </c>
      <c r="AC11" s="37">
        <v>44.3</v>
      </c>
      <c r="AD11" s="24">
        <f t="shared" si="4"/>
        <v>44.48</v>
      </c>
      <c r="AE11" s="37">
        <v>80.73</v>
      </c>
      <c r="AF11" s="37">
        <v>80.64</v>
      </c>
      <c r="AG11" s="37">
        <v>80.39</v>
      </c>
      <c r="AH11" s="24">
        <f t="shared" si="5"/>
        <v>80.586666666666659</v>
      </c>
      <c r="AR11" t="s">
        <v>65</v>
      </c>
      <c r="AS11">
        <v>8</v>
      </c>
      <c r="AT11">
        <v>2</v>
      </c>
      <c r="AX11">
        <v>52.41</v>
      </c>
      <c r="AY11">
        <v>52.46</v>
      </c>
      <c r="AZ11">
        <v>52.39</v>
      </c>
      <c r="BA11" s="24">
        <f t="shared" si="6"/>
        <v>52.419999999999995</v>
      </c>
      <c r="BB11">
        <v>33.07</v>
      </c>
      <c r="BC11">
        <v>33.32</v>
      </c>
      <c r="BD11">
        <v>32.74</v>
      </c>
      <c r="BE11" s="24">
        <f t="shared" si="7"/>
        <v>33.043333333333329</v>
      </c>
      <c r="BF11">
        <v>78.06</v>
      </c>
      <c r="BG11">
        <v>78.84</v>
      </c>
      <c r="BH11">
        <v>78.760000000000005</v>
      </c>
      <c r="BI11" s="24">
        <f t="shared" si="8"/>
        <v>78.553333333333342</v>
      </c>
      <c r="BJ11" t="s">
        <v>51</v>
      </c>
      <c r="BK11" t="s">
        <v>51</v>
      </c>
    </row>
    <row r="12" spans="1:72" x14ac:dyDescent="0.25">
      <c r="A12" s="235" t="s">
        <v>57</v>
      </c>
      <c r="B12" t="s">
        <v>337</v>
      </c>
      <c r="C12" t="s">
        <v>49</v>
      </c>
      <c r="D12" s="102" t="s">
        <v>289</v>
      </c>
      <c r="E12">
        <v>1036</v>
      </c>
      <c r="F12" s="4"/>
      <c r="G12" s="100">
        <v>42599</v>
      </c>
      <c r="H12" t="s">
        <v>336</v>
      </c>
      <c r="J12" s="76" t="s">
        <v>316</v>
      </c>
      <c r="K12" s="10" t="s">
        <v>50</v>
      </c>
      <c r="L12">
        <v>1650</v>
      </c>
      <c r="M12">
        <v>97</v>
      </c>
      <c r="N12" s="9">
        <f t="shared" si="0"/>
        <v>1553</v>
      </c>
      <c r="O12">
        <v>319</v>
      </c>
      <c r="P12">
        <v>318</v>
      </c>
      <c r="Q12">
        <v>319</v>
      </c>
      <c r="R12" s="24">
        <f t="shared" si="1"/>
        <v>318.66666666666669</v>
      </c>
      <c r="S12">
        <v>179</v>
      </c>
      <c r="T12">
        <v>178</v>
      </c>
      <c r="U12">
        <v>177</v>
      </c>
      <c r="V12" s="24">
        <f t="shared" si="2"/>
        <v>178</v>
      </c>
      <c r="W12" s="36">
        <v>13.25</v>
      </c>
      <c r="X12">
        <v>13.75</v>
      </c>
      <c r="Y12">
        <v>1318</v>
      </c>
      <c r="Z12" s="24">
        <f t="shared" si="3"/>
        <v>448.33333333333331</v>
      </c>
      <c r="AA12" s="37">
        <v>54.17</v>
      </c>
      <c r="AB12" s="37">
        <v>54.21</v>
      </c>
      <c r="AC12" s="37">
        <v>54.56</v>
      </c>
      <c r="AD12" s="24">
        <f t="shared" si="4"/>
        <v>54.313333333333333</v>
      </c>
      <c r="AE12" s="37">
        <v>105.25</v>
      </c>
      <c r="AF12" s="37">
        <v>105.65</v>
      </c>
      <c r="AG12" s="37">
        <v>105.49</v>
      </c>
      <c r="AH12" s="24">
        <f t="shared" si="5"/>
        <v>105.46333333333332</v>
      </c>
      <c r="AI12" s="37">
        <v>25.7</v>
      </c>
      <c r="AJ12" s="37">
        <v>25.44</v>
      </c>
      <c r="AK12" s="37">
        <v>25.44</v>
      </c>
      <c r="AM12" s="37">
        <v>34.619999999999997</v>
      </c>
      <c r="AN12" s="37">
        <v>33.99</v>
      </c>
      <c r="AO12" s="37">
        <v>33.78</v>
      </c>
      <c r="AP12" s="24">
        <f>AVERAGE(AM12:AO12)</f>
        <v>34.130000000000003</v>
      </c>
      <c r="AX12">
        <v>68.39</v>
      </c>
      <c r="AY12">
        <v>67.81</v>
      </c>
      <c r="AZ12">
        <v>68.64</v>
      </c>
      <c r="BA12" s="24">
        <f t="shared" si="6"/>
        <v>68.279999999999987</v>
      </c>
      <c r="BB12">
        <v>41.33</v>
      </c>
      <c r="BC12">
        <v>41.3</v>
      </c>
      <c r="BD12">
        <v>41.03</v>
      </c>
      <c r="BE12" s="24">
        <f t="shared" si="7"/>
        <v>41.22</v>
      </c>
      <c r="BF12">
        <v>92.99</v>
      </c>
      <c r="BG12">
        <v>92.59</v>
      </c>
      <c r="BH12">
        <v>92.82</v>
      </c>
      <c r="BI12" s="24">
        <f t="shared" si="8"/>
        <v>92.8</v>
      </c>
      <c r="BJ12" t="s">
        <v>51</v>
      </c>
      <c r="BK12" t="s">
        <v>51</v>
      </c>
      <c r="BL12" t="s">
        <v>52</v>
      </c>
      <c r="BM12" t="s">
        <v>51</v>
      </c>
      <c r="BN12" s="9" t="s">
        <v>52</v>
      </c>
    </row>
    <row r="13" spans="1:72" x14ac:dyDescent="0.25">
      <c r="A13" s="235" t="s">
        <v>57</v>
      </c>
      <c r="B13" t="s">
        <v>396</v>
      </c>
      <c r="C13" t="s">
        <v>49</v>
      </c>
      <c r="D13" t="s">
        <v>393</v>
      </c>
      <c r="E13">
        <v>1041</v>
      </c>
      <c r="F13" s="4"/>
      <c r="G13" s="100">
        <v>42640</v>
      </c>
      <c r="H13" t="s">
        <v>340</v>
      </c>
      <c r="J13" s="76" t="s">
        <v>316</v>
      </c>
      <c r="K13" s="10" t="s">
        <v>64</v>
      </c>
      <c r="L13">
        <v>1021</v>
      </c>
      <c r="M13">
        <v>100</v>
      </c>
      <c r="N13" s="9">
        <f t="shared" si="0"/>
        <v>921</v>
      </c>
      <c r="O13">
        <v>257</v>
      </c>
      <c r="P13">
        <v>258</v>
      </c>
      <c r="Q13">
        <v>257</v>
      </c>
      <c r="R13" s="24">
        <f t="shared" si="1"/>
        <v>257.33333333333331</v>
      </c>
      <c r="S13">
        <v>32</v>
      </c>
      <c r="T13">
        <v>32</v>
      </c>
      <c r="U13">
        <v>33</v>
      </c>
      <c r="V13" s="24">
        <f t="shared" si="2"/>
        <v>32.333333333333336</v>
      </c>
      <c r="W13" s="36">
        <v>10.4</v>
      </c>
      <c r="X13">
        <v>10.47</v>
      </c>
      <c r="Y13">
        <v>10.51</v>
      </c>
      <c r="Z13" s="24">
        <f t="shared" si="3"/>
        <v>10.46</v>
      </c>
      <c r="AA13" s="37">
        <v>46.35</v>
      </c>
      <c r="AB13" s="37">
        <v>46.44</v>
      </c>
      <c r="AC13" s="37">
        <v>46.22</v>
      </c>
      <c r="AD13" s="24">
        <f t="shared" si="4"/>
        <v>46.336666666666666</v>
      </c>
      <c r="AE13" s="37">
        <v>88.73</v>
      </c>
      <c r="AF13" s="37">
        <v>88.7</v>
      </c>
      <c r="AG13" s="37">
        <v>88.77</v>
      </c>
      <c r="AH13" s="24">
        <f t="shared" si="5"/>
        <v>88.733333333333334</v>
      </c>
      <c r="AR13" t="s">
        <v>65</v>
      </c>
      <c r="AS13">
        <v>8</v>
      </c>
      <c r="AT13">
        <v>8</v>
      </c>
      <c r="AU13">
        <v>0</v>
      </c>
      <c r="AX13" s="35">
        <v>55.69</v>
      </c>
      <c r="AY13" s="35">
        <v>56.14</v>
      </c>
      <c r="AZ13" s="35">
        <v>55.82</v>
      </c>
      <c r="BA13" s="24">
        <f t="shared" si="6"/>
        <v>55.883333333333333</v>
      </c>
      <c r="BB13" s="35">
        <v>35.49</v>
      </c>
      <c r="BC13" s="35">
        <v>35.299999999999997</v>
      </c>
      <c r="BD13" s="35">
        <v>35.020000000000003</v>
      </c>
      <c r="BE13" s="24">
        <f t="shared" si="7"/>
        <v>35.270000000000003</v>
      </c>
      <c r="BF13" s="35">
        <v>82.98</v>
      </c>
      <c r="BG13" s="35">
        <v>82.71</v>
      </c>
      <c r="BH13" s="35">
        <v>82.96</v>
      </c>
      <c r="BI13" s="24">
        <f t="shared" si="8"/>
        <v>82.883333333333326</v>
      </c>
      <c r="BJ13" t="s">
        <v>51</v>
      </c>
      <c r="BK13" t="s">
        <v>51</v>
      </c>
      <c r="BL13" t="s">
        <v>52</v>
      </c>
      <c r="BM13" t="s">
        <v>51</v>
      </c>
      <c r="BN13" s="9" t="s">
        <v>52</v>
      </c>
    </row>
    <row r="14" spans="1:72" x14ac:dyDescent="0.25">
      <c r="A14" s="235" t="s">
        <v>57</v>
      </c>
      <c r="B14" t="s">
        <v>400</v>
      </c>
      <c r="C14" t="s">
        <v>207</v>
      </c>
      <c r="D14" t="s">
        <v>393</v>
      </c>
      <c r="E14">
        <v>1042</v>
      </c>
      <c r="F14" s="4"/>
      <c r="G14" s="100">
        <v>42640</v>
      </c>
      <c r="H14" t="s">
        <v>309</v>
      </c>
      <c r="J14" s="76" t="s">
        <v>320</v>
      </c>
      <c r="K14" s="10" t="s">
        <v>50</v>
      </c>
      <c r="L14">
        <v>1213</v>
      </c>
      <c r="M14">
        <v>95</v>
      </c>
      <c r="N14" s="9">
        <f t="shared" si="0"/>
        <v>1118</v>
      </c>
      <c r="O14">
        <v>282</v>
      </c>
      <c r="P14">
        <v>283</v>
      </c>
      <c r="Q14">
        <v>283</v>
      </c>
      <c r="R14" s="24">
        <f t="shared" si="1"/>
        <v>282.66666666666669</v>
      </c>
      <c r="S14">
        <v>0</v>
      </c>
      <c r="T14">
        <v>0</v>
      </c>
      <c r="U14">
        <v>0</v>
      </c>
      <c r="V14" s="24">
        <f t="shared" si="2"/>
        <v>0</v>
      </c>
      <c r="W14">
        <v>0</v>
      </c>
      <c r="X14">
        <v>0</v>
      </c>
      <c r="Y14">
        <v>0</v>
      </c>
      <c r="Z14" s="24">
        <f t="shared" si="3"/>
        <v>0</v>
      </c>
      <c r="AA14" s="37">
        <v>49.16</v>
      </c>
      <c r="AB14" s="37">
        <v>49.29</v>
      </c>
      <c r="AC14" s="37">
        <v>49.7</v>
      </c>
      <c r="AD14" s="24">
        <f t="shared" si="4"/>
        <v>49.383333333333326</v>
      </c>
      <c r="AE14" s="37">
        <v>94.27</v>
      </c>
      <c r="AF14" s="37">
        <v>94.46</v>
      </c>
      <c r="AG14" s="37">
        <v>94.05</v>
      </c>
      <c r="AH14" s="24">
        <f t="shared" si="5"/>
        <v>94.259999999999991</v>
      </c>
      <c r="AI14" s="37">
        <v>22.66</v>
      </c>
      <c r="AJ14" s="37">
        <v>22.68</v>
      </c>
      <c r="AK14" s="37">
        <v>22.37</v>
      </c>
      <c r="AM14" s="37">
        <v>29.41</v>
      </c>
      <c r="AN14" s="37">
        <v>28.76</v>
      </c>
      <c r="AO14" s="37">
        <v>29.85</v>
      </c>
      <c r="AP14" s="24">
        <f>AVERAGE(AM14:AO14)</f>
        <v>29.340000000000003</v>
      </c>
      <c r="AX14" s="35">
        <v>59.35</v>
      </c>
      <c r="AY14" s="35">
        <v>59.13</v>
      </c>
      <c r="AZ14" s="35">
        <v>59.36</v>
      </c>
      <c r="BA14" s="24">
        <f t="shared" si="6"/>
        <v>59.28</v>
      </c>
      <c r="BB14" s="35">
        <v>36.130000000000003</v>
      </c>
      <c r="BC14" s="35">
        <v>35.840000000000003</v>
      </c>
      <c r="BD14" s="35">
        <v>36.950000000000003</v>
      </c>
      <c r="BE14" s="24">
        <f t="shared" si="7"/>
        <v>36.306666666666665</v>
      </c>
      <c r="BF14" s="35">
        <v>82.05</v>
      </c>
      <c r="BG14" s="35">
        <v>82.57</v>
      </c>
      <c r="BH14" s="35">
        <v>82.63</v>
      </c>
      <c r="BI14" s="24">
        <f t="shared" si="8"/>
        <v>82.416666666666671</v>
      </c>
      <c r="BJ14" t="s">
        <v>399</v>
      </c>
      <c r="BK14" t="s">
        <v>51</v>
      </c>
      <c r="BL14" t="s">
        <v>52</v>
      </c>
      <c r="BM14" t="s">
        <v>51</v>
      </c>
      <c r="BN14" s="9" t="s">
        <v>52</v>
      </c>
      <c r="BT14" t="s">
        <v>398</v>
      </c>
    </row>
    <row r="15" spans="1:72" x14ac:dyDescent="0.25">
      <c r="A15" s="235" t="s">
        <v>57</v>
      </c>
      <c r="B15" t="s">
        <v>313</v>
      </c>
      <c r="C15" t="s">
        <v>207</v>
      </c>
      <c r="D15" t="s">
        <v>393</v>
      </c>
      <c r="E15">
        <v>1029</v>
      </c>
      <c r="G15" s="100">
        <v>42640</v>
      </c>
      <c r="H15" t="s">
        <v>327</v>
      </c>
      <c r="J15" s="76" t="s">
        <v>402</v>
      </c>
      <c r="K15" s="10" t="s">
        <v>50</v>
      </c>
      <c r="L15">
        <v>887</v>
      </c>
      <c r="M15">
        <v>97</v>
      </c>
      <c r="N15" s="9">
        <f t="shared" si="0"/>
        <v>790</v>
      </c>
      <c r="O15">
        <v>243</v>
      </c>
      <c r="P15">
        <v>244</v>
      </c>
      <c r="Q15">
        <v>244</v>
      </c>
      <c r="R15" s="24">
        <f t="shared" si="1"/>
        <v>243.66666666666666</v>
      </c>
      <c r="S15">
        <v>154</v>
      </c>
      <c r="T15">
        <v>154</v>
      </c>
      <c r="U15">
        <v>154</v>
      </c>
      <c r="V15" s="24">
        <f t="shared" si="2"/>
        <v>154</v>
      </c>
      <c r="W15" s="36">
        <v>10.27</v>
      </c>
      <c r="X15">
        <v>10.18</v>
      </c>
      <c r="Y15">
        <v>9.9</v>
      </c>
      <c r="Z15" s="24">
        <f t="shared" si="3"/>
        <v>10.116666666666667</v>
      </c>
      <c r="AA15" s="37">
        <v>46.97</v>
      </c>
      <c r="AB15" s="37">
        <v>46.94</v>
      </c>
      <c r="AC15" s="37">
        <v>46.95</v>
      </c>
      <c r="AD15" s="24">
        <f t="shared" si="4"/>
        <v>46.95333333333334</v>
      </c>
      <c r="AE15" s="37">
        <v>85.94</v>
      </c>
      <c r="AF15" s="37">
        <v>85.95</v>
      </c>
      <c r="AG15" s="37">
        <v>85.74</v>
      </c>
      <c r="AH15" s="24">
        <f t="shared" si="5"/>
        <v>85.876666666666665</v>
      </c>
      <c r="AI15" s="37">
        <v>19.64</v>
      </c>
      <c r="AJ15" s="37">
        <v>20.5</v>
      </c>
      <c r="AK15" s="37">
        <v>19.309999999999999</v>
      </c>
      <c r="AM15" s="37">
        <v>30.35</v>
      </c>
      <c r="AN15" s="37">
        <v>29.13</v>
      </c>
      <c r="AO15" s="37">
        <v>29.66</v>
      </c>
      <c r="AP15" s="24">
        <f>AVERAGE(AM15:AO15)</f>
        <v>29.713333333333335</v>
      </c>
      <c r="AX15" s="35">
        <v>52.99</v>
      </c>
      <c r="AY15" s="35">
        <v>52.88</v>
      </c>
      <c r="AZ15" s="35">
        <v>52.74</v>
      </c>
      <c r="BA15" s="24">
        <f t="shared" si="6"/>
        <v>52.870000000000005</v>
      </c>
      <c r="BB15" s="35">
        <v>33.32</v>
      </c>
      <c r="BC15" s="35">
        <v>33.82</v>
      </c>
      <c r="BD15" s="35">
        <v>34.19</v>
      </c>
      <c r="BE15" s="24">
        <f t="shared" si="7"/>
        <v>33.776666666666664</v>
      </c>
      <c r="BF15" s="35">
        <v>79.25</v>
      </c>
      <c r="BG15" s="35">
        <v>79.16</v>
      </c>
      <c r="BH15" s="35">
        <v>79.849999999999994</v>
      </c>
      <c r="BI15" s="24">
        <f t="shared" si="8"/>
        <v>79.42</v>
      </c>
      <c r="BJ15" t="s">
        <v>399</v>
      </c>
      <c r="BK15" t="s">
        <v>238</v>
      </c>
      <c r="BL15" t="s">
        <v>52</v>
      </c>
      <c r="BM15" t="s">
        <v>399</v>
      </c>
      <c r="BN15" s="9" t="s">
        <v>52</v>
      </c>
    </row>
    <row r="16" spans="1:72" x14ac:dyDescent="0.25">
      <c r="A16" s="235" t="s">
        <v>57</v>
      </c>
      <c r="B16" t="s">
        <v>401</v>
      </c>
      <c r="C16" t="s">
        <v>49</v>
      </c>
      <c r="D16" t="s">
        <v>393</v>
      </c>
      <c r="E16">
        <v>1043</v>
      </c>
      <c r="G16" s="100">
        <v>42640</v>
      </c>
      <c r="H16" t="s">
        <v>412</v>
      </c>
      <c r="J16" s="76" t="s">
        <v>320</v>
      </c>
      <c r="K16" s="10" t="s">
        <v>64</v>
      </c>
      <c r="L16">
        <v>878</v>
      </c>
      <c r="M16">
        <v>98</v>
      </c>
      <c r="N16" s="9">
        <f t="shared" si="0"/>
        <v>780</v>
      </c>
      <c r="O16">
        <v>251</v>
      </c>
      <c r="P16">
        <v>250</v>
      </c>
      <c r="Q16">
        <v>250</v>
      </c>
      <c r="R16" s="24">
        <f t="shared" si="1"/>
        <v>250.33333333333334</v>
      </c>
      <c r="S16">
        <v>149</v>
      </c>
      <c r="T16">
        <v>149</v>
      </c>
      <c r="U16">
        <v>149</v>
      </c>
      <c r="V16" s="24">
        <f t="shared" si="2"/>
        <v>149</v>
      </c>
      <c r="W16" s="36">
        <v>9.6199999999999992</v>
      </c>
      <c r="X16">
        <v>9.89</v>
      </c>
      <c r="Y16">
        <v>9.2899999999999991</v>
      </c>
      <c r="Z16" s="24">
        <f t="shared" si="3"/>
        <v>9.6</v>
      </c>
      <c r="AA16" s="37">
        <v>44.48</v>
      </c>
      <c r="AB16" s="37">
        <v>44.61</v>
      </c>
      <c r="AC16" s="37">
        <v>44.81</v>
      </c>
      <c r="AD16" s="24">
        <f t="shared" si="4"/>
        <v>44.633333333333333</v>
      </c>
      <c r="AE16" s="37">
        <v>82.44</v>
      </c>
      <c r="AF16" s="37">
        <v>82.66</v>
      </c>
      <c r="AG16" s="37">
        <v>82.76</v>
      </c>
      <c r="AH16" s="24">
        <f t="shared" si="5"/>
        <v>82.62</v>
      </c>
      <c r="AR16" t="s">
        <v>65</v>
      </c>
      <c r="AS16">
        <v>8</v>
      </c>
      <c r="AT16">
        <v>1</v>
      </c>
      <c r="AU16">
        <v>1</v>
      </c>
      <c r="AW16" s="9">
        <v>11.36</v>
      </c>
      <c r="AX16" s="35">
        <v>52.3</v>
      </c>
      <c r="AY16" s="35">
        <v>52.23</v>
      </c>
      <c r="AZ16" s="35">
        <v>52.01</v>
      </c>
      <c r="BA16" s="24">
        <f t="shared" si="6"/>
        <v>52.18</v>
      </c>
      <c r="BB16" s="35">
        <v>34.35</v>
      </c>
      <c r="BC16" s="35">
        <v>34.53</v>
      </c>
      <c r="BD16" s="35">
        <v>34.020000000000003</v>
      </c>
      <c r="BE16" s="24">
        <f t="shared" si="7"/>
        <v>34.300000000000004</v>
      </c>
      <c r="BF16" s="35">
        <v>78.599999999999994</v>
      </c>
      <c r="BG16" s="35">
        <v>79.069999999999993</v>
      </c>
      <c r="BH16" s="35">
        <v>79.05</v>
      </c>
      <c r="BI16" s="24">
        <f t="shared" si="8"/>
        <v>78.906666666666652</v>
      </c>
      <c r="BJ16" t="s">
        <v>51</v>
      </c>
      <c r="BK16" t="s">
        <v>51</v>
      </c>
      <c r="BL16" t="s">
        <v>52</v>
      </c>
      <c r="BM16" t="s">
        <v>52</v>
      </c>
      <c r="BN16" s="9" t="s">
        <v>52</v>
      </c>
    </row>
    <row r="17" spans="1:72" x14ac:dyDescent="0.25">
      <c r="A17" s="235" t="s">
        <v>57</v>
      </c>
      <c r="B17" t="s">
        <v>326</v>
      </c>
      <c r="C17" t="s">
        <v>207</v>
      </c>
      <c r="D17" t="s">
        <v>393</v>
      </c>
      <c r="E17">
        <v>1034</v>
      </c>
      <c r="G17" s="100">
        <v>42640</v>
      </c>
      <c r="H17" t="s">
        <v>403</v>
      </c>
      <c r="J17" s="76" t="s">
        <v>404</v>
      </c>
      <c r="K17" s="10" t="s">
        <v>50</v>
      </c>
      <c r="L17">
        <v>1758</v>
      </c>
      <c r="M17">
        <v>97</v>
      </c>
      <c r="N17" s="9">
        <f t="shared" si="0"/>
        <v>1661</v>
      </c>
      <c r="O17">
        <v>335</v>
      </c>
      <c r="P17">
        <v>334</v>
      </c>
      <c r="Q17">
        <v>334</v>
      </c>
      <c r="R17" s="24">
        <f t="shared" si="1"/>
        <v>334.33333333333331</v>
      </c>
      <c r="S17">
        <v>173</v>
      </c>
      <c r="T17">
        <v>172</v>
      </c>
      <c r="U17">
        <v>173</v>
      </c>
      <c r="V17" s="24">
        <f t="shared" si="2"/>
        <v>172.66666666666666</v>
      </c>
      <c r="W17" s="36">
        <v>14.08</v>
      </c>
      <c r="X17">
        <v>14.25</v>
      </c>
      <c r="Y17">
        <v>14.42</v>
      </c>
      <c r="Z17" s="24">
        <f t="shared" si="3"/>
        <v>14.25</v>
      </c>
      <c r="AA17" s="37">
        <v>51.39</v>
      </c>
      <c r="AB17" s="37">
        <v>51.68</v>
      </c>
      <c r="AC17" s="37">
        <v>51.77</v>
      </c>
      <c r="AD17" s="24">
        <f t="shared" si="4"/>
        <v>51.613333333333337</v>
      </c>
      <c r="AE17" s="37">
        <v>101.68</v>
      </c>
      <c r="AF17" s="37">
        <v>101.62</v>
      </c>
      <c r="AG17" s="37">
        <v>101.26</v>
      </c>
      <c r="AH17" s="24">
        <f t="shared" si="5"/>
        <v>101.52</v>
      </c>
      <c r="AI17" s="37">
        <v>23.19</v>
      </c>
      <c r="AJ17" s="37">
        <v>23.42</v>
      </c>
      <c r="AK17" s="37">
        <v>23.28</v>
      </c>
      <c r="AM17" s="37">
        <v>32.840000000000003</v>
      </c>
      <c r="AN17" s="37">
        <v>31.66</v>
      </c>
      <c r="AO17" s="37">
        <v>31.29</v>
      </c>
      <c r="AP17" s="24">
        <f t="shared" ref="AP17:AP25" si="9">AVERAGE(AM17:AO17)</f>
        <v>31.929999999999996</v>
      </c>
      <c r="AX17" s="35">
        <v>65.010000000000005</v>
      </c>
      <c r="AY17" s="35">
        <v>65.23</v>
      </c>
      <c r="AZ17" s="35">
        <v>64.13</v>
      </c>
      <c r="BA17" s="24">
        <f t="shared" si="6"/>
        <v>64.790000000000006</v>
      </c>
      <c r="BB17" s="35">
        <v>40.47</v>
      </c>
      <c r="BC17" s="35">
        <v>40.61</v>
      </c>
      <c r="BD17" s="35">
        <v>40.590000000000003</v>
      </c>
      <c r="BE17" s="24">
        <f t="shared" si="7"/>
        <v>40.556666666666665</v>
      </c>
      <c r="BF17" s="35">
        <v>92.11</v>
      </c>
      <c r="BG17" s="35">
        <v>92.8</v>
      </c>
      <c r="BH17" s="35">
        <v>92.39</v>
      </c>
      <c r="BI17" s="24">
        <f t="shared" si="8"/>
        <v>92.433333333333337</v>
      </c>
      <c r="BJ17" t="s">
        <v>52</v>
      </c>
      <c r="BK17" t="s">
        <v>51</v>
      </c>
      <c r="BL17" t="s">
        <v>52</v>
      </c>
      <c r="BM17" t="s">
        <v>51</v>
      </c>
      <c r="BN17" s="9" t="s">
        <v>52</v>
      </c>
    </row>
    <row r="18" spans="1:72" x14ac:dyDescent="0.25">
      <c r="A18" s="235" t="s">
        <v>57</v>
      </c>
      <c r="B18" t="s">
        <v>463</v>
      </c>
      <c r="C18" t="s">
        <v>49</v>
      </c>
      <c r="D18" t="s">
        <v>393</v>
      </c>
      <c r="E18">
        <v>1045</v>
      </c>
      <c r="G18" s="100">
        <v>42641</v>
      </c>
      <c r="H18" t="s">
        <v>465</v>
      </c>
      <c r="J18" s="76" t="s">
        <v>320</v>
      </c>
      <c r="K18" s="10" t="s">
        <v>50</v>
      </c>
      <c r="L18">
        <v>1119</v>
      </c>
      <c r="M18">
        <v>99</v>
      </c>
      <c r="N18" s="9">
        <f t="shared" si="0"/>
        <v>1020</v>
      </c>
      <c r="O18">
        <v>266</v>
      </c>
      <c r="P18">
        <v>266</v>
      </c>
      <c r="Q18">
        <v>266</v>
      </c>
      <c r="R18" s="24">
        <f t="shared" si="1"/>
        <v>266</v>
      </c>
      <c r="S18">
        <v>148</v>
      </c>
      <c r="T18">
        <v>148</v>
      </c>
      <c r="U18">
        <v>149</v>
      </c>
      <c r="V18" s="24">
        <f t="shared" si="2"/>
        <v>148.33333333333334</v>
      </c>
      <c r="W18" s="36">
        <v>10.19</v>
      </c>
      <c r="X18">
        <v>10.17</v>
      </c>
      <c r="Y18">
        <v>10.050000000000001</v>
      </c>
      <c r="Z18" s="24">
        <f t="shared" si="3"/>
        <v>10.136666666666667</v>
      </c>
      <c r="AA18" s="37">
        <v>45.29</v>
      </c>
      <c r="AB18" s="37">
        <v>45</v>
      </c>
      <c r="AC18" s="37">
        <v>44.98</v>
      </c>
      <c r="AD18" s="24">
        <f t="shared" si="4"/>
        <v>45.089999999999996</v>
      </c>
      <c r="AE18" s="37">
        <v>85.36</v>
      </c>
      <c r="AF18" s="37">
        <v>84.9</v>
      </c>
      <c r="AG18" s="37">
        <v>85</v>
      </c>
      <c r="AH18" s="24">
        <f t="shared" si="5"/>
        <v>85.086666666666659</v>
      </c>
      <c r="AI18" s="37">
        <v>20.97</v>
      </c>
      <c r="AJ18" s="37">
        <v>20.25</v>
      </c>
      <c r="AK18" s="37">
        <v>20.71</v>
      </c>
      <c r="AM18" s="37">
        <v>30.69</v>
      </c>
      <c r="AN18" s="37">
        <v>30.76</v>
      </c>
      <c r="AO18" s="37">
        <v>30.88</v>
      </c>
      <c r="AP18" s="24">
        <f t="shared" si="9"/>
        <v>30.776666666666667</v>
      </c>
      <c r="AX18" s="35">
        <v>54.22</v>
      </c>
      <c r="AY18" s="35">
        <v>54.02</v>
      </c>
      <c r="AZ18" s="35">
        <v>54.34</v>
      </c>
      <c r="BA18" s="24">
        <f t="shared" si="6"/>
        <v>54.193333333333335</v>
      </c>
      <c r="BB18" s="35">
        <v>36.479999999999997</v>
      </c>
      <c r="BC18" s="35">
        <v>36.08</v>
      </c>
      <c r="BD18" s="35">
        <v>36.44</v>
      </c>
      <c r="BE18" s="24">
        <f t="shared" si="7"/>
        <v>36.333333333333336</v>
      </c>
      <c r="BF18" s="35">
        <v>79.989999999999995</v>
      </c>
      <c r="BG18" s="35">
        <v>80.34</v>
      </c>
      <c r="BH18" s="35">
        <v>80.760000000000005</v>
      </c>
      <c r="BI18" s="24">
        <f t="shared" si="8"/>
        <v>80.36333333333333</v>
      </c>
      <c r="BJ18" t="s">
        <v>51</v>
      </c>
      <c r="BK18" t="s">
        <v>51</v>
      </c>
      <c r="BL18" t="s">
        <v>52</v>
      </c>
      <c r="BM18" t="s">
        <v>52</v>
      </c>
      <c r="BN18" s="9" t="s">
        <v>52</v>
      </c>
    </row>
    <row r="19" spans="1:72" x14ac:dyDescent="0.25">
      <c r="A19" s="235" t="s">
        <v>57</v>
      </c>
      <c r="B19" t="s">
        <v>466</v>
      </c>
      <c r="C19" t="s">
        <v>49</v>
      </c>
      <c r="D19" t="s">
        <v>393</v>
      </c>
      <c r="E19">
        <v>1046</v>
      </c>
      <c r="G19" s="100">
        <v>42641</v>
      </c>
      <c r="H19" t="s">
        <v>464</v>
      </c>
      <c r="J19" s="76" t="s">
        <v>320</v>
      </c>
      <c r="K19" s="10" t="s">
        <v>50</v>
      </c>
      <c r="L19">
        <v>1014</v>
      </c>
      <c r="M19">
        <v>97</v>
      </c>
      <c r="N19" s="9">
        <f t="shared" si="0"/>
        <v>917</v>
      </c>
      <c r="O19">
        <v>259</v>
      </c>
      <c r="P19">
        <v>260</v>
      </c>
      <c r="Q19">
        <v>260</v>
      </c>
      <c r="R19" s="24">
        <f t="shared" si="1"/>
        <v>259.66666666666669</v>
      </c>
      <c r="S19">
        <v>153</v>
      </c>
      <c r="T19">
        <v>153</v>
      </c>
      <c r="U19">
        <v>153</v>
      </c>
      <c r="V19" s="24">
        <f t="shared" si="2"/>
        <v>153</v>
      </c>
      <c r="W19" s="36">
        <v>10.35</v>
      </c>
      <c r="X19">
        <v>10.1</v>
      </c>
      <c r="Y19">
        <v>10.08</v>
      </c>
      <c r="Z19" s="24">
        <f t="shared" si="3"/>
        <v>10.176666666666668</v>
      </c>
      <c r="AA19" s="37">
        <v>50.5</v>
      </c>
      <c r="AB19" s="37">
        <v>50.43</v>
      </c>
      <c r="AC19" s="37">
        <v>50.3</v>
      </c>
      <c r="AD19" s="24">
        <f t="shared" si="4"/>
        <v>50.410000000000004</v>
      </c>
      <c r="AE19" s="37">
        <v>90.3</v>
      </c>
      <c r="AF19" s="37">
        <v>90.44</v>
      </c>
      <c r="AG19" s="37">
        <v>90.26</v>
      </c>
      <c r="AH19" s="24">
        <f t="shared" si="5"/>
        <v>90.333333333333329</v>
      </c>
      <c r="AI19" s="37">
        <v>22.41</v>
      </c>
      <c r="AJ19" s="37">
        <v>22.4</v>
      </c>
      <c r="AK19" s="37">
        <v>22.32</v>
      </c>
      <c r="AM19" s="37">
        <v>31.95</v>
      </c>
      <c r="AN19" s="37">
        <v>32.6</v>
      </c>
      <c r="AO19" s="37">
        <v>32.6</v>
      </c>
      <c r="AP19" s="24">
        <f t="shared" si="9"/>
        <v>32.383333333333333</v>
      </c>
      <c r="AX19" s="35">
        <v>56.21</v>
      </c>
      <c r="AY19" s="35">
        <v>56.26</v>
      </c>
      <c r="AZ19" s="35">
        <v>56.1</v>
      </c>
      <c r="BA19" s="24">
        <f t="shared" si="6"/>
        <v>56.19</v>
      </c>
      <c r="BB19" s="35">
        <v>37.159999999999997</v>
      </c>
      <c r="BC19" s="35">
        <v>37.520000000000003</v>
      </c>
      <c r="BD19" s="35">
        <v>37.14</v>
      </c>
      <c r="BE19" s="24">
        <f t="shared" si="7"/>
        <v>37.273333333333333</v>
      </c>
      <c r="BF19" s="35">
        <v>78.28</v>
      </c>
      <c r="BG19" s="35">
        <v>78.349999999999994</v>
      </c>
      <c r="BH19" s="35">
        <v>78.55</v>
      </c>
      <c r="BI19" s="24">
        <f t="shared" si="8"/>
        <v>78.393333333333331</v>
      </c>
      <c r="BJ19" t="s">
        <v>51</v>
      </c>
      <c r="BK19" t="s">
        <v>51</v>
      </c>
      <c r="BL19" t="s">
        <v>52</v>
      </c>
      <c r="BM19" t="s">
        <v>52</v>
      </c>
      <c r="BN19" s="9" t="s">
        <v>52</v>
      </c>
    </row>
    <row r="20" spans="1:72" x14ac:dyDescent="0.25">
      <c r="A20" s="235" t="s">
        <v>57</v>
      </c>
      <c r="B20" t="s">
        <v>468</v>
      </c>
      <c r="C20" t="s">
        <v>49</v>
      </c>
      <c r="D20" t="s">
        <v>393</v>
      </c>
      <c r="E20">
        <v>1047</v>
      </c>
      <c r="G20" s="100">
        <v>42641</v>
      </c>
      <c r="H20" t="s">
        <v>467</v>
      </c>
      <c r="J20" s="76" t="s">
        <v>316</v>
      </c>
      <c r="K20" s="10" t="s">
        <v>50</v>
      </c>
      <c r="L20">
        <v>1667</v>
      </c>
      <c r="M20">
        <v>97</v>
      </c>
      <c r="N20" s="9">
        <f t="shared" si="0"/>
        <v>1570</v>
      </c>
      <c r="O20">
        <v>312</v>
      </c>
      <c r="P20">
        <v>312</v>
      </c>
      <c r="Q20">
        <v>311</v>
      </c>
      <c r="R20" s="24">
        <f t="shared" si="1"/>
        <v>311.66666666666669</v>
      </c>
      <c r="S20">
        <v>177</v>
      </c>
      <c r="T20">
        <v>176</v>
      </c>
      <c r="U20">
        <v>176</v>
      </c>
      <c r="V20" s="24">
        <f t="shared" si="2"/>
        <v>176.33333333333334</v>
      </c>
      <c r="W20" s="36">
        <v>12.9</v>
      </c>
      <c r="X20">
        <v>12.43</v>
      </c>
      <c r="Y20">
        <v>12.85</v>
      </c>
      <c r="Z20" s="24">
        <f t="shared" si="3"/>
        <v>12.726666666666667</v>
      </c>
      <c r="AA20" s="37">
        <v>52.77</v>
      </c>
      <c r="AB20" s="37">
        <v>53.04</v>
      </c>
      <c r="AC20" s="37">
        <v>53.19</v>
      </c>
      <c r="AD20" s="24">
        <f t="shared" si="4"/>
        <v>53</v>
      </c>
      <c r="AE20" s="37">
        <v>103.72</v>
      </c>
      <c r="AF20" s="37">
        <v>102.87</v>
      </c>
      <c r="AG20" s="37">
        <v>102.59</v>
      </c>
      <c r="AH20" s="24">
        <f t="shared" si="5"/>
        <v>103.06</v>
      </c>
      <c r="AI20" s="37">
        <v>27.77</v>
      </c>
      <c r="AJ20" s="37">
        <v>26.04</v>
      </c>
      <c r="AK20" s="37">
        <v>25.63</v>
      </c>
      <c r="AM20" s="37">
        <v>33.33</v>
      </c>
      <c r="AN20" s="37">
        <v>32.83</v>
      </c>
      <c r="AO20" s="37">
        <v>33.47</v>
      </c>
      <c r="AP20" s="24">
        <f t="shared" si="9"/>
        <v>33.21</v>
      </c>
      <c r="AX20" s="35">
        <v>67.790000000000006</v>
      </c>
      <c r="AY20" s="35">
        <v>67.900000000000006</v>
      </c>
      <c r="AZ20" s="35">
        <v>67.63</v>
      </c>
      <c r="BA20" s="24">
        <f t="shared" si="6"/>
        <v>67.773333333333326</v>
      </c>
      <c r="BB20" s="35">
        <v>40.79</v>
      </c>
      <c r="BC20" s="35">
        <v>40.700000000000003</v>
      </c>
      <c r="BD20" s="35">
        <v>40.770000000000003</v>
      </c>
      <c r="BE20" s="24">
        <f t="shared" si="7"/>
        <v>40.753333333333337</v>
      </c>
      <c r="BF20" s="35">
        <v>89.96</v>
      </c>
      <c r="BG20" s="35">
        <v>89.86</v>
      </c>
      <c r="BH20" s="35">
        <v>89.84</v>
      </c>
      <c r="BI20" s="24">
        <f t="shared" si="8"/>
        <v>89.886666666666656</v>
      </c>
      <c r="BJ20" t="s">
        <v>51</v>
      </c>
      <c r="BK20" t="s">
        <v>51</v>
      </c>
      <c r="BL20" t="s">
        <v>52</v>
      </c>
      <c r="BM20" t="s">
        <v>52</v>
      </c>
      <c r="BN20" s="9" t="s">
        <v>52</v>
      </c>
    </row>
    <row r="21" spans="1:72" x14ac:dyDescent="0.25">
      <c r="A21" s="235" t="s">
        <v>57</v>
      </c>
      <c r="B21" t="s">
        <v>470</v>
      </c>
      <c r="C21" t="s">
        <v>49</v>
      </c>
      <c r="D21" t="s">
        <v>393</v>
      </c>
      <c r="E21">
        <v>1048</v>
      </c>
      <c r="G21" s="100">
        <v>42641</v>
      </c>
      <c r="H21" t="s">
        <v>469</v>
      </c>
      <c r="J21" s="76" t="s">
        <v>471</v>
      </c>
      <c r="K21" s="10" t="s">
        <v>50</v>
      </c>
      <c r="L21">
        <v>1057</v>
      </c>
      <c r="M21">
        <v>90</v>
      </c>
      <c r="N21" s="9">
        <f t="shared" si="0"/>
        <v>967</v>
      </c>
      <c r="O21">
        <v>264</v>
      </c>
      <c r="P21">
        <v>264</v>
      </c>
      <c r="Q21">
        <v>264</v>
      </c>
      <c r="R21" s="24">
        <f t="shared" si="1"/>
        <v>264</v>
      </c>
      <c r="S21">
        <v>165</v>
      </c>
      <c r="T21">
        <v>164</v>
      </c>
      <c r="U21">
        <v>164</v>
      </c>
      <c r="V21" s="24">
        <f t="shared" si="2"/>
        <v>164.33333333333334</v>
      </c>
      <c r="W21" s="36">
        <v>9.82</v>
      </c>
      <c r="X21">
        <v>9.92</v>
      </c>
      <c r="Y21">
        <v>10.18</v>
      </c>
      <c r="Z21" s="24">
        <f t="shared" si="3"/>
        <v>9.9733333333333345</v>
      </c>
      <c r="AA21" s="37">
        <v>48.79</v>
      </c>
      <c r="AB21" s="37">
        <v>48.77</v>
      </c>
      <c r="AC21" s="37">
        <v>48.79</v>
      </c>
      <c r="AD21" s="24">
        <f t="shared" si="4"/>
        <v>48.783333333333331</v>
      </c>
      <c r="AE21" s="37">
        <v>89.1</v>
      </c>
      <c r="AF21" s="37">
        <v>89.11</v>
      </c>
      <c r="AG21" s="37">
        <v>88.95</v>
      </c>
      <c r="AH21" s="24">
        <f t="shared" si="5"/>
        <v>89.053333333333327</v>
      </c>
      <c r="AI21" s="37">
        <v>23.65</v>
      </c>
      <c r="AJ21" s="37">
        <v>22.8</v>
      </c>
      <c r="AK21" s="37">
        <v>23.39</v>
      </c>
      <c r="AM21" s="37">
        <v>30.02</v>
      </c>
      <c r="AN21" s="37">
        <v>30.42</v>
      </c>
      <c r="AO21" s="37">
        <v>30.6</v>
      </c>
      <c r="AP21" s="24">
        <f t="shared" si="9"/>
        <v>30.346666666666664</v>
      </c>
      <c r="AX21" s="35">
        <v>57.97</v>
      </c>
      <c r="AY21" s="35">
        <v>57.97</v>
      </c>
      <c r="AZ21" s="35">
        <v>57.89</v>
      </c>
      <c r="BA21" s="24">
        <f t="shared" si="6"/>
        <v>57.943333333333328</v>
      </c>
      <c r="BB21" s="35">
        <v>35.200000000000003</v>
      </c>
      <c r="BC21" s="35">
        <v>34.83</v>
      </c>
      <c r="BD21" s="35">
        <v>34.42</v>
      </c>
      <c r="BE21" s="24">
        <f t="shared" si="7"/>
        <v>34.81666666666667</v>
      </c>
      <c r="BF21" s="35">
        <v>78.62</v>
      </c>
      <c r="BG21" s="35">
        <v>79.67</v>
      </c>
      <c r="BH21" s="35">
        <v>79.86</v>
      </c>
      <c r="BI21" s="24">
        <f t="shared" si="8"/>
        <v>79.38333333333334</v>
      </c>
      <c r="BJ21" t="s">
        <v>51</v>
      </c>
      <c r="BK21" t="s">
        <v>51</v>
      </c>
      <c r="BL21" t="s">
        <v>52</v>
      </c>
      <c r="BM21" t="s">
        <v>52</v>
      </c>
      <c r="BN21" s="9" t="s">
        <v>52</v>
      </c>
    </row>
    <row r="22" spans="1:72" s="99" customFormat="1" x14ac:dyDescent="0.25">
      <c r="A22" s="236" t="s">
        <v>57</v>
      </c>
      <c r="B22" s="99" t="s">
        <v>319</v>
      </c>
      <c r="C22" s="99" t="s">
        <v>207</v>
      </c>
      <c r="D22" s="99" t="s">
        <v>393</v>
      </c>
      <c r="E22" s="99">
        <v>1032</v>
      </c>
      <c r="G22" s="100">
        <v>42642</v>
      </c>
      <c r="H22" s="99" t="s">
        <v>477</v>
      </c>
      <c r="I22" s="136"/>
      <c r="J22" s="137" t="s">
        <v>322</v>
      </c>
      <c r="K22" s="138" t="s">
        <v>50</v>
      </c>
      <c r="L22" s="99">
        <v>1418</v>
      </c>
      <c r="M22" s="99">
        <v>99</v>
      </c>
      <c r="N22" s="136">
        <f t="shared" si="0"/>
        <v>1319</v>
      </c>
      <c r="O22" s="99">
        <v>273</v>
      </c>
      <c r="P22" s="99">
        <v>273</v>
      </c>
      <c r="Q22" s="99">
        <v>274</v>
      </c>
      <c r="R22" s="139">
        <f t="shared" si="1"/>
        <v>273.33333333333331</v>
      </c>
      <c r="S22" s="99">
        <v>160</v>
      </c>
      <c r="T22" s="99">
        <v>158</v>
      </c>
      <c r="U22" s="99">
        <v>160</v>
      </c>
      <c r="V22" s="139">
        <f t="shared" si="2"/>
        <v>159.33333333333334</v>
      </c>
      <c r="W22" s="140">
        <v>12.4</v>
      </c>
      <c r="X22" s="99">
        <v>12.93</v>
      </c>
      <c r="Y22" s="99">
        <v>12.66</v>
      </c>
      <c r="Z22" s="139">
        <f t="shared" si="3"/>
        <v>12.663333333333332</v>
      </c>
      <c r="AA22" s="37">
        <v>50.04</v>
      </c>
      <c r="AB22" s="37">
        <v>49.8</v>
      </c>
      <c r="AC22" s="37">
        <v>49.77</v>
      </c>
      <c r="AD22" s="139">
        <f t="shared" si="4"/>
        <v>49.870000000000005</v>
      </c>
      <c r="AE22" s="37">
        <v>98.66</v>
      </c>
      <c r="AF22" s="37">
        <v>98.53</v>
      </c>
      <c r="AG22" s="37">
        <v>98.48</v>
      </c>
      <c r="AH22" s="139">
        <f t="shared" si="5"/>
        <v>98.556666666666672</v>
      </c>
      <c r="AI22" s="37">
        <v>21.61</v>
      </c>
      <c r="AJ22" s="37">
        <v>21.24</v>
      </c>
      <c r="AK22" s="37">
        <v>21.79</v>
      </c>
      <c r="AL22" s="136"/>
      <c r="AM22" s="37">
        <v>29.35</v>
      </c>
      <c r="AN22" s="37">
        <v>29.32</v>
      </c>
      <c r="AO22" s="37">
        <v>29.32</v>
      </c>
      <c r="AP22" s="139">
        <f t="shared" si="9"/>
        <v>29.330000000000002</v>
      </c>
      <c r="AQ22" s="138"/>
      <c r="AV22" s="35"/>
      <c r="AW22" s="136"/>
      <c r="AX22" s="35">
        <v>60.03</v>
      </c>
      <c r="AY22" s="35">
        <v>60.24</v>
      </c>
      <c r="AZ22" s="35">
        <v>60.59</v>
      </c>
      <c r="BA22" s="139">
        <f t="shared" si="6"/>
        <v>60.286666666666669</v>
      </c>
      <c r="BB22" s="35">
        <v>38.369999999999997</v>
      </c>
      <c r="BC22" s="35">
        <v>38.29</v>
      </c>
      <c r="BD22" s="35">
        <v>38.29</v>
      </c>
      <c r="BE22" s="139">
        <f t="shared" si="7"/>
        <v>38.316666666666663</v>
      </c>
      <c r="BF22" s="35">
        <v>85.95</v>
      </c>
      <c r="BG22" s="35">
        <v>85.88</v>
      </c>
      <c r="BH22" s="35">
        <v>85.89</v>
      </c>
      <c r="BI22" s="139">
        <f t="shared" si="8"/>
        <v>85.906666666666652</v>
      </c>
      <c r="BJ22" s="99" t="s">
        <v>52</v>
      </c>
      <c r="BK22" s="99" t="s">
        <v>51</v>
      </c>
      <c r="BL22" s="99" t="s">
        <v>52</v>
      </c>
      <c r="BM22" s="99" t="s">
        <v>52</v>
      </c>
      <c r="BN22" s="136" t="s">
        <v>52</v>
      </c>
      <c r="BO22" s="35"/>
      <c r="BP22" s="35"/>
      <c r="BQ22" s="35"/>
      <c r="BR22" s="35"/>
      <c r="BS22" s="136"/>
    </row>
    <row r="23" spans="1:72" x14ac:dyDescent="0.25">
      <c r="A23" s="235" t="s">
        <v>57</v>
      </c>
      <c r="B23" t="s">
        <v>478</v>
      </c>
      <c r="C23" t="s">
        <v>49</v>
      </c>
      <c r="D23" t="s">
        <v>393</v>
      </c>
      <c r="E23">
        <v>1049</v>
      </c>
      <c r="G23" s="100">
        <v>42642</v>
      </c>
      <c r="H23" t="s">
        <v>336</v>
      </c>
      <c r="J23" s="76" t="s">
        <v>402</v>
      </c>
      <c r="K23" s="10" t="s">
        <v>50</v>
      </c>
      <c r="L23">
        <v>900</v>
      </c>
      <c r="M23">
        <v>97</v>
      </c>
      <c r="N23" s="9">
        <f t="shared" si="0"/>
        <v>803</v>
      </c>
      <c r="O23">
        <v>240</v>
      </c>
      <c r="P23">
        <v>241</v>
      </c>
      <c r="Q23">
        <v>240</v>
      </c>
      <c r="R23" s="24">
        <f t="shared" si="1"/>
        <v>240.33333333333334</v>
      </c>
      <c r="S23">
        <v>146</v>
      </c>
      <c r="T23">
        <v>147</v>
      </c>
      <c r="U23">
        <v>147</v>
      </c>
      <c r="V23" s="24">
        <f t="shared" si="2"/>
        <v>146.66666666666666</v>
      </c>
      <c r="W23" s="36">
        <v>10.01</v>
      </c>
      <c r="X23">
        <v>9.84</v>
      </c>
      <c r="Y23">
        <v>9.84</v>
      </c>
      <c r="Z23" s="24">
        <f t="shared" si="3"/>
        <v>9.8966666666666665</v>
      </c>
      <c r="AA23" s="37">
        <v>45.68</v>
      </c>
      <c r="AB23" s="37">
        <v>45.89</v>
      </c>
      <c r="AC23" s="37">
        <v>46.15</v>
      </c>
      <c r="AD23" s="24">
        <f t="shared" si="4"/>
        <v>45.906666666666666</v>
      </c>
      <c r="AE23" s="37">
        <v>86.36</v>
      </c>
      <c r="AF23" s="37">
        <v>85.96</v>
      </c>
      <c r="AG23" s="37">
        <v>85.86</v>
      </c>
      <c r="AH23" s="24">
        <f t="shared" si="5"/>
        <v>86.06</v>
      </c>
      <c r="AI23" s="37">
        <v>21.99</v>
      </c>
      <c r="AJ23" s="37">
        <v>21.99</v>
      </c>
      <c r="AK23" s="37">
        <v>21.72</v>
      </c>
      <c r="AM23" s="37">
        <v>30.5</v>
      </c>
      <c r="AN23" s="37">
        <v>30.97</v>
      </c>
      <c r="AO23" s="37">
        <v>31.64</v>
      </c>
      <c r="AP23" s="24">
        <f t="shared" si="9"/>
        <v>31.036666666666665</v>
      </c>
      <c r="AX23" s="35">
        <v>51.33</v>
      </c>
      <c r="AY23" s="35">
        <v>51.34</v>
      </c>
      <c r="AZ23" s="35">
        <v>51.66</v>
      </c>
      <c r="BA23" s="24">
        <f t="shared" si="6"/>
        <v>51.443333333333328</v>
      </c>
      <c r="BB23" s="35">
        <v>35.68</v>
      </c>
      <c r="BC23" s="35">
        <v>35.44</v>
      </c>
      <c r="BD23" s="35">
        <v>34.86</v>
      </c>
      <c r="BE23" s="24">
        <f t="shared" si="7"/>
        <v>35.326666666666668</v>
      </c>
      <c r="BF23" s="35">
        <v>82.47</v>
      </c>
      <c r="BG23" s="35">
        <v>81.81</v>
      </c>
      <c r="BH23" s="35">
        <v>82.5</v>
      </c>
      <c r="BI23" s="24">
        <f t="shared" si="8"/>
        <v>82.26</v>
      </c>
      <c r="BJ23" t="s">
        <v>51</v>
      </c>
      <c r="BK23" t="s">
        <v>51</v>
      </c>
      <c r="BL23" t="s">
        <v>52</v>
      </c>
      <c r="BM23" t="s">
        <v>52</v>
      </c>
      <c r="BN23" s="9" t="s">
        <v>52</v>
      </c>
    </row>
    <row r="24" spans="1:72" x14ac:dyDescent="0.25">
      <c r="A24" s="235" t="s">
        <v>57</v>
      </c>
      <c r="B24" t="s">
        <v>490</v>
      </c>
      <c r="C24" t="s">
        <v>49</v>
      </c>
      <c r="D24" t="s">
        <v>393</v>
      </c>
      <c r="E24">
        <v>1050</v>
      </c>
      <c r="G24" s="100">
        <v>42643</v>
      </c>
      <c r="H24" t="s">
        <v>489</v>
      </c>
      <c r="J24" s="76" t="s">
        <v>320</v>
      </c>
      <c r="K24" s="10" t="s">
        <v>50</v>
      </c>
      <c r="L24">
        <v>965</v>
      </c>
      <c r="M24">
        <v>95</v>
      </c>
      <c r="N24" s="9">
        <f t="shared" si="0"/>
        <v>870</v>
      </c>
      <c r="O24">
        <v>259</v>
      </c>
      <c r="P24">
        <v>257</v>
      </c>
      <c r="Q24">
        <v>257</v>
      </c>
      <c r="R24" s="24">
        <f t="shared" si="1"/>
        <v>257.66666666666669</v>
      </c>
      <c r="S24">
        <v>149</v>
      </c>
      <c r="T24">
        <v>150</v>
      </c>
      <c r="U24">
        <v>151</v>
      </c>
      <c r="V24" s="24">
        <f t="shared" si="2"/>
        <v>150</v>
      </c>
      <c r="W24" s="36">
        <v>10.8</v>
      </c>
      <c r="X24">
        <v>10.8</v>
      </c>
      <c r="Y24">
        <v>10.81</v>
      </c>
      <c r="Z24" s="24">
        <f t="shared" si="3"/>
        <v>10.803333333333335</v>
      </c>
      <c r="AA24" s="37">
        <v>47.14</v>
      </c>
      <c r="AB24" s="37">
        <v>46.44</v>
      </c>
      <c r="AC24" s="37">
        <v>47.02</v>
      </c>
      <c r="AD24" s="24">
        <f t="shared" si="4"/>
        <v>46.866666666666667</v>
      </c>
      <c r="AE24" s="37">
        <v>83.93</v>
      </c>
      <c r="AF24" s="37">
        <v>83.39</v>
      </c>
      <c r="AG24" s="37">
        <v>82.91</v>
      </c>
      <c r="AH24" s="24">
        <f t="shared" si="5"/>
        <v>83.41</v>
      </c>
      <c r="AI24" s="37">
        <v>20.41</v>
      </c>
      <c r="AJ24" s="37">
        <v>20.41</v>
      </c>
      <c r="AK24" s="37">
        <v>20.77</v>
      </c>
      <c r="AM24" s="37">
        <v>28.9</v>
      </c>
      <c r="AN24" s="37">
        <v>28.9</v>
      </c>
      <c r="AO24" s="37">
        <v>28.89</v>
      </c>
      <c r="AP24" s="24">
        <f t="shared" si="9"/>
        <v>28.896666666666665</v>
      </c>
      <c r="AX24" s="35">
        <v>52.62</v>
      </c>
      <c r="AY24" s="35">
        <v>52.47</v>
      </c>
      <c r="AZ24" s="35">
        <v>52.64</v>
      </c>
      <c r="BA24" s="24">
        <f t="shared" si="6"/>
        <v>52.576666666666675</v>
      </c>
      <c r="BB24" s="35">
        <v>35.22</v>
      </c>
      <c r="BC24" s="35">
        <v>35.83</v>
      </c>
      <c r="BD24" s="35">
        <v>35.82</v>
      </c>
      <c r="BE24" s="24">
        <f t="shared" si="7"/>
        <v>35.623333333333335</v>
      </c>
      <c r="BF24" s="35">
        <v>78.59</v>
      </c>
      <c r="BG24" s="35">
        <v>78.459999999999994</v>
      </c>
      <c r="BH24" s="35">
        <v>77.66</v>
      </c>
      <c r="BI24" s="24">
        <f t="shared" si="8"/>
        <v>78.236666666666665</v>
      </c>
      <c r="BJ24" t="s">
        <v>51</v>
      </c>
      <c r="BK24" t="s">
        <v>51</v>
      </c>
      <c r="BL24" t="s">
        <v>52</v>
      </c>
      <c r="BM24" t="s">
        <v>52</v>
      </c>
      <c r="BN24" s="9" t="s">
        <v>52</v>
      </c>
      <c r="BT24" t="s">
        <v>493</v>
      </c>
    </row>
    <row r="25" spans="1:72" x14ac:dyDescent="0.25">
      <c r="A25" s="235" t="s">
        <v>57</v>
      </c>
      <c r="B25" t="s">
        <v>492</v>
      </c>
      <c r="C25" t="s">
        <v>49</v>
      </c>
      <c r="D25" t="s">
        <v>393</v>
      </c>
      <c r="E25">
        <v>1076</v>
      </c>
      <c r="G25" s="100">
        <v>42643</v>
      </c>
      <c r="H25" t="s">
        <v>491</v>
      </c>
      <c r="J25" s="76" t="s">
        <v>322</v>
      </c>
      <c r="K25" s="10" t="s">
        <v>50</v>
      </c>
      <c r="L25">
        <v>1738</v>
      </c>
      <c r="M25">
        <v>97</v>
      </c>
      <c r="N25" s="9">
        <f t="shared" si="0"/>
        <v>1641</v>
      </c>
      <c r="O25">
        <v>316</v>
      </c>
      <c r="P25">
        <v>315</v>
      </c>
      <c r="Q25">
        <v>316</v>
      </c>
      <c r="R25" s="24">
        <f t="shared" si="1"/>
        <v>315.66666666666669</v>
      </c>
      <c r="S25">
        <v>170</v>
      </c>
      <c r="T25">
        <v>169</v>
      </c>
      <c r="U25">
        <v>170</v>
      </c>
      <c r="V25" s="24">
        <f t="shared" si="2"/>
        <v>169.66666666666666</v>
      </c>
      <c r="W25" s="36">
        <v>13.06</v>
      </c>
      <c r="X25">
        <v>12.51</v>
      </c>
      <c r="Y25">
        <v>12.83</v>
      </c>
      <c r="Z25" s="24">
        <f t="shared" si="3"/>
        <v>12.799999999999999</v>
      </c>
      <c r="AA25" s="37">
        <v>54.35</v>
      </c>
      <c r="AB25" s="37">
        <v>54.5</v>
      </c>
      <c r="AC25" s="37">
        <v>54.5</v>
      </c>
      <c r="AD25" s="24">
        <f t="shared" si="4"/>
        <v>54.449999999999996</v>
      </c>
      <c r="AE25" s="37">
        <v>102.88</v>
      </c>
      <c r="AF25" s="37">
        <v>102.87</v>
      </c>
      <c r="AG25" s="37">
        <v>102.28</v>
      </c>
      <c r="AH25" s="24">
        <f t="shared" si="5"/>
        <v>102.67666666666666</v>
      </c>
      <c r="AI25" s="37">
        <v>24.36</v>
      </c>
      <c r="AJ25" s="37">
        <v>24.35</v>
      </c>
      <c r="AK25" s="37">
        <v>24.21</v>
      </c>
      <c r="AM25" s="37">
        <v>33.340000000000003</v>
      </c>
      <c r="AN25" s="37">
        <v>33.6</v>
      </c>
      <c r="AO25" s="37">
        <v>33.6</v>
      </c>
      <c r="AP25" s="24">
        <f t="shared" si="9"/>
        <v>33.513333333333328</v>
      </c>
      <c r="AX25" s="35">
        <v>69.959999999999994</v>
      </c>
      <c r="AY25" s="35">
        <v>69.97</v>
      </c>
      <c r="AZ25" s="35">
        <v>70.42</v>
      </c>
      <c r="BA25" s="24">
        <f t="shared" si="6"/>
        <v>70.116666666666674</v>
      </c>
      <c r="BB25" s="35">
        <v>43.82</v>
      </c>
      <c r="BC25" s="35">
        <v>43.17</v>
      </c>
      <c r="BD25" s="35">
        <v>43.21</v>
      </c>
      <c r="BE25" s="24">
        <f t="shared" si="7"/>
        <v>43.400000000000006</v>
      </c>
      <c r="BF25" s="35">
        <v>92.83</v>
      </c>
      <c r="BG25" s="35">
        <v>92.25</v>
      </c>
      <c r="BH25" s="35">
        <v>92.25</v>
      </c>
      <c r="BI25" s="24">
        <f t="shared" si="8"/>
        <v>92.443333333333328</v>
      </c>
      <c r="BJ25" t="s">
        <v>51</v>
      </c>
      <c r="BK25" t="s">
        <v>51</v>
      </c>
      <c r="BL25" t="s">
        <v>52</v>
      </c>
      <c r="BM25" t="s">
        <v>52</v>
      </c>
      <c r="BN25" s="9" t="s">
        <v>52</v>
      </c>
      <c r="BT25" t="s">
        <v>493</v>
      </c>
    </row>
    <row r="26" spans="1:72" x14ac:dyDescent="0.25">
      <c r="A26" s="235" t="s">
        <v>57</v>
      </c>
      <c r="B26" t="s">
        <v>495</v>
      </c>
      <c r="C26" t="s">
        <v>49</v>
      </c>
      <c r="D26" t="s">
        <v>393</v>
      </c>
      <c r="E26">
        <v>1077</v>
      </c>
      <c r="G26" s="100">
        <v>42643</v>
      </c>
      <c r="H26" t="s">
        <v>494</v>
      </c>
      <c r="J26" s="76" t="s">
        <v>316</v>
      </c>
      <c r="K26" s="10" t="s">
        <v>64</v>
      </c>
      <c r="L26">
        <v>1150</v>
      </c>
      <c r="M26">
        <v>96</v>
      </c>
      <c r="N26" s="9">
        <f t="shared" si="0"/>
        <v>1054</v>
      </c>
      <c r="O26">
        <v>287</v>
      </c>
      <c r="P26">
        <v>289</v>
      </c>
      <c r="Q26">
        <v>289</v>
      </c>
      <c r="R26" s="24">
        <f t="shared" si="1"/>
        <v>288.33333333333331</v>
      </c>
      <c r="S26">
        <v>159</v>
      </c>
      <c r="T26">
        <v>159</v>
      </c>
      <c r="U26">
        <v>160</v>
      </c>
      <c r="V26" s="24">
        <f t="shared" si="2"/>
        <v>159.33333333333334</v>
      </c>
      <c r="W26" s="36">
        <v>11.34</v>
      </c>
      <c r="X26">
        <v>11.17</v>
      </c>
      <c r="Y26">
        <v>10.66</v>
      </c>
      <c r="Z26" s="24">
        <f t="shared" si="3"/>
        <v>11.056666666666667</v>
      </c>
      <c r="AA26" s="37">
        <v>50.68</v>
      </c>
      <c r="AB26" s="37">
        <v>50.58</v>
      </c>
      <c r="AC26" s="37">
        <v>50.51</v>
      </c>
      <c r="AD26" s="24">
        <f t="shared" si="4"/>
        <v>50.589999999999996</v>
      </c>
      <c r="AE26" s="37">
        <v>96.68</v>
      </c>
      <c r="AF26" s="37">
        <v>96.2</v>
      </c>
      <c r="AG26" s="37">
        <v>95.92</v>
      </c>
      <c r="AH26" s="24">
        <f t="shared" si="5"/>
        <v>96.266666666666666</v>
      </c>
      <c r="AR26" t="s">
        <v>65</v>
      </c>
      <c r="AS26">
        <v>8</v>
      </c>
      <c r="AT26">
        <v>2</v>
      </c>
      <c r="AU26">
        <v>2</v>
      </c>
      <c r="AV26" s="12" t="s">
        <v>496</v>
      </c>
      <c r="AW26" s="9">
        <v>14.5</v>
      </c>
      <c r="AX26" s="35">
        <v>58.73</v>
      </c>
      <c r="AY26" s="35">
        <v>60.55</v>
      </c>
      <c r="AZ26" s="35">
        <v>60.49</v>
      </c>
      <c r="BA26" s="24">
        <f t="shared" si="6"/>
        <v>59.923333333333339</v>
      </c>
      <c r="BB26" s="35">
        <v>37.79</v>
      </c>
      <c r="BC26" s="35">
        <v>37.75</v>
      </c>
      <c r="BD26" s="35">
        <v>37.75</v>
      </c>
      <c r="BE26" s="24">
        <f t="shared" si="7"/>
        <v>37.763333333333328</v>
      </c>
      <c r="BF26" s="35">
        <v>85.87</v>
      </c>
      <c r="BG26" s="35">
        <v>85.52</v>
      </c>
      <c r="BH26" s="35">
        <v>85.52</v>
      </c>
      <c r="BI26" s="24">
        <f t="shared" si="8"/>
        <v>85.636666666666656</v>
      </c>
      <c r="BJ26" t="s">
        <v>51</v>
      </c>
      <c r="BK26" t="s">
        <v>51</v>
      </c>
      <c r="BL26" t="s">
        <v>52</v>
      </c>
      <c r="BM26" t="s">
        <v>52</v>
      </c>
      <c r="BN26" s="9" t="s">
        <v>52</v>
      </c>
      <c r="BT26" t="s">
        <v>493</v>
      </c>
    </row>
    <row r="27" spans="1:72" x14ac:dyDescent="0.25">
      <c r="A27" s="235" t="s">
        <v>57</v>
      </c>
      <c r="B27" t="s">
        <v>501</v>
      </c>
      <c r="C27" t="s">
        <v>49</v>
      </c>
      <c r="D27" t="s">
        <v>393</v>
      </c>
      <c r="E27">
        <v>1078</v>
      </c>
      <c r="G27" s="100">
        <v>42643</v>
      </c>
      <c r="H27" t="s">
        <v>502</v>
      </c>
      <c r="J27" s="76" t="s">
        <v>402</v>
      </c>
      <c r="K27" s="10" t="s">
        <v>64</v>
      </c>
      <c r="L27">
        <v>609</v>
      </c>
      <c r="M27">
        <v>98</v>
      </c>
      <c r="N27" s="9">
        <f t="shared" si="0"/>
        <v>511</v>
      </c>
      <c r="O27">
        <v>205</v>
      </c>
      <c r="P27">
        <v>206</v>
      </c>
      <c r="Q27">
        <v>205</v>
      </c>
      <c r="R27" s="24">
        <f t="shared" si="1"/>
        <v>205.33333333333334</v>
      </c>
      <c r="S27">
        <v>130</v>
      </c>
      <c r="T27">
        <v>131</v>
      </c>
      <c r="U27">
        <v>130</v>
      </c>
      <c r="V27" s="24">
        <f t="shared" si="2"/>
        <v>130.33333333333334</v>
      </c>
      <c r="W27" s="36">
        <v>8.44</v>
      </c>
      <c r="X27">
        <v>8.11</v>
      </c>
      <c r="Y27">
        <v>7.97</v>
      </c>
      <c r="Z27" s="24">
        <f t="shared" si="3"/>
        <v>8.173333333333332</v>
      </c>
      <c r="AA27" s="37">
        <v>38.4</v>
      </c>
      <c r="AB27" s="37">
        <v>38.61</v>
      </c>
      <c r="AC27" s="37">
        <v>38.25</v>
      </c>
      <c r="AD27" s="24">
        <f t="shared" si="4"/>
        <v>38.419999999999995</v>
      </c>
      <c r="AE27" s="37">
        <v>70.010000000000005</v>
      </c>
      <c r="AF27" s="37">
        <v>70.13</v>
      </c>
      <c r="AG27" s="37">
        <v>69.98</v>
      </c>
      <c r="AH27" s="24">
        <f t="shared" si="5"/>
        <v>70.040000000000006</v>
      </c>
      <c r="AR27" t="s">
        <v>65</v>
      </c>
      <c r="AS27">
        <v>8</v>
      </c>
      <c r="AT27">
        <v>8</v>
      </c>
      <c r="AU27">
        <v>0</v>
      </c>
      <c r="AX27" s="35">
        <v>44.61</v>
      </c>
      <c r="AY27" s="35">
        <v>44.72</v>
      </c>
      <c r="AZ27" s="35">
        <v>44.77</v>
      </c>
      <c r="BA27" s="24">
        <f t="shared" si="6"/>
        <v>44.699999999999996</v>
      </c>
      <c r="BB27" s="35">
        <v>31.06</v>
      </c>
      <c r="BC27" s="35">
        <v>31.29</v>
      </c>
      <c r="BD27" s="35">
        <v>31.29</v>
      </c>
      <c r="BE27" s="24">
        <f t="shared" si="7"/>
        <v>31.213333333333328</v>
      </c>
      <c r="BF27" s="35">
        <v>70.91</v>
      </c>
      <c r="BG27" s="35">
        <v>70.91</v>
      </c>
      <c r="BH27" s="35">
        <v>70.709999999999994</v>
      </c>
      <c r="BI27" s="24">
        <f t="shared" si="8"/>
        <v>70.84333333333332</v>
      </c>
      <c r="BJ27" t="s">
        <v>51</v>
      </c>
      <c r="BK27" t="s">
        <v>51</v>
      </c>
      <c r="BL27" t="s">
        <v>52</v>
      </c>
      <c r="BM27" t="s">
        <v>52</v>
      </c>
      <c r="BN27" s="9" t="s">
        <v>52</v>
      </c>
      <c r="BT27" t="s">
        <v>493</v>
      </c>
    </row>
    <row r="28" spans="1:72" x14ac:dyDescent="0.25">
      <c r="A28" s="235" t="s">
        <v>57</v>
      </c>
      <c r="B28" t="s">
        <v>505</v>
      </c>
      <c r="C28" t="s">
        <v>49</v>
      </c>
      <c r="D28" t="s">
        <v>393</v>
      </c>
      <c r="E28" s="99">
        <v>1079</v>
      </c>
      <c r="G28" s="100">
        <v>42646</v>
      </c>
      <c r="H28" t="s">
        <v>504</v>
      </c>
      <c r="J28" s="76" t="s">
        <v>402</v>
      </c>
      <c r="K28" s="10" t="s">
        <v>50</v>
      </c>
      <c r="L28">
        <v>939</v>
      </c>
      <c r="M28">
        <v>96</v>
      </c>
      <c r="N28" s="9">
        <f t="shared" si="0"/>
        <v>843</v>
      </c>
      <c r="O28">
        <v>231</v>
      </c>
      <c r="P28">
        <v>234</v>
      </c>
      <c r="Q28">
        <v>232</v>
      </c>
      <c r="R28" s="24">
        <f t="shared" si="1"/>
        <v>232.33333333333334</v>
      </c>
      <c r="S28">
        <v>129</v>
      </c>
      <c r="T28">
        <v>127</v>
      </c>
      <c r="U28">
        <v>129</v>
      </c>
      <c r="V28" s="24">
        <f t="shared" si="2"/>
        <v>128.33333333333334</v>
      </c>
      <c r="W28" s="36">
        <v>9.9499999999999993</v>
      </c>
      <c r="X28">
        <v>10</v>
      </c>
      <c r="Y28">
        <v>10</v>
      </c>
      <c r="Z28" s="24">
        <f t="shared" si="3"/>
        <v>9.9833333333333325</v>
      </c>
      <c r="AA28" s="37">
        <v>49.49</v>
      </c>
      <c r="AB28" s="37">
        <v>49.46</v>
      </c>
      <c r="AC28" s="37">
        <v>49.45</v>
      </c>
      <c r="AD28" s="24">
        <f t="shared" si="4"/>
        <v>49.466666666666669</v>
      </c>
      <c r="AE28" s="37">
        <v>87.46</v>
      </c>
      <c r="AF28" s="37">
        <v>88.22</v>
      </c>
      <c r="AG28" s="37">
        <v>87.85</v>
      </c>
      <c r="AH28" s="24">
        <f t="shared" si="5"/>
        <v>87.84333333333332</v>
      </c>
      <c r="AI28" s="37">
        <v>20.11</v>
      </c>
      <c r="AJ28" s="37">
        <v>20.11</v>
      </c>
      <c r="AK28" s="37">
        <v>20.350000000000001</v>
      </c>
      <c r="AM28" s="37">
        <v>30.73</v>
      </c>
      <c r="AN28" s="37">
        <v>30.74</v>
      </c>
      <c r="AO28" s="37">
        <v>30.36</v>
      </c>
      <c r="AP28" s="24">
        <f>AVERAGE(AM28:AO28)</f>
        <v>30.61</v>
      </c>
      <c r="AX28" s="35">
        <v>56.13</v>
      </c>
      <c r="AY28" s="35">
        <v>56.11</v>
      </c>
      <c r="AZ28" s="35">
        <v>55.99</v>
      </c>
      <c r="BA28" s="24">
        <f t="shared" si="6"/>
        <v>56.076666666666675</v>
      </c>
      <c r="BB28" s="35">
        <v>37.549999999999997</v>
      </c>
      <c r="BC28" s="35">
        <v>37.49</v>
      </c>
      <c r="BD28" s="35">
        <v>37.49</v>
      </c>
      <c r="BE28" s="24">
        <f t="shared" si="7"/>
        <v>37.51</v>
      </c>
      <c r="BF28" s="35">
        <v>80.599999999999994</v>
      </c>
      <c r="BG28" s="35">
        <v>80.42</v>
      </c>
      <c r="BH28" s="35">
        <v>80.41</v>
      </c>
      <c r="BI28" s="24">
        <f t="shared" si="8"/>
        <v>80.476666666666659</v>
      </c>
      <c r="BJ28" t="s">
        <v>51</v>
      </c>
      <c r="BK28" t="s">
        <v>51</v>
      </c>
      <c r="BL28" t="s">
        <v>52</v>
      </c>
      <c r="BM28" t="s">
        <v>52</v>
      </c>
      <c r="BN28" s="9" t="s">
        <v>52</v>
      </c>
      <c r="BT28" t="s">
        <v>508</v>
      </c>
    </row>
    <row r="29" spans="1:72" x14ac:dyDescent="0.25">
      <c r="A29" s="235" t="s">
        <v>57</v>
      </c>
      <c r="B29" t="s">
        <v>335</v>
      </c>
      <c r="C29" t="s">
        <v>207</v>
      </c>
      <c r="D29" t="s">
        <v>393</v>
      </c>
      <c r="E29">
        <v>1035</v>
      </c>
      <c r="G29" s="100">
        <v>42646</v>
      </c>
      <c r="H29" t="s">
        <v>506</v>
      </c>
      <c r="J29" s="76" t="s">
        <v>320</v>
      </c>
      <c r="K29" s="10" t="s">
        <v>64</v>
      </c>
      <c r="L29">
        <v>897</v>
      </c>
      <c r="M29">
        <v>98</v>
      </c>
      <c r="N29" s="9">
        <f t="shared" si="0"/>
        <v>799</v>
      </c>
      <c r="O29">
        <v>241</v>
      </c>
      <c r="P29">
        <v>242</v>
      </c>
      <c r="Q29">
        <v>242</v>
      </c>
      <c r="R29" s="24">
        <f t="shared" si="1"/>
        <v>241.66666666666666</v>
      </c>
      <c r="S29">
        <v>149</v>
      </c>
      <c r="T29">
        <v>149</v>
      </c>
      <c r="U29">
        <v>150</v>
      </c>
      <c r="V29" s="24">
        <f t="shared" si="2"/>
        <v>149.33333333333334</v>
      </c>
      <c r="W29" s="36">
        <v>10.52</v>
      </c>
      <c r="X29">
        <v>10.58</v>
      </c>
      <c r="Y29">
        <v>10.47</v>
      </c>
      <c r="Z29" s="24">
        <f t="shared" si="3"/>
        <v>10.523333333333333</v>
      </c>
      <c r="AA29" s="37">
        <v>43.98</v>
      </c>
      <c r="AB29" s="37">
        <v>43.94</v>
      </c>
      <c r="AC29" s="37">
        <v>43.52</v>
      </c>
      <c r="AD29" s="24">
        <f t="shared" si="4"/>
        <v>43.813333333333333</v>
      </c>
      <c r="AE29" s="37">
        <v>83.12</v>
      </c>
      <c r="AF29" s="37">
        <v>83.17</v>
      </c>
      <c r="AG29" s="37">
        <v>83.09</v>
      </c>
      <c r="AH29" s="24">
        <f t="shared" si="5"/>
        <v>83.126666666666679</v>
      </c>
      <c r="AR29" t="s">
        <v>65</v>
      </c>
      <c r="AS29">
        <v>8</v>
      </c>
      <c r="AT29">
        <v>1</v>
      </c>
      <c r="AU29">
        <v>1</v>
      </c>
      <c r="AV29" s="12" t="s">
        <v>507</v>
      </c>
      <c r="AW29" s="9">
        <v>15.04</v>
      </c>
      <c r="AX29" s="35">
        <v>56.3</v>
      </c>
      <c r="AY29" s="35">
        <v>56.3</v>
      </c>
      <c r="AZ29" s="35">
        <v>56.99</v>
      </c>
      <c r="BA29" s="24">
        <f t="shared" si="6"/>
        <v>56.53</v>
      </c>
      <c r="BB29" s="35">
        <v>33.4</v>
      </c>
      <c r="BC29" s="35">
        <v>33.33</v>
      </c>
      <c r="BD29" s="35">
        <v>33.33</v>
      </c>
      <c r="BE29" s="24">
        <f t="shared" si="7"/>
        <v>33.353333333333332</v>
      </c>
      <c r="BF29" s="35">
        <v>76.77</v>
      </c>
      <c r="BG29" s="35">
        <v>76.56</v>
      </c>
      <c r="BH29" s="35">
        <v>76.12</v>
      </c>
      <c r="BI29" s="24">
        <f t="shared" si="8"/>
        <v>76.483333333333334</v>
      </c>
      <c r="BJ29" t="s">
        <v>52</v>
      </c>
      <c r="BK29" t="s">
        <v>51</v>
      </c>
      <c r="BL29" t="s">
        <v>52</v>
      </c>
      <c r="BM29" t="s">
        <v>52</v>
      </c>
      <c r="BN29" s="9" t="s">
        <v>52</v>
      </c>
    </row>
    <row r="30" spans="1:72" x14ac:dyDescent="0.25">
      <c r="A30" s="237" t="s">
        <v>57</v>
      </c>
      <c r="B30" s="97" t="s">
        <v>520</v>
      </c>
      <c r="C30" t="s">
        <v>49</v>
      </c>
      <c r="D30" t="s">
        <v>393</v>
      </c>
      <c r="E30">
        <v>937</v>
      </c>
      <c r="G30" s="100">
        <v>42648</v>
      </c>
      <c r="H30" t="s">
        <v>334</v>
      </c>
      <c r="J30" s="76" t="s">
        <v>402</v>
      </c>
      <c r="K30" s="10" t="s">
        <v>64</v>
      </c>
      <c r="L30">
        <v>654</v>
      </c>
      <c r="M30">
        <v>98</v>
      </c>
      <c r="N30" s="9">
        <f t="shared" si="0"/>
        <v>556</v>
      </c>
      <c r="O30">
        <v>200</v>
      </c>
      <c r="P30">
        <v>199</v>
      </c>
      <c r="Q30">
        <v>199</v>
      </c>
      <c r="R30" s="24">
        <f t="shared" si="1"/>
        <v>199.33333333333334</v>
      </c>
      <c r="S30">
        <v>59</v>
      </c>
      <c r="T30">
        <v>59</v>
      </c>
      <c r="U30">
        <v>60</v>
      </c>
      <c r="V30" s="24">
        <f t="shared" si="2"/>
        <v>59.333333333333336</v>
      </c>
      <c r="W30" s="36">
        <v>8.82</v>
      </c>
      <c r="X30">
        <v>8.92</v>
      </c>
      <c r="Y30">
        <v>8.2799999999999994</v>
      </c>
      <c r="Z30" s="24">
        <f t="shared" si="3"/>
        <v>8.6733333333333338</v>
      </c>
      <c r="AA30" s="37">
        <v>41.6</v>
      </c>
      <c r="AB30" s="37">
        <v>41.11</v>
      </c>
      <c r="AC30" s="37">
        <v>41.11</v>
      </c>
      <c r="AD30" s="24">
        <f t="shared" si="4"/>
        <v>41.273333333333333</v>
      </c>
      <c r="AE30" s="37">
        <v>73.53</v>
      </c>
      <c r="AF30" s="37">
        <v>73.5</v>
      </c>
      <c r="AG30" s="37">
        <v>73.459999999999994</v>
      </c>
      <c r="AH30" s="24">
        <f t="shared" si="5"/>
        <v>73.49666666666667</v>
      </c>
      <c r="AR30" t="s">
        <v>65</v>
      </c>
      <c r="AS30">
        <v>8</v>
      </c>
      <c r="AT30">
        <v>8</v>
      </c>
      <c r="AU30">
        <v>0</v>
      </c>
      <c r="AX30" s="35">
        <v>47.68</v>
      </c>
      <c r="AY30" s="35">
        <v>47.63</v>
      </c>
      <c r="AZ30" s="35">
        <v>47.35</v>
      </c>
      <c r="BA30" s="24">
        <f t="shared" si="6"/>
        <v>47.553333333333335</v>
      </c>
      <c r="BB30" s="35">
        <v>30.26</v>
      </c>
      <c r="BC30" s="35">
        <v>30.54</v>
      </c>
      <c r="BD30" s="35">
        <v>30.82</v>
      </c>
      <c r="BE30" s="24">
        <f t="shared" si="7"/>
        <v>30.540000000000003</v>
      </c>
      <c r="BF30" s="35">
        <v>74.77</v>
      </c>
      <c r="BG30" s="35">
        <v>74.180000000000007</v>
      </c>
      <c r="BH30" s="35">
        <v>74.819999999999993</v>
      </c>
      <c r="BI30" s="24">
        <f t="shared" si="8"/>
        <v>74.589999999999989</v>
      </c>
      <c r="BJ30" t="s">
        <v>51</v>
      </c>
      <c r="BK30" t="s">
        <v>51</v>
      </c>
      <c r="BL30" t="s">
        <v>52</v>
      </c>
      <c r="BM30" t="s">
        <v>51</v>
      </c>
      <c r="BN30" s="9" t="s">
        <v>52</v>
      </c>
    </row>
    <row r="31" spans="1:72" s="227" customFormat="1" x14ac:dyDescent="0.25">
      <c r="A31" s="234">
        <v>2017</v>
      </c>
      <c r="B31" s="213"/>
      <c r="I31" s="228"/>
      <c r="J31" s="229"/>
      <c r="K31" s="230"/>
      <c r="N31" s="228"/>
      <c r="R31" s="231"/>
      <c r="V31" s="231"/>
      <c r="W31" s="232"/>
      <c r="Z31" s="231"/>
      <c r="AD31" s="231"/>
      <c r="AH31" s="231"/>
      <c r="AI31" s="233"/>
      <c r="AJ31" s="233"/>
      <c r="AK31" s="233"/>
      <c r="AL31" s="228"/>
      <c r="AM31" s="233"/>
      <c r="AN31" s="233"/>
      <c r="AO31" s="233"/>
      <c r="AP31" s="228"/>
      <c r="AQ31" s="230"/>
      <c r="AV31" s="233"/>
      <c r="AW31" s="228"/>
      <c r="BA31" s="231"/>
      <c r="BE31" s="231"/>
      <c r="BI31" s="231"/>
      <c r="BN31" s="228"/>
      <c r="BO31" s="233"/>
      <c r="BP31" s="233"/>
      <c r="BQ31" s="233"/>
      <c r="BR31" s="233"/>
      <c r="BS31" s="228"/>
    </row>
    <row r="32" spans="1:72" x14ac:dyDescent="0.25">
      <c r="A32" s="237" t="s">
        <v>57</v>
      </c>
      <c r="B32" s="97" t="s">
        <v>687</v>
      </c>
      <c r="C32" t="s">
        <v>49</v>
      </c>
      <c r="D32" t="s">
        <v>671</v>
      </c>
      <c r="E32">
        <v>1246</v>
      </c>
      <c r="G32" s="100">
        <v>42877</v>
      </c>
      <c r="H32" t="s">
        <v>686</v>
      </c>
      <c r="J32" s="76" t="s">
        <v>402</v>
      </c>
      <c r="K32" s="10" t="s">
        <v>50</v>
      </c>
      <c r="L32">
        <v>860</v>
      </c>
      <c r="M32">
        <v>94</v>
      </c>
      <c r="O32">
        <v>253</v>
      </c>
      <c r="P32">
        <v>253</v>
      </c>
      <c r="Q32">
        <v>253</v>
      </c>
      <c r="R32" s="24">
        <f t="shared" ref="R32:R52" si="10">AVERAGE(O32:Q32)</f>
        <v>253</v>
      </c>
      <c r="S32">
        <v>86</v>
      </c>
      <c r="T32">
        <v>85</v>
      </c>
      <c r="U32">
        <v>86</v>
      </c>
      <c r="V32" s="24">
        <f t="shared" ref="V32:V52" si="11">AVERAGE(S32:U32)</f>
        <v>85.666666666666671</v>
      </c>
      <c r="W32" s="36">
        <v>11.27</v>
      </c>
      <c r="X32">
        <v>11.38</v>
      </c>
      <c r="Y32">
        <v>11.4</v>
      </c>
      <c r="Z32" s="24">
        <f t="shared" ref="Z32:Z52" si="12">AVERAGE(W32:Y32)</f>
        <v>11.35</v>
      </c>
      <c r="AA32" s="37">
        <v>46.73</v>
      </c>
      <c r="AB32" s="37">
        <v>46.61</v>
      </c>
      <c r="AC32" s="37">
        <v>46.61</v>
      </c>
      <c r="AD32" s="24">
        <f t="shared" ref="AD32:AD52" si="13">AVERAGE(AA32:AC32)</f>
        <v>46.65</v>
      </c>
      <c r="AE32" s="37">
        <v>83.85</v>
      </c>
      <c r="AF32" s="37">
        <v>83.57</v>
      </c>
      <c r="AG32" s="37">
        <v>83.8</v>
      </c>
      <c r="AH32" s="24">
        <f t="shared" ref="AH32:AH52" si="14">AVERAGE(AE32:AG32)</f>
        <v>83.74</v>
      </c>
      <c r="AI32" s="37">
        <v>21.18</v>
      </c>
      <c r="AJ32" s="37">
        <v>20.45</v>
      </c>
      <c r="AK32" s="37">
        <v>21.03</v>
      </c>
      <c r="AL32" s="24">
        <f t="shared" ref="AL32:AL42" si="15">AVERAGE(AI32:AK32)</f>
        <v>20.886666666666667</v>
      </c>
      <c r="AM32" s="37">
        <v>26.64</v>
      </c>
      <c r="AN32" s="37">
        <v>25.54</v>
      </c>
      <c r="AO32" s="37">
        <v>25.82</v>
      </c>
      <c r="AP32" s="24">
        <f t="shared" ref="AP32:AP42" si="16">AVERAGE(AM32:AO32)</f>
        <v>26</v>
      </c>
      <c r="AX32" s="35">
        <v>54.5</v>
      </c>
      <c r="AY32" s="35">
        <v>54.61</v>
      </c>
      <c r="AZ32" s="35">
        <v>54.78</v>
      </c>
      <c r="BA32" s="24">
        <f t="shared" ref="BA32:BA52" si="17">AVERAGE(AX32:AZ32)</f>
        <v>54.629999999999995</v>
      </c>
      <c r="BB32" s="35">
        <v>33.619999999999997</v>
      </c>
      <c r="BC32" s="35">
        <v>33.450000000000003</v>
      </c>
      <c r="BD32" s="35">
        <v>33.869999999999997</v>
      </c>
      <c r="BE32" s="24">
        <f t="shared" ref="BE32:BE52" si="18">AVERAGE(BB32:BD32)</f>
        <v>33.646666666666668</v>
      </c>
      <c r="BF32" s="35">
        <v>81.14</v>
      </c>
      <c r="BG32" s="35">
        <v>81.209999999999994</v>
      </c>
      <c r="BH32" s="35">
        <v>81.7</v>
      </c>
      <c r="BI32" s="24">
        <f t="shared" ref="BI32:BI52" si="19">AVERAGE(BF32:BH32)</f>
        <v>81.350000000000009</v>
      </c>
      <c r="BJ32" t="s">
        <v>51</v>
      </c>
      <c r="BK32" t="s">
        <v>51</v>
      </c>
    </row>
    <row r="33" spans="1:72" s="111" customFormat="1" x14ac:dyDescent="0.25">
      <c r="A33" s="237" t="s">
        <v>57</v>
      </c>
      <c r="B33" s="97" t="s">
        <v>688</v>
      </c>
      <c r="C33" s="111" t="s">
        <v>49</v>
      </c>
      <c r="D33" s="97" t="s">
        <v>671</v>
      </c>
      <c r="E33" s="111">
        <v>1245</v>
      </c>
      <c r="G33" s="117">
        <v>42877</v>
      </c>
      <c r="H33" s="111" t="s">
        <v>340</v>
      </c>
      <c r="I33" s="118"/>
      <c r="J33" s="119" t="s">
        <v>402</v>
      </c>
      <c r="K33" s="120" t="s">
        <v>50</v>
      </c>
      <c r="L33" s="111">
        <v>793</v>
      </c>
      <c r="M33" s="111">
        <v>94</v>
      </c>
      <c r="N33" s="118"/>
      <c r="O33" s="111">
        <v>225</v>
      </c>
      <c r="P33" s="111">
        <v>225</v>
      </c>
      <c r="Q33" s="111">
        <v>225</v>
      </c>
      <c r="R33" s="24">
        <f t="shared" si="10"/>
        <v>225</v>
      </c>
      <c r="S33" s="111">
        <v>0</v>
      </c>
      <c r="T33" s="111">
        <v>0</v>
      </c>
      <c r="U33" s="111">
        <v>0</v>
      </c>
      <c r="V33" s="24">
        <f t="shared" si="11"/>
        <v>0</v>
      </c>
      <c r="W33" s="121">
        <v>0</v>
      </c>
      <c r="X33" s="111">
        <v>0</v>
      </c>
      <c r="Y33" s="111">
        <v>0</v>
      </c>
      <c r="Z33" s="24">
        <f t="shared" si="12"/>
        <v>0</v>
      </c>
      <c r="AA33" s="122">
        <v>45.26</v>
      </c>
      <c r="AB33" s="111">
        <v>45.23</v>
      </c>
      <c r="AC33" s="122">
        <v>45.72</v>
      </c>
      <c r="AD33" s="24">
        <f t="shared" si="13"/>
        <v>45.403333333333329</v>
      </c>
      <c r="AE33" s="122">
        <v>80.84</v>
      </c>
      <c r="AF33" s="122">
        <v>79.89</v>
      </c>
      <c r="AG33" s="122">
        <v>79.83</v>
      </c>
      <c r="AH33" s="24">
        <f t="shared" si="14"/>
        <v>80.186666666666667</v>
      </c>
      <c r="AI33" s="123">
        <v>14.76</v>
      </c>
      <c r="AJ33" s="123">
        <v>14.89</v>
      </c>
      <c r="AK33" s="123">
        <v>14.94</v>
      </c>
      <c r="AL33" s="24">
        <f t="shared" si="15"/>
        <v>14.863333333333332</v>
      </c>
      <c r="AM33" s="124">
        <v>20.13</v>
      </c>
      <c r="AN33" s="124">
        <v>20.37</v>
      </c>
      <c r="AO33" s="124">
        <v>20.57</v>
      </c>
      <c r="AP33" s="24">
        <f t="shared" si="16"/>
        <v>20.356666666666666</v>
      </c>
      <c r="AQ33" s="120"/>
      <c r="AV33" s="123"/>
      <c r="AW33" s="118"/>
      <c r="AX33" s="124">
        <v>49.83</v>
      </c>
      <c r="AY33" s="124">
        <v>49.75</v>
      </c>
      <c r="AZ33" s="124">
        <v>49.83</v>
      </c>
      <c r="BA33" s="24">
        <f t="shared" si="17"/>
        <v>49.803333333333335</v>
      </c>
      <c r="BB33" s="124">
        <v>33.36</v>
      </c>
      <c r="BC33" s="124">
        <v>33.31</v>
      </c>
      <c r="BD33" s="124">
        <v>33.14</v>
      </c>
      <c r="BE33" s="24">
        <f t="shared" si="18"/>
        <v>33.270000000000003</v>
      </c>
      <c r="BF33" s="124">
        <v>76.36</v>
      </c>
      <c r="BG33" s="124">
        <v>76.3</v>
      </c>
      <c r="BH33" s="124">
        <v>76.59</v>
      </c>
      <c r="BI33" s="24">
        <f t="shared" si="19"/>
        <v>76.416666666666671</v>
      </c>
      <c r="BJ33" s="111" t="s">
        <v>51</v>
      </c>
      <c r="BK33" s="111" t="s">
        <v>51</v>
      </c>
      <c r="BN33" s="118"/>
      <c r="BO33" s="123"/>
      <c r="BP33" s="123"/>
      <c r="BQ33" s="123"/>
      <c r="BR33" s="123"/>
      <c r="BS33" s="118"/>
    </row>
    <row r="34" spans="1:72" s="111" customFormat="1" x14ac:dyDescent="0.25">
      <c r="A34" s="237" t="s">
        <v>57</v>
      </c>
      <c r="B34" s="97" t="s">
        <v>689</v>
      </c>
      <c r="C34" s="111" t="s">
        <v>49</v>
      </c>
      <c r="D34" s="97" t="s">
        <v>671</v>
      </c>
      <c r="E34" s="111">
        <v>1227</v>
      </c>
      <c r="G34" s="117">
        <v>42877</v>
      </c>
      <c r="H34" s="111" t="s">
        <v>467</v>
      </c>
      <c r="I34" s="118"/>
      <c r="J34" s="119" t="s">
        <v>322</v>
      </c>
      <c r="K34" s="120" t="s">
        <v>50</v>
      </c>
      <c r="L34" s="111">
        <v>1723</v>
      </c>
      <c r="M34" s="111">
        <v>95</v>
      </c>
      <c r="N34" s="118"/>
      <c r="O34" s="111">
        <v>310</v>
      </c>
      <c r="P34" s="111">
        <v>310</v>
      </c>
      <c r="Q34" s="111">
        <v>311</v>
      </c>
      <c r="R34" s="24">
        <f t="shared" si="10"/>
        <v>310.33333333333331</v>
      </c>
      <c r="S34" s="111">
        <v>161</v>
      </c>
      <c r="T34" s="111">
        <v>161</v>
      </c>
      <c r="U34" s="111">
        <v>161</v>
      </c>
      <c r="V34" s="24">
        <f t="shared" si="11"/>
        <v>161</v>
      </c>
      <c r="W34" s="121">
        <v>13.6</v>
      </c>
      <c r="X34" s="111">
        <v>13.34</v>
      </c>
      <c r="Y34" s="111">
        <v>13.63</v>
      </c>
      <c r="Z34" s="24">
        <f t="shared" si="12"/>
        <v>13.523333333333333</v>
      </c>
      <c r="AA34" s="122">
        <v>55.99</v>
      </c>
      <c r="AB34" s="122">
        <v>56.01</v>
      </c>
      <c r="AC34" s="122">
        <v>56.05</v>
      </c>
      <c r="AD34" s="24">
        <f t="shared" si="13"/>
        <v>56.016666666666673</v>
      </c>
      <c r="AE34" s="122">
        <v>108.91</v>
      </c>
      <c r="AF34" s="122">
        <v>108.91</v>
      </c>
      <c r="AG34" s="122">
        <v>108.81</v>
      </c>
      <c r="AH34" s="24">
        <f t="shared" si="14"/>
        <v>108.87666666666667</v>
      </c>
      <c r="AI34" s="122">
        <v>20.12</v>
      </c>
      <c r="AJ34" s="122">
        <v>20.05</v>
      </c>
      <c r="AK34" s="122">
        <v>21</v>
      </c>
      <c r="AL34" s="24">
        <f t="shared" si="15"/>
        <v>20.39</v>
      </c>
      <c r="AM34" s="122">
        <v>30.81</v>
      </c>
      <c r="AN34" s="122">
        <v>30.08</v>
      </c>
      <c r="AO34" s="122">
        <v>31.16</v>
      </c>
      <c r="AP34" s="24">
        <f t="shared" si="16"/>
        <v>30.683333333333334</v>
      </c>
      <c r="AQ34" s="120"/>
      <c r="AV34" s="123"/>
      <c r="AW34" s="118"/>
      <c r="AX34" s="124">
        <v>68.83</v>
      </c>
      <c r="AY34" s="124">
        <v>68.77</v>
      </c>
      <c r="AZ34" s="124">
        <v>68.650000000000006</v>
      </c>
      <c r="BA34" s="24">
        <f t="shared" si="17"/>
        <v>68.75</v>
      </c>
      <c r="BB34" s="124">
        <v>37.35</v>
      </c>
      <c r="BC34" s="124">
        <v>37.159999999999997</v>
      </c>
      <c r="BD34" s="124">
        <v>37.450000000000003</v>
      </c>
      <c r="BE34" s="24">
        <f t="shared" si="18"/>
        <v>37.32</v>
      </c>
      <c r="BF34" s="124">
        <v>88.27</v>
      </c>
      <c r="BG34" s="124">
        <v>88.56</v>
      </c>
      <c r="BH34" s="124">
        <v>88.45</v>
      </c>
      <c r="BI34" s="24">
        <f t="shared" si="19"/>
        <v>88.426666666666662</v>
      </c>
      <c r="BJ34" s="111" t="s">
        <v>51</v>
      </c>
      <c r="BK34" s="111" t="s">
        <v>51</v>
      </c>
      <c r="BN34" s="118"/>
      <c r="BO34" s="123"/>
      <c r="BP34" s="123"/>
      <c r="BQ34" s="123"/>
      <c r="BR34" s="123"/>
      <c r="BS34" s="118"/>
    </row>
    <row r="35" spans="1:72" x14ac:dyDescent="0.25">
      <c r="A35" s="235" t="s">
        <v>57</v>
      </c>
      <c r="B35" t="s">
        <v>690</v>
      </c>
      <c r="C35" t="s">
        <v>207</v>
      </c>
      <c r="D35" t="s">
        <v>671</v>
      </c>
      <c r="E35">
        <v>1308</v>
      </c>
      <c r="G35" s="100">
        <v>42877</v>
      </c>
      <c r="H35" t="s">
        <v>728</v>
      </c>
      <c r="J35" s="76" t="s">
        <v>402</v>
      </c>
      <c r="K35" s="10" t="s">
        <v>50</v>
      </c>
      <c r="L35">
        <v>905</v>
      </c>
      <c r="M35">
        <v>96</v>
      </c>
      <c r="O35">
        <v>263</v>
      </c>
      <c r="P35">
        <v>262</v>
      </c>
      <c r="Q35">
        <v>263</v>
      </c>
      <c r="R35" s="24">
        <f t="shared" si="10"/>
        <v>262.66666666666669</v>
      </c>
      <c r="S35">
        <v>156</v>
      </c>
      <c r="T35">
        <v>156</v>
      </c>
      <c r="U35">
        <v>156</v>
      </c>
      <c r="V35" s="24">
        <f t="shared" si="11"/>
        <v>156</v>
      </c>
      <c r="W35" s="36">
        <v>10.32</v>
      </c>
      <c r="X35">
        <v>10.67</v>
      </c>
      <c r="Y35">
        <v>10.4</v>
      </c>
      <c r="Z35" s="24">
        <f t="shared" si="12"/>
        <v>10.463333333333333</v>
      </c>
      <c r="AA35" s="37">
        <v>47.84</v>
      </c>
      <c r="AB35" s="37">
        <v>47.75</v>
      </c>
      <c r="AC35" s="37">
        <v>47.21</v>
      </c>
      <c r="AD35" s="24">
        <f t="shared" si="13"/>
        <v>47.6</v>
      </c>
      <c r="AE35" s="37">
        <v>84.56</v>
      </c>
      <c r="AF35" s="37">
        <v>84.33</v>
      </c>
      <c r="AG35" s="37">
        <v>84.36</v>
      </c>
      <c r="AH35" s="24">
        <f t="shared" si="14"/>
        <v>84.416666666666671</v>
      </c>
      <c r="AI35" s="37">
        <v>19.13</v>
      </c>
      <c r="AJ35" s="37">
        <v>19.29</v>
      </c>
      <c r="AK35" s="37">
        <v>19.079999999999998</v>
      </c>
      <c r="AL35" s="24">
        <f t="shared" si="15"/>
        <v>19.166666666666668</v>
      </c>
      <c r="AM35" s="37">
        <v>22.86</v>
      </c>
      <c r="AN35" s="37">
        <v>22.86</v>
      </c>
      <c r="AO35" s="37">
        <v>22.03</v>
      </c>
      <c r="AP35" s="24">
        <f t="shared" si="16"/>
        <v>22.583333333333332</v>
      </c>
      <c r="AX35" s="35">
        <v>53.93</v>
      </c>
      <c r="AY35" s="35">
        <v>53.92</v>
      </c>
      <c r="AZ35" s="35">
        <v>53.56</v>
      </c>
      <c r="BA35" s="24">
        <f t="shared" si="17"/>
        <v>53.803333333333335</v>
      </c>
      <c r="BB35" s="35">
        <v>33.14</v>
      </c>
      <c r="BC35" s="35">
        <v>33.93</v>
      </c>
      <c r="BD35" s="35">
        <v>34.15</v>
      </c>
      <c r="BE35" s="24">
        <f t="shared" si="18"/>
        <v>33.74</v>
      </c>
      <c r="BF35" s="35">
        <v>77.5</v>
      </c>
      <c r="BG35" s="35">
        <v>77.69</v>
      </c>
      <c r="BH35" s="35">
        <v>77.38</v>
      </c>
      <c r="BI35" s="24">
        <f t="shared" si="19"/>
        <v>77.523333333333326</v>
      </c>
      <c r="BJ35" t="s">
        <v>52</v>
      </c>
      <c r="BK35" t="s">
        <v>51</v>
      </c>
    </row>
    <row r="36" spans="1:72" x14ac:dyDescent="0.25">
      <c r="A36" s="235" t="s">
        <v>57</v>
      </c>
      <c r="B36" t="s">
        <v>691</v>
      </c>
      <c r="C36" t="s">
        <v>49</v>
      </c>
      <c r="D36" t="s">
        <v>671</v>
      </c>
      <c r="E36">
        <v>1244</v>
      </c>
      <c r="G36" s="100">
        <v>42877</v>
      </c>
      <c r="H36" t="s">
        <v>729</v>
      </c>
      <c r="J36" s="76" t="s">
        <v>322</v>
      </c>
      <c r="K36" s="10" t="s">
        <v>50</v>
      </c>
      <c r="L36">
        <v>1515</v>
      </c>
      <c r="M36">
        <v>91</v>
      </c>
      <c r="O36">
        <v>310</v>
      </c>
      <c r="P36">
        <v>312</v>
      </c>
      <c r="Q36">
        <v>312</v>
      </c>
      <c r="R36" s="24">
        <f t="shared" si="10"/>
        <v>311.33333333333331</v>
      </c>
      <c r="S36">
        <v>175</v>
      </c>
      <c r="T36">
        <v>174</v>
      </c>
      <c r="U36">
        <v>174</v>
      </c>
      <c r="V36" s="24">
        <f t="shared" si="11"/>
        <v>174.33333333333334</v>
      </c>
      <c r="W36" s="36">
        <v>10.75</v>
      </c>
      <c r="X36">
        <v>12.53</v>
      </c>
      <c r="Y36">
        <v>12.1</v>
      </c>
      <c r="Z36" s="24">
        <f t="shared" si="12"/>
        <v>11.793333333333335</v>
      </c>
      <c r="AA36" s="37">
        <v>52.09</v>
      </c>
      <c r="AB36" s="37">
        <v>52.57</v>
      </c>
      <c r="AC36" s="37">
        <v>52.51</v>
      </c>
      <c r="AD36" s="24">
        <f t="shared" si="13"/>
        <v>52.389999999999993</v>
      </c>
      <c r="AE36" s="37">
        <v>107.35</v>
      </c>
      <c r="AF36" s="37">
        <v>107.26</v>
      </c>
      <c r="AG36" s="37">
        <v>107.13</v>
      </c>
      <c r="AH36" s="24">
        <f t="shared" si="14"/>
        <v>107.24666666666667</v>
      </c>
      <c r="AI36" s="37">
        <v>22.49</v>
      </c>
      <c r="AJ36" s="37">
        <v>22.19</v>
      </c>
      <c r="AK36" s="37">
        <v>22.71</v>
      </c>
      <c r="AL36" s="24">
        <f t="shared" si="15"/>
        <v>22.463333333333335</v>
      </c>
      <c r="AM36" s="37">
        <v>31.51</v>
      </c>
      <c r="AN36" s="37">
        <v>31.59</v>
      </c>
      <c r="AO36" s="37">
        <v>31.52</v>
      </c>
      <c r="AP36" s="24">
        <f t="shared" si="16"/>
        <v>31.540000000000003</v>
      </c>
      <c r="AX36" s="35">
        <v>69.03</v>
      </c>
      <c r="AY36" s="35">
        <v>68.94</v>
      </c>
      <c r="AZ36" s="35">
        <v>69.03</v>
      </c>
      <c r="BA36" s="24">
        <f t="shared" si="17"/>
        <v>69</v>
      </c>
      <c r="BB36" s="35">
        <v>37.409999999999997</v>
      </c>
      <c r="BC36" s="35">
        <v>37.64</v>
      </c>
      <c r="BD36" s="35">
        <v>37.659999999999997</v>
      </c>
      <c r="BE36" s="24">
        <f t="shared" si="18"/>
        <v>37.57</v>
      </c>
      <c r="BF36" s="35">
        <v>94.35</v>
      </c>
      <c r="BG36" s="35">
        <v>94.66</v>
      </c>
      <c r="BH36" s="35">
        <v>94.59</v>
      </c>
      <c r="BI36" s="24">
        <f t="shared" si="19"/>
        <v>94.533333333333346</v>
      </c>
      <c r="BJ36" t="s">
        <v>51</v>
      </c>
      <c r="BK36" t="s">
        <v>51</v>
      </c>
      <c r="BO36" s="35"/>
    </row>
    <row r="37" spans="1:72" x14ac:dyDescent="0.25">
      <c r="A37" s="237" t="s">
        <v>57</v>
      </c>
      <c r="B37" s="97" t="s">
        <v>695</v>
      </c>
      <c r="C37" t="s">
        <v>49</v>
      </c>
      <c r="D37" t="s">
        <v>671</v>
      </c>
      <c r="E37">
        <v>1242</v>
      </c>
      <c r="G37" s="100">
        <v>42878</v>
      </c>
      <c r="H37" t="s">
        <v>730</v>
      </c>
      <c r="J37" s="76" t="s">
        <v>316</v>
      </c>
      <c r="K37" s="10" t="s">
        <v>50</v>
      </c>
      <c r="L37">
        <v>1756</v>
      </c>
      <c r="M37">
        <v>94</v>
      </c>
      <c r="O37">
        <v>324</v>
      </c>
      <c r="P37">
        <v>324</v>
      </c>
      <c r="Q37">
        <v>323</v>
      </c>
      <c r="R37" s="24">
        <f t="shared" si="10"/>
        <v>323.66666666666669</v>
      </c>
      <c r="S37">
        <v>172</v>
      </c>
      <c r="T37">
        <v>172</v>
      </c>
      <c r="U37">
        <v>172</v>
      </c>
      <c r="V37" s="24">
        <f t="shared" si="11"/>
        <v>172</v>
      </c>
      <c r="W37" s="36">
        <v>11.78</v>
      </c>
      <c r="X37">
        <v>11.87</v>
      </c>
      <c r="Y37">
        <v>11.62</v>
      </c>
      <c r="Z37" s="24">
        <f t="shared" si="12"/>
        <v>11.756666666666666</v>
      </c>
      <c r="AA37" s="37">
        <v>54.83</v>
      </c>
      <c r="AB37" s="37">
        <v>54.83</v>
      </c>
      <c r="AC37" s="37">
        <v>54.65</v>
      </c>
      <c r="AD37" s="24">
        <f t="shared" si="13"/>
        <v>54.77</v>
      </c>
      <c r="AE37" s="37">
        <v>108.32</v>
      </c>
      <c r="AF37" s="37">
        <v>108.07</v>
      </c>
      <c r="AG37" s="37">
        <v>108.26</v>
      </c>
      <c r="AH37" s="24">
        <f t="shared" si="14"/>
        <v>108.21666666666665</v>
      </c>
      <c r="AI37" s="37">
        <v>22.4</v>
      </c>
      <c r="AJ37" s="37">
        <v>22.45</v>
      </c>
      <c r="AK37" s="37">
        <v>22.9</v>
      </c>
      <c r="AL37" s="24">
        <f t="shared" si="15"/>
        <v>22.583333333333332</v>
      </c>
      <c r="AM37" s="37">
        <v>29.88</v>
      </c>
      <c r="AN37" s="37">
        <v>30.66</v>
      </c>
      <c r="AO37" s="37">
        <v>30.27</v>
      </c>
      <c r="AP37" s="24">
        <f t="shared" si="16"/>
        <v>30.27</v>
      </c>
      <c r="AX37" s="35">
        <v>64.53</v>
      </c>
      <c r="AY37" s="35">
        <v>64.650000000000006</v>
      </c>
      <c r="AZ37" s="35">
        <v>64.22</v>
      </c>
      <c r="BA37" s="24">
        <f t="shared" si="17"/>
        <v>64.466666666666669</v>
      </c>
      <c r="BB37" s="35">
        <v>41.17</v>
      </c>
      <c r="BC37" s="35">
        <v>40.86</v>
      </c>
      <c r="BD37" s="35">
        <v>40.92</v>
      </c>
      <c r="BE37" s="24">
        <f t="shared" si="18"/>
        <v>40.983333333333334</v>
      </c>
      <c r="BF37" s="35">
        <v>86.79</v>
      </c>
      <c r="BG37" s="35">
        <v>87.02</v>
      </c>
      <c r="BH37" s="35">
        <v>86.87</v>
      </c>
      <c r="BI37" s="24">
        <f t="shared" si="19"/>
        <v>86.893333333333331</v>
      </c>
      <c r="BJ37" t="s">
        <v>51</v>
      </c>
      <c r="BK37" t="s">
        <v>51</v>
      </c>
      <c r="BT37" t="s">
        <v>694</v>
      </c>
    </row>
    <row r="38" spans="1:72" x14ac:dyDescent="0.25">
      <c r="A38" s="237" t="s">
        <v>57</v>
      </c>
      <c r="B38" s="97" t="s">
        <v>696</v>
      </c>
      <c r="C38" t="s">
        <v>49</v>
      </c>
      <c r="D38" t="s">
        <v>671</v>
      </c>
      <c r="E38">
        <v>1241</v>
      </c>
      <c r="G38" s="100">
        <v>42878</v>
      </c>
      <c r="H38" t="s">
        <v>464</v>
      </c>
      <c r="J38" s="76" t="s">
        <v>320</v>
      </c>
      <c r="K38" s="10" t="s">
        <v>50</v>
      </c>
      <c r="L38">
        <v>1361</v>
      </c>
      <c r="M38">
        <v>91</v>
      </c>
      <c r="O38">
        <v>302</v>
      </c>
      <c r="P38">
        <v>302</v>
      </c>
      <c r="Q38">
        <v>301</v>
      </c>
      <c r="R38" s="24">
        <f t="shared" si="10"/>
        <v>301.66666666666669</v>
      </c>
      <c r="S38">
        <v>121</v>
      </c>
      <c r="T38">
        <v>121</v>
      </c>
      <c r="U38">
        <v>122</v>
      </c>
      <c r="V38" s="24">
        <f t="shared" si="11"/>
        <v>121.33333333333333</v>
      </c>
      <c r="W38" s="36">
        <v>12.74</v>
      </c>
      <c r="X38">
        <v>13</v>
      </c>
      <c r="Y38">
        <v>13.01</v>
      </c>
      <c r="Z38" s="24">
        <f t="shared" si="12"/>
        <v>12.916666666666666</v>
      </c>
      <c r="AA38" s="37">
        <v>53.19</v>
      </c>
      <c r="AB38" s="37">
        <v>53.24</v>
      </c>
      <c r="AC38" s="37">
        <v>53.21</v>
      </c>
      <c r="AD38" s="24">
        <f t="shared" si="13"/>
        <v>53.213333333333338</v>
      </c>
      <c r="AE38" s="37">
        <v>100.45</v>
      </c>
      <c r="AF38" s="37">
        <v>100.52</v>
      </c>
      <c r="AG38" s="37">
        <v>100.29</v>
      </c>
      <c r="AH38" s="24">
        <f t="shared" si="14"/>
        <v>100.42</v>
      </c>
      <c r="AI38" s="37">
        <v>20.29</v>
      </c>
      <c r="AJ38" s="37">
        <v>19.690000000000001</v>
      </c>
      <c r="AK38" s="37">
        <v>20.84</v>
      </c>
      <c r="AL38" s="24">
        <f t="shared" si="15"/>
        <v>20.273333333333337</v>
      </c>
      <c r="AM38" s="37">
        <v>26.35</v>
      </c>
      <c r="AN38" s="37">
        <v>26.87</v>
      </c>
      <c r="AO38" s="37">
        <v>26.74</v>
      </c>
      <c r="AP38" s="24">
        <f t="shared" si="16"/>
        <v>26.653333333333332</v>
      </c>
      <c r="AX38" s="35">
        <v>63.75</v>
      </c>
      <c r="AY38" s="35">
        <v>63.87</v>
      </c>
      <c r="AZ38" s="35">
        <v>63.89</v>
      </c>
      <c r="BA38" s="24">
        <f t="shared" si="17"/>
        <v>63.836666666666666</v>
      </c>
      <c r="BB38" s="35">
        <v>37.880000000000003</v>
      </c>
      <c r="BC38" s="35">
        <v>38.130000000000003</v>
      </c>
      <c r="BD38" s="35">
        <v>37.799999999999997</v>
      </c>
      <c r="BE38" s="24">
        <f t="shared" si="18"/>
        <v>37.936666666666667</v>
      </c>
      <c r="BF38" s="35">
        <v>92.03</v>
      </c>
      <c r="BG38" s="35">
        <v>91.98</v>
      </c>
      <c r="BH38" s="35">
        <v>91.92</v>
      </c>
      <c r="BI38" s="24">
        <f t="shared" si="19"/>
        <v>91.976666666666674</v>
      </c>
      <c r="BJ38" t="s">
        <v>51</v>
      </c>
      <c r="BK38" t="s">
        <v>51</v>
      </c>
    </row>
    <row r="39" spans="1:72" x14ac:dyDescent="0.25">
      <c r="A39" s="237" t="s">
        <v>57</v>
      </c>
      <c r="B39" s="97" t="s">
        <v>463</v>
      </c>
      <c r="C39" t="s">
        <v>207</v>
      </c>
      <c r="D39" t="s">
        <v>671</v>
      </c>
      <c r="E39">
        <v>1045</v>
      </c>
      <c r="G39" s="100">
        <v>42878</v>
      </c>
      <c r="H39" t="s">
        <v>317</v>
      </c>
      <c r="J39" s="76" t="s">
        <v>316</v>
      </c>
      <c r="K39" s="10" t="s">
        <v>50</v>
      </c>
      <c r="L39">
        <v>1857</v>
      </c>
      <c r="M39">
        <v>94</v>
      </c>
      <c r="O39">
        <v>328</v>
      </c>
      <c r="P39">
        <v>327</v>
      </c>
      <c r="Q39">
        <v>328</v>
      </c>
      <c r="R39" s="24">
        <f t="shared" si="10"/>
        <v>327.66666666666669</v>
      </c>
      <c r="S39">
        <v>186</v>
      </c>
      <c r="T39">
        <v>185</v>
      </c>
      <c r="U39">
        <v>185</v>
      </c>
      <c r="V39" s="24">
        <f t="shared" si="11"/>
        <v>185.33333333333334</v>
      </c>
      <c r="W39" s="36">
        <v>13.71</v>
      </c>
      <c r="X39">
        <v>13.52</v>
      </c>
      <c r="Y39">
        <v>13.6</v>
      </c>
      <c r="Z39" s="24">
        <f t="shared" si="12"/>
        <v>13.61</v>
      </c>
      <c r="AA39" s="37">
        <v>53.83</v>
      </c>
      <c r="AB39" s="37">
        <v>53.74</v>
      </c>
      <c r="AC39" s="37">
        <v>53.82</v>
      </c>
      <c r="AD39" s="24">
        <f t="shared" si="13"/>
        <v>53.79666666666666</v>
      </c>
      <c r="AE39" s="37">
        <v>106.58</v>
      </c>
      <c r="AF39" s="37">
        <v>106.2</v>
      </c>
      <c r="AG39" s="37">
        <v>106.22</v>
      </c>
      <c r="AH39" s="24">
        <f t="shared" si="14"/>
        <v>106.33333333333333</v>
      </c>
      <c r="AI39" s="37">
        <v>25.68</v>
      </c>
      <c r="AJ39" s="37">
        <v>25.67</v>
      </c>
      <c r="AK39" s="37">
        <v>24.47</v>
      </c>
      <c r="AL39" s="24">
        <f t="shared" si="15"/>
        <v>25.27333333333333</v>
      </c>
      <c r="AM39" s="37">
        <v>30.61</v>
      </c>
      <c r="AN39" s="37">
        <v>30.82</v>
      </c>
      <c r="AO39" s="37">
        <v>30.11</v>
      </c>
      <c r="AP39" s="24">
        <f t="shared" si="16"/>
        <v>30.513333333333332</v>
      </c>
      <c r="AX39" s="35">
        <v>67.28</v>
      </c>
      <c r="AY39" s="35">
        <v>67.8</v>
      </c>
      <c r="AZ39" s="35">
        <v>67.709999999999994</v>
      </c>
      <c r="BA39" s="24">
        <f t="shared" si="17"/>
        <v>67.59666666666665</v>
      </c>
      <c r="BB39" s="35">
        <v>41.51</v>
      </c>
      <c r="BC39" s="35">
        <v>41.04</v>
      </c>
      <c r="BD39" s="35">
        <v>41.8</v>
      </c>
      <c r="BE39" s="24">
        <f t="shared" si="18"/>
        <v>41.449999999999996</v>
      </c>
      <c r="BF39" s="35">
        <v>95.65</v>
      </c>
      <c r="BG39" s="35">
        <v>95.74</v>
      </c>
      <c r="BH39" s="35">
        <v>95.77</v>
      </c>
      <c r="BI39" s="24">
        <f t="shared" si="19"/>
        <v>95.719999999999985</v>
      </c>
      <c r="BJ39" t="s">
        <v>51</v>
      </c>
      <c r="BK39" t="s">
        <v>51</v>
      </c>
      <c r="BO39" s="35"/>
    </row>
    <row r="40" spans="1:72" x14ac:dyDescent="0.25">
      <c r="A40" s="237" t="s">
        <v>57</v>
      </c>
      <c r="B40" s="97" t="s">
        <v>319</v>
      </c>
      <c r="C40" t="s">
        <v>207</v>
      </c>
      <c r="D40" t="s">
        <v>671</v>
      </c>
      <c r="E40" t="s">
        <v>700</v>
      </c>
      <c r="G40" s="100">
        <v>42880</v>
      </c>
      <c r="H40" t="s">
        <v>698</v>
      </c>
      <c r="J40" s="76" t="s">
        <v>316</v>
      </c>
      <c r="K40" s="10" t="s">
        <v>50</v>
      </c>
      <c r="L40">
        <v>1847</v>
      </c>
      <c r="M40">
        <v>94</v>
      </c>
      <c r="O40">
        <v>318</v>
      </c>
      <c r="P40">
        <v>318</v>
      </c>
      <c r="Q40">
        <v>318</v>
      </c>
      <c r="R40" s="24">
        <f t="shared" si="10"/>
        <v>318</v>
      </c>
      <c r="S40">
        <v>172</v>
      </c>
      <c r="T40">
        <v>172</v>
      </c>
      <c r="U40">
        <v>172</v>
      </c>
      <c r="V40" s="24">
        <f t="shared" si="11"/>
        <v>172</v>
      </c>
      <c r="W40" s="36">
        <v>14.11</v>
      </c>
      <c r="X40">
        <v>14.22</v>
      </c>
      <c r="Y40">
        <v>13.97</v>
      </c>
      <c r="Z40" s="24">
        <f t="shared" si="12"/>
        <v>14.1</v>
      </c>
      <c r="AA40" s="37">
        <v>55.21</v>
      </c>
      <c r="AB40" s="37">
        <v>55.23</v>
      </c>
      <c r="AC40" s="37">
        <v>55.27</v>
      </c>
      <c r="AD40" s="24">
        <f t="shared" si="13"/>
        <v>55.236666666666672</v>
      </c>
      <c r="AE40" s="37">
        <v>106.27</v>
      </c>
      <c r="AF40" s="37">
        <v>106.7</v>
      </c>
      <c r="AG40" s="37">
        <v>106.45</v>
      </c>
      <c r="AH40" s="24">
        <f t="shared" si="14"/>
        <v>106.47333333333334</v>
      </c>
      <c r="AI40" s="37">
        <v>24.44</v>
      </c>
      <c r="AJ40" s="37">
        <v>24.43</v>
      </c>
      <c r="AK40" s="37">
        <v>24.51</v>
      </c>
      <c r="AL40" s="24">
        <f t="shared" si="15"/>
        <v>24.460000000000004</v>
      </c>
      <c r="AM40" s="37">
        <v>31.75</v>
      </c>
      <c r="AN40" s="37">
        <v>31.56</v>
      </c>
      <c r="AO40" s="37">
        <v>31.38</v>
      </c>
      <c r="AP40" s="24">
        <f t="shared" si="16"/>
        <v>31.563333333333333</v>
      </c>
      <c r="AX40" s="35">
        <v>69.97</v>
      </c>
      <c r="AY40" s="35">
        <v>69.41</v>
      </c>
      <c r="AZ40" s="35">
        <v>69.5</v>
      </c>
      <c r="BA40" s="24">
        <f t="shared" si="17"/>
        <v>69.626666666666665</v>
      </c>
      <c r="BB40" s="35">
        <v>43.02</v>
      </c>
      <c r="BC40" s="35">
        <v>42.85</v>
      </c>
      <c r="BD40" s="35">
        <v>42.91</v>
      </c>
      <c r="BE40" s="24">
        <f t="shared" si="18"/>
        <v>42.926666666666669</v>
      </c>
      <c r="BF40" s="35">
        <v>96.47</v>
      </c>
      <c r="BG40" s="35">
        <v>96.59</v>
      </c>
      <c r="BH40" s="35">
        <v>96.66</v>
      </c>
      <c r="BI40" s="24">
        <f t="shared" si="19"/>
        <v>96.573333333333338</v>
      </c>
      <c r="BJ40" t="s">
        <v>51</v>
      </c>
      <c r="BK40" t="s">
        <v>51</v>
      </c>
      <c r="BT40" t="s">
        <v>699</v>
      </c>
    </row>
    <row r="41" spans="1:72" x14ac:dyDescent="0.25">
      <c r="A41" s="237" t="s">
        <v>57</v>
      </c>
      <c r="B41" s="97" t="s">
        <v>490</v>
      </c>
      <c r="C41" t="s">
        <v>207</v>
      </c>
      <c r="D41" t="s">
        <v>671</v>
      </c>
      <c r="E41">
        <v>1050</v>
      </c>
      <c r="G41" s="100">
        <v>42881</v>
      </c>
      <c r="H41" t="s">
        <v>707</v>
      </c>
      <c r="J41" s="76" t="s">
        <v>320</v>
      </c>
      <c r="K41" s="10" t="s">
        <v>50</v>
      </c>
      <c r="L41">
        <v>1344</v>
      </c>
      <c r="M41">
        <v>94</v>
      </c>
      <c r="O41">
        <v>295</v>
      </c>
      <c r="P41">
        <v>295</v>
      </c>
      <c r="Q41">
        <v>295</v>
      </c>
      <c r="R41" s="24">
        <f t="shared" si="10"/>
        <v>295</v>
      </c>
      <c r="S41">
        <v>166</v>
      </c>
      <c r="T41">
        <v>166</v>
      </c>
      <c r="U41">
        <v>166</v>
      </c>
      <c r="V41" s="24">
        <f t="shared" si="11"/>
        <v>166</v>
      </c>
      <c r="W41" s="36">
        <v>12.87</v>
      </c>
      <c r="X41">
        <v>13.12</v>
      </c>
      <c r="Y41">
        <v>13.1</v>
      </c>
      <c r="Z41" s="24">
        <f t="shared" si="12"/>
        <v>13.03</v>
      </c>
      <c r="AA41" s="37">
        <v>52.11</v>
      </c>
      <c r="AB41" s="37">
        <v>52.15</v>
      </c>
      <c r="AC41" s="37">
        <v>52.33</v>
      </c>
      <c r="AD41" s="24">
        <f t="shared" si="13"/>
        <v>52.196666666666658</v>
      </c>
      <c r="AE41" s="37">
        <v>98.64</v>
      </c>
      <c r="AF41" s="37">
        <v>98.54</v>
      </c>
      <c r="AG41" s="37">
        <v>98.25</v>
      </c>
      <c r="AH41" s="24">
        <f t="shared" si="14"/>
        <v>98.476666666666674</v>
      </c>
      <c r="AI41" s="37">
        <v>22.78</v>
      </c>
      <c r="AJ41" s="37">
        <v>22.22</v>
      </c>
      <c r="AK41" s="37">
        <v>22.35</v>
      </c>
      <c r="AL41" s="24">
        <f t="shared" si="15"/>
        <v>22.45</v>
      </c>
      <c r="AM41" s="37">
        <v>30.79</v>
      </c>
      <c r="AN41" s="37">
        <v>30.68</v>
      </c>
      <c r="AO41" s="37">
        <v>30.05</v>
      </c>
      <c r="AP41" s="24">
        <f t="shared" si="16"/>
        <v>30.506666666666664</v>
      </c>
      <c r="AX41" s="35">
        <v>64.38</v>
      </c>
      <c r="AY41" s="35">
        <v>64.099999999999994</v>
      </c>
      <c r="AZ41" s="35">
        <v>64.14</v>
      </c>
      <c r="BA41" s="24">
        <f t="shared" si="17"/>
        <v>64.206666666666663</v>
      </c>
      <c r="BB41" s="35">
        <v>36.39</v>
      </c>
      <c r="BC41" s="35">
        <v>36.869999999999997</v>
      </c>
      <c r="BD41" s="35">
        <v>36.25</v>
      </c>
      <c r="BE41" s="24">
        <f t="shared" si="18"/>
        <v>36.50333333333333</v>
      </c>
      <c r="BF41" s="35">
        <v>85.69</v>
      </c>
      <c r="BG41" s="35">
        <v>86.03</v>
      </c>
      <c r="BH41" s="35">
        <v>86.23</v>
      </c>
      <c r="BI41" s="24">
        <f t="shared" si="19"/>
        <v>85.983333333333334</v>
      </c>
      <c r="BJ41" t="s">
        <v>52</v>
      </c>
      <c r="BK41" t="s">
        <v>51</v>
      </c>
    </row>
    <row r="42" spans="1:72" x14ac:dyDescent="0.25">
      <c r="A42" s="237" t="s">
        <v>57</v>
      </c>
      <c r="B42" s="97" t="s">
        <v>697</v>
      </c>
      <c r="C42" t="s">
        <v>49</v>
      </c>
      <c r="D42" t="s">
        <v>671</v>
      </c>
      <c r="E42">
        <v>1236</v>
      </c>
      <c r="G42" s="100">
        <v>42881</v>
      </c>
      <c r="H42" t="s">
        <v>708</v>
      </c>
      <c r="J42" s="76" t="s">
        <v>322</v>
      </c>
      <c r="K42" s="10" t="s">
        <v>50</v>
      </c>
      <c r="L42">
        <v>1764</v>
      </c>
      <c r="M42">
        <v>93</v>
      </c>
      <c r="O42">
        <v>333</v>
      </c>
      <c r="P42">
        <v>332</v>
      </c>
      <c r="Q42">
        <v>332</v>
      </c>
      <c r="R42" s="24">
        <f t="shared" si="10"/>
        <v>332.33333333333331</v>
      </c>
      <c r="S42">
        <v>154</v>
      </c>
      <c r="T42">
        <v>154</v>
      </c>
      <c r="U42">
        <v>154</v>
      </c>
      <c r="V42" s="24">
        <f t="shared" si="11"/>
        <v>154</v>
      </c>
      <c r="W42" s="36">
        <v>13.43</v>
      </c>
      <c r="X42">
        <v>13.93</v>
      </c>
      <c r="Y42">
        <v>13.48</v>
      </c>
      <c r="Z42" s="24">
        <f t="shared" si="12"/>
        <v>13.613333333333335</v>
      </c>
      <c r="AA42" s="37">
        <v>55.53</v>
      </c>
      <c r="AB42" s="37">
        <v>55.52</v>
      </c>
      <c r="AC42" s="37">
        <v>55.58</v>
      </c>
      <c r="AD42" s="24">
        <f t="shared" si="13"/>
        <v>55.543333333333329</v>
      </c>
      <c r="AE42" s="37">
        <v>104.68</v>
      </c>
      <c r="AF42" s="37">
        <v>104.39</v>
      </c>
      <c r="AG42" s="37">
        <v>104.35</v>
      </c>
      <c r="AH42" s="24">
        <f t="shared" si="14"/>
        <v>104.47333333333331</v>
      </c>
      <c r="AI42" s="37">
        <v>22.43</v>
      </c>
      <c r="AJ42" s="37">
        <v>22.92</v>
      </c>
      <c r="AK42" s="37">
        <v>22.15</v>
      </c>
      <c r="AL42" s="24">
        <f t="shared" si="15"/>
        <v>22.5</v>
      </c>
      <c r="AM42" s="37">
        <v>29.73</v>
      </c>
      <c r="AN42" s="37">
        <v>29.16</v>
      </c>
      <c r="AO42" s="37">
        <v>29.72</v>
      </c>
      <c r="AP42" s="24">
        <f t="shared" si="16"/>
        <v>29.536666666666665</v>
      </c>
      <c r="AX42" s="35">
        <v>65.66</v>
      </c>
      <c r="AY42" s="35">
        <v>65.3</v>
      </c>
      <c r="AZ42" s="35">
        <v>65.63</v>
      </c>
      <c r="BA42" s="24">
        <f t="shared" si="17"/>
        <v>65.529999999999987</v>
      </c>
      <c r="BB42" s="35">
        <v>37.56</v>
      </c>
      <c r="BC42" s="35">
        <v>37.54</v>
      </c>
      <c r="BD42" s="35">
        <v>37.14</v>
      </c>
      <c r="BE42" s="24">
        <f t="shared" si="18"/>
        <v>37.413333333333334</v>
      </c>
      <c r="BF42" s="35">
        <v>92.56</v>
      </c>
      <c r="BG42" s="35">
        <v>92.24</v>
      </c>
      <c r="BH42" s="35">
        <v>92.74</v>
      </c>
      <c r="BI42" s="24">
        <f t="shared" si="19"/>
        <v>92.513333333333335</v>
      </c>
      <c r="BJ42" t="s">
        <v>51</v>
      </c>
      <c r="BK42" t="s">
        <v>51</v>
      </c>
    </row>
    <row r="43" spans="1:72" x14ac:dyDescent="0.25">
      <c r="A43" s="237" t="s">
        <v>57</v>
      </c>
      <c r="B43" s="97" t="s">
        <v>710</v>
      </c>
      <c r="C43" t="s">
        <v>49</v>
      </c>
      <c r="D43" t="s">
        <v>671</v>
      </c>
      <c r="E43">
        <v>1237</v>
      </c>
      <c r="G43" s="100">
        <v>42881</v>
      </c>
      <c r="H43" t="s">
        <v>709</v>
      </c>
      <c r="J43" s="76" t="s">
        <v>402</v>
      </c>
      <c r="K43" s="10" t="s">
        <v>64</v>
      </c>
      <c r="L43">
        <v>368</v>
      </c>
      <c r="M43">
        <v>95</v>
      </c>
      <c r="O43">
        <v>150</v>
      </c>
      <c r="P43">
        <v>150</v>
      </c>
      <c r="Q43">
        <v>150</v>
      </c>
      <c r="R43" s="24">
        <f t="shared" si="10"/>
        <v>150</v>
      </c>
      <c r="S43">
        <v>101</v>
      </c>
      <c r="T43">
        <v>101</v>
      </c>
      <c r="U43">
        <v>101</v>
      </c>
      <c r="V43" s="24">
        <f t="shared" si="11"/>
        <v>101</v>
      </c>
      <c r="W43" s="36">
        <v>6.43</v>
      </c>
      <c r="X43">
        <v>6.72</v>
      </c>
      <c r="Y43">
        <v>6.34</v>
      </c>
      <c r="Z43" s="24">
        <f t="shared" si="12"/>
        <v>6.4966666666666661</v>
      </c>
      <c r="AA43" s="37">
        <v>33.020000000000003</v>
      </c>
      <c r="AB43" s="37">
        <v>33.72</v>
      </c>
      <c r="AC43" s="37">
        <v>33.29</v>
      </c>
      <c r="AD43" s="24">
        <f t="shared" si="13"/>
        <v>33.343333333333334</v>
      </c>
      <c r="AE43" s="37">
        <v>56.7</v>
      </c>
      <c r="AF43" s="37">
        <v>56.32</v>
      </c>
      <c r="AG43" s="37">
        <v>56.57</v>
      </c>
      <c r="AH43" s="24">
        <f t="shared" si="14"/>
        <v>56.53</v>
      </c>
      <c r="AR43" t="s">
        <v>654</v>
      </c>
      <c r="AS43">
        <v>8</v>
      </c>
      <c r="AT43">
        <v>0</v>
      </c>
      <c r="AX43" s="35">
        <v>36.159999999999997</v>
      </c>
      <c r="AY43" s="35">
        <v>36.04</v>
      </c>
      <c r="AZ43" s="35">
        <v>36.119999999999997</v>
      </c>
      <c r="BA43" s="24">
        <f t="shared" si="17"/>
        <v>36.106666666666662</v>
      </c>
      <c r="BB43" s="35">
        <v>26.84</v>
      </c>
      <c r="BC43" s="35">
        <v>26.27</v>
      </c>
      <c r="BD43" s="35">
        <v>26.5</v>
      </c>
      <c r="BE43" s="24">
        <f t="shared" si="18"/>
        <v>26.536666666666665</v>
      </c>
      <c r="BF43" s="35">
        <v>61.07</v>
      </c>
      <c r="BG43" s="35">
        <v>60.82</v>
      </c>
      <c r="BH43" s="35">
        <v>61.03</v>
      </c>
      <c r="BI43" s="24">
        <f t="shared" si="19"/>
        <v>60.973333333333336</v>
      </c>
      <c r="BJ43" t="s">
        <v>51</v>
      </c>
      <c r="BK43" t="s">
        <v>51</v>
      </c>
    </row>
    <row r="44" spans="1:72" x14ac:dyDescent="0.25">
      <c r="A44" s="237" t="s">
        <v>57</v>
      </c>
      <c r="B44" s="97" t="s">
        <v>721</v>
      </c>
      <c r="C44" t="s">
        <v>49</v>
      </c>
      <c r="D44" t="s">
        <v>671</v>
      </c>
      <c r="E44">
        <v>1235</v>
      </c>
      <c r="G44" s="100">
        <v>42882</v>
      </c>
      <c r="H44" t="s">
        <v>711</v>
      </c>
      <c r="J44" s="76" t="s">
        <v>320</v>
      </c>
      <c r="K44" s="10" t="s">
        <v>50</v>
      </c>
      <c r="L44">
        <v>892</v>
      </c>
      <c r="M44">
        <v>95</v>
      </c>
      <c r="O44">
        <v>243</v>
      </c>
      <c r="P44">
        <v>243</v>
      </c>
      <c r="Q44">
        <v>243</v>
      </c>
      <c r="R44" s="24">
        <f t="shared" si="10"/>
        <v>243</v>
      </c>
      <c r="S44">
        <v>154</v>
      </c>
      <c r="T44">
        <v>155</v>
      </c>
      <c r="U44">
        <v>155</v>
      </c>
      <c r="V44" s="24">
        <f t="shared" si="11"/>
        <v>154.66666666666666</v>
      </c>
      <c r="W44" s="36">
        <v>10.199999999999999</v>
      </c>
      <c r="X44">
        <v>10.24</v>
      </c>
      <c r="Y44">
        <v>10.11</v>
      </c>
      <c r="Z44" s="24">
        <f t="shared" si="12"/>
        <v>10.183333333333332</v>
      </c>
      <c r="AA44" s="37">
        <v>47.44</v>
      </c>
      <c r="AB44" s="37">
        <v>47.45</v>
      </c>
      <c r="AC44" s="37">
        <v>47.37</v>
      </c>
      <c r="AD44" s="24">
        <f t="shared" si="13"/>
        <v>47.419999999999995</v>
      </c>
      <c r="AE44" s="37">
        <v>84.43</v>
      </c>
      <c r="AF44" s="37">
        <v>84.45</v>
      </c>
      <c r="AG44" s="37">
        <v>84.63</v>
      </c>
      <c r="AH44" s="24">
        <f t="shared" si="14"/>
        <v>84.50333333333333</v>
      </c>
      <c r="AI44" s="37">
        <v>18.88</v>
      </c>
      <c r="AJ44" s="37">
        <v>17.89</v>
      </c>
      <c r="AK44" s="37">
        <v>18</v>
      </c>
      <c r="AL44" s="24">
        <f>AVERAGE(AI44:AK44)</f>
        <v>18.256666666666664</v>
      </c>
      <c r="AM44" s="37">
        <v>26.76</v>
      </c>
      <c r="AN44" s="37">
        <v>26.17</v>
      </c>
      <c r="AO44" s="37">
        <v>26.79</v>
      </c>
      <c r="AP44" s="24">
        <f>AVERAGE(AM44:AO44)</f>
        <v>26.573333333333334</v>
      </c>
      <c r="AX44" s="35">
        <v>52.83</v>
      </c>
      <c r="AY44" s="35">
        <v>52.89</v>
      </c>
      <c r="AZ44" s="35">
        <v>52.93</v>
      </c>
      <c r="BA44" s="24">
        <f t="shared" si="17"/>
        <v>52.883333333333333</v>
      </c>
      <c r="BB44" s="35">
        <v>33.6</v>
      </c>
      <c r="BC44" s="35">
        <v>33.340000000000003</v>
      </c>
      <c r="BD44" s="35">
        <v>33.11</v>
      </c>
      <c r="BE44" s="24">
        <f t="shared" si="18"/>
        <v>33.35</v>
      </c>
      <c r="BF44" s="35">
        <v>78.260000000000005</v>
      </c>
      <c r="BG44" s="35">
        <v>78.73</v>
      </c>
      <c r="BH44" s="35">
        <v>78.63</v>
      </c>
      <c r="BI44" s="24">
        <f t="shared" si="19"/>
        <v>78.540000000000006</v>
      </c>
      <c r="BJ44" t="s">
        <v>51</v>
      </c>
      <c r="BK44" t="s">
        <v>51</v>
      </c>
      <c r="BO44" s="35"/>
    </row>
    <row r="45" spans="1:72" x14ac:dyDescent="0.25">
      <c r="A45" s="237" t="s">
        <v>57</v>
      </c>
      <c r="B45" s="97" t="s">
        <v>716</v>
      </c>
      <c r="C45" t="s">
        <v>49</v>
      </c>
      <c r="D45" t="s">
        <v>671</v>
      </c>
      <c r="E45">
        <v>1234</v>
      </c>
      <c r="G45" s="100">
        <v>42883</v>
      </c>
      <c r="H45" t="s">
        <v>717</v>
      </c>
      <c r="J45" s="76" t="s">
        <v>322</v>
      </c>
      <c r="K45" s="10" t="s">
        <v>50</v>
      </c>
      <c r="L45">
        <v>1545</v>
      </c>
      <c r="M45">
        <v>95</v>
      </c>
      <c r="O45">
        <v>336</v>
      </c>
      <c r="P45">
        <v>337</v>
      </c>
      <c r="Q45">
        <v>337</v>
      </c>
      <c r="R45" s="24">
        <f t="shared" si="10"/>
        <v>336.66666666666669</v>
      </c>
      <c r="S45">
        <v>155</v>
      </c>
      <c r="T45">
        <v>155</v>
      </c>
      <c r="U45">
        <v>155</v>
      </c>
      <c r="V45" s="24">
        <f t="shared" si="11"/>
        <v>155</v>
      </c>
      <c r="W45" s="36">
        <v>14.06</v>
      </c>
      <c r="X45">
        <v>13.63</v>
      </c>
      <c r="Y45">
        <v>13.97</v>
      </c>
      <c r="Z45" s="24">
        <f t="shared" si="12"/>
        <v>13.886666666666668</v>
      </c>
      <c r="AA45" s="37">
        <v>54.78</v>
      </c>
      <c r="AB45" s="37">
        <v>55.05</v>
      </c>
      <c r="AC45" s="37">
        <v>55.87</v>
      </c>
      <c r="AD45" s="24">
        <f t="shared" si="13"/>
        <v>55.233333333333327</v>
      </c>
      <c r="AE45" s="37">
        <v>104.18</v>
      </c>
      <c r="AF45" s="37">
        <v>103.98</v>
      </c>
      <c r="AG45" s="37">
        <v>133.88</v>
      </c>
      <c r="AH45" s="24">
        <f t="shared" si="14"/>
        <v>114.01333333333334</v>
      </c>
      <c r="AI45" s="37">
        <v>23.51</v>
      </c>
      <c r="AJ45" s="37">
        <v>23.33</v>
      </c>
      <c r="AK45" s="37">
        <v>23.22</v>
      </c>
      <c r="AL45" s="24">
        <f>AVERAGE(AI45:AK45)</f>
        <v>23.353333333333335</v>
      </c>
      <c r="AM45" s="37">
        <v>30.74</v>
      </c>
      <c r="AN45" s="37">
        <v>31.14</v>
      </c>
      <c r="AO45" s="37">
        <v>31.44</v>
      </c>
      <c r="AP45" s="24">
        <f>AVERAGE(AM45:AO45)</f>
        <v>31.106666666666666</v>
      </c>
      <c r="AX45" s="35">
        <v>68.83</v>
      </c>
      <c r="AY45" s="35">
        <v>68.239999999999995</v>
      </c>
      <c r="AZ45" s="35">
        <v>68.3</v>
      </c>
      <c r="BA45" s="24">
        <f t="shared" si="17"/>
        <v>68.456666666666663</v>
      </c>
      <c r="BB45" s="35">
        <v>38.78</v>
      </c>
      <c r="BC45" s="35">
        <v>39.090000000000003</v>
      </c>
      <c r="BD45" s="35">
        <v>38.78</v>
      </c>
      <c r="BE45" s="24">
        <f t="shared" si="18"/>
        <v>38.883333333333333</v>
      </c>
      <c r="BF45" s="35">
        <v>91.27</v>
      </c>
      <c r="BG45" s="35">
        <v>91.53</v>
      </c>
      <c r="BH45" s="35">
        <v>91.03</v>
      </c>
      <c r="BI45" s="24">
        <f t="shared" si="19"/>
        <v>91.276666666666685</v>
      </c>
      <c r="BJ45" t="s">
        <v>51</v>
      </c>
      <c r="BK45" t="s">
        <v>51</v>
      </c>
      <c r="BO45" s="35"/>
    </row>
    <row r="46" spans="1:72" x14ac:dyDescent="0.25">
      <c r="A46" s="237" t="s">
        <v>57</v>
      </c>
      <c r="B46" s="97" t="s">
        <v>718</v>
      </c>
      <c r="C46" t="s">
        <v>49</v>
      </c>
      <c r="D46" t="s">
        <v>671</v>
      </c>
      <c r="E46">
        <v>1233</v>
      </c>
      <c r="G46" s="100">
        <v>42883</v>
      </c>
      <c r="H46" t="s">
        <v>719</v>
      </c>
      <c r="J46" s="76" t="s">
        <v>322</v>
      </c>
      <c r="K46" s="10" t="s">
        <v>64</v>
      </c>
      <c r="L46">
        <v>1013</v>
      </c>
      <c r="M46">
        <v>94</v>
      </c>
      <c r="O46">
        <v>258</v>
      </c>
      <c r="P46">
        <v>257</v>
      </c>
      <c r="Q46">
        <v>257</v>
      </c>
      <c r="R46" s="24">
        <f t="shared" si="10"/>
        <v>257.33333333333331</v>
      </c>
      <c r="S46">
        <v>143</v>
      </c>
      <c r="T46">
        <v>143</v>
      </c>
      <c r="U46">
        <v>143</v>
      </c>
      <c r="V46" s="24">
        <f t="shared" si="11"/>
        <v>143</v>
      </c>
      <c r="W46" s="36">
        <v>10.78</v>
      </c>
      <c r="X46">
        <v>10.82</v>
      </c>
      <c r="Y46">
        <v>10.86</v>
      </c>
      <c r="Z46" s="24">
        <f t="shared" si="12"/>
        <v>10.82</v>
      </c>
      <c r="AA46" s="37">
        <v>54.71</v>
      </c>
      <c r="AB46" s="37">
        <v>54.93</v>
      </c>
      <c r="AC46" s="37">
        <v>54.87</v>
      </c>
      <c r="AD46" s="24">
        <f t="shared" si="13"/>
        <v>54.836666666666666</v>
      </c>
      <c r="AE46" s="37">
        <v>84.55</v>
      </c>
      <c r="AF46" s="37">
        <v>84.4</v>
      </c>
      <c r="AG46" s="37">
        <v>84.2</v>
      </c>
      <c r="AH46" s="24">
        <f t="shared" si="14"/>
        <v>84.383333333333326</v>
      </c>
      <c r="AR46" t="s">
        <v>685</v>
      </c>
      <c r="AS46">
        <v>8</v>
      </c>
      <c r="AT46">
        <v>2</v>
      </c>
      <c r="AU46">
        <v>2</v>
      </c>
      <c r="AV46" s="12" t="s">
        <v>720</v>
      </c>
      <c r="AW46" s="9">
        <v>15.64</v>
      </c>
      <c r="AX46" s="35">
        <v>51.78</v>
      </c>
      <c r="AY46" s="35">
        <v>51.45</v>
      </c>
      <c r="AZ46" s="35">
        <v>51.25</v>
      </c>
      <c r="BA46" s="24">
        <f t="shared" si="17"/>
        <v>51.493333333333339</v>
      </c>
      <c r="BB46" s="35">
        <v>33.659999999999997</v>
      </c>
      <c r="BC46" s="35">
        <v>33.46</v>
      </c>
      <c r="BD46" s="35">
        <v>33.31</v>
      </c>
      <c r="BE46" s="24">
        <f t="shared" si="18"/>
        <v>33.476666666666667</v>
      </c>
      <c r="BF46" s="35">
        <v>80.430000000000007</v>
      </c>
      <c r="BG46" s="35">
        <v>80.08</v>
      </c>
      <c r="BH46" s="35">
        <v>80.25</v>
      </c>
      <c r="BI46" s="24">
        <f t="shared" si="19"/>
        <v>80.25333333333333</v>
      </c>
      <c r="BJ46" t="s">
        <v>51</v>
      </c>
      <c r="BK46" t="s">
        <v>51</v>
      </c>
    </row>
    <row r="47" spans="1:72" x14ac:dyDescent="0.25">
      <c r="A47" s="237" t="s">
        <v>57</v>
      </c>
      <c r="B47" s="97" t="s">
        <v>724</v>
      </c>
      <c r="C47" t="s">
        <v>49</v>
      </c>
      <c r="D47" t="s">
        <v>671</v>
      </c>
      <c r="E47">
        <v>1229</v>
      </c>
      <c r="G47" s="100">
        <v>42884</v>
      </c>
      <c r="H47" t="s">
        <v>727</v>
      </c>
      <c r="J47" s="76" t="s">
        <v>320</v>
      </c>
      <c r="K47" s="10" t="s">
        <v>50</v>
      </c>
      <c r="L47">
        <v>1115</v>
      </c>
      <c r="M47">
        <v>91</v>
      </c>
      <c r="O47">
        <v>253</v>
      </c>
      <c r="P47">
        <v>254</v>
      </c>
      <c r="Q47">
        <v>254</v>
      </c>
      <c r="R47" s="24">
        <f t="shared" si="10"/>
        <v>253.66666666666666</v>
      </c>
      <c r="S47">
        <v>169</v>
      </c>
      <c r="T47">
        <v>169</v>
      </c>
      <c r="U47">
        <v>169</v>
      </c>
      <c r="V47" s="24">
        <f t="shared" si="11"/>
        <v>169</v>
      </c>
      <c r="W47" s="36">
        <v>11</v>
      </c>
      <c r="X47">
        <v>10.63</v>
      </c>
      <c r="Y47">
        <v>11.12</v>
      </c>
      <c r="Z47" s="24">
        <f t="shared" si="12"/>
        <v>10.916666666666666</v>
      </c>
      <c r="AA47" s="37">
        <v>53.36</v>
      </c>
      <c r="AB47" s="37">
        <v>53.6</v>
      </c>
      <c r="AC47" s="37">
        <v>53.56</v>
      </c>
      <c r="AD47" s="24">
        <f t="shared" si="13"/>
        <v>53.506666666666668</v>
      </c>
      <c r="AE47" s="37">
        <v>96.38</v>
      </c>
      <c r="AF47" s="37">
        <v>96.36</v>
      </c>
      <c r="AG47" s="37">
        <v>96.3</v>
      </c>
      <c r="AH47" s="24">
        <f t="shared" si="14"/>
        <v>96.346666666666678</v>
      </c>
      <c r="AI47" s="37">
        <v>22.19</v>
      </c>
      <c r="AJ47" s="37">
        <v>21.29</v>
      </c>
      <c r="AK47" s="37">
        <v>22.13</v>
      </c>
      <c r="AL47" s="24">
        <f t="shared" ref="AL47:AL52" si="20">AVERAGE(AI47:AK47)</f>
        <v>21.87</v>
      </c>
      <c r="AM47" s="37">
        <v>28.75</v>
      </c>
      <c r="AN47" s="37">
        <v>28.85</v>
      </c>
      <c r="AO47" s="37">
        <v>29.09</v>
      </c>
      <c r="AP47" s="24">
        <f t="shared" ref="AP47:AP52" si="21">AVERAGE(AM47:AO47)</f>
        <v>28.896666666666665</v>
      </c>
      <c r="AX47" s="35">
        <v>62.01</v>
      </c>
      <c r="AY47" s="35">
        <v>62.1</v>
      </c>
      <c r="AZ47" s="35">
        <v>62.31</v>
      </c>
      <c r="BA47" s="24">
        <f t="shared" si="17"/>
        <v>62.140000000000008</v>
      </c>
      <c r="BB47" s="35">
        <v>34.729999999999997</v>
      </c>
      <c r="BC47" s="35">
        <v>36.229999999999997</v>
      </c>
      <c r="BD47" s="35">
        <v>35.880000000000003</v>
      </c>
      <c r="BE47" s="24">
        <f t="shared" si="18"/>
        <v>35.613333333333337</v>
      </c>
      <c r="BF47" s="35">
        <v>88.69</v>
      </c>
      <c r="BG47" s="35">
        <v>88.32</v>
      </c>
      <c r="BH47" s="35">
        <v>88.44</v>
      </c>
      <c r="BI47" s="24">
        <f t="shared" si="19"/>
        <v>88.483333333333334</v>
      </c>
      <c r="BJ47" t="s">
        <v>51</v>
      </c>
      <c r="BK47" t="s">
        <v>51</v>
      </c>
    </row>
    <row r="48" spans="1:72" x14ac:dyDescent="0.25">
      <c r="A48" s="237" t="s">
        <v>57</v>
      </c>
      <c r="B48" s="97" t="s">
        <v>725</v>
      </c>
      <c r="C48" t="s">
        <v>49</v>
      </c>
      <c r="D48" t="s">
        <v>671</v>
      </c>
      <c r="E48">
        <v>1231</v>
      </c>
      <c r="G48" s="100">
        <v>42884</v>
      </c>
      <c r="H48" t="s">
        <v>726</v>
      </c>
      <c r="J48" s="76" t="s">
        <v>322</v>
      </c>
      <c r="K48" s="10" t="s">
        <v>50</v>
      </c>
      <c r="L48">
        <v>1634</v>
      </c>
      <c r="M48">
        <v>93</v>
      </c>
      <c r="O48">
        <v>308</v>
      </c>
      <c r="P48">
        <v>308</v>
      </c>
      <c r="Q48">
        <v>308</v>
      </c>
      <c r="R48" s="24">
        <f t="shared" si="10"/>
        <v>308</v>
      </c>
      <c r="S48">
        <v>189</v>
      </c>
      <c r="T48">
        <v>189</v>
      </c>
      <c r="U48">
        <v>188</v>
      </c>
      <c r="V48" s="24">
        <f t="shared" si="11"/>
        <v>188.66666666666666</v>
      </c>
      <c r="W48" s="36">
        <v>13.25</v>
      </c>
      <c r="X48">
        <v>13.82</v>
      </c>
      <c r="Y48">
        <v>13.34</v>
      </c>
      <c r="Z48" s="24">
        <f t="shared" si="12"/>
        <v>13.469999999999999</v>
      </c>
      <c r="AA48" s="37">
        <v>56.38</v>
      </c>
      <c r="AB48" s="37">
        <v>56.45</v>
      </c>
      <c r="AC48" s="37">
        <v>56.12</v>
      </c>
      <c r="AD48" s="24">
        <f t="shared" si="13"/>
        <v>56.31666666666667</v>
      </c>
      <c r="AE48" s="37">
        <v>107.79</v>
      </c>
      <c r="AF48" s="37">
        <v>107.78</v>
      </c>
      <c r="AG48" s="37">
        <v>107.97</v>
      </c>
      <c r="AH48" s="24">
        <f t="shared" si="14"/>
        <v>107.84666666666665</v>
      </c>
      <c r="AI48" s="37">
        <v>21.18</v>
      </c>
      <c r="AJ48" s="37">
        <v>21.091000000000001</v>
      </c>
      <c r="AK48" s="37">
        <v>21.14</v>
      </c>
      <c r="AL48" s="24">
        <f t="shared" si="20"/>
        <v>21.137</v>
      </c>
      <c r="AM48" s="37">
        <v>25.95</v>
      </c>
      <c r="AN48" s="37">
        <v>26.03</v>
      </c>
      <c r="AO48" s="37">
        <v>26.05</v>
      </c>
      <c r="AP48" s="24">
        <f t="shared" si="21"/>
        <v>26.01</v>
      </c>
      <c r="AX48" s="35">
        <v>68.95</v>
      </c>
      <c r="AY48" s="35">
        <v>68.61</v>
      </c>
      <c r="AZ48" s="35">
        <v>68.92</v>
      </c>
      <c r="BA48" s="24">
        <f t="shared" si="17"/>
        <v>68.826666666666668</v>
      </c>
      <c r="BB48" s="35">
        <v>37.22</v>
      </c>
      <c r="BC48" s="35">
        <v>37.119999999999997</v>
      </c>
      <c r="BD48" s="35">
        <v>37.409999999999997</v>
      </c>
      <c r="BE48" s="24">
        <f t="shared" si="18"/>
        <v>37.25</v>
      </c>
      <c r="BF48" s="35">
        <v>94.57</v>
      </c>
      <c r="BG48" s="35">
        <v>94.04</v>
      </c>
      <c r="BH48" s="35">
        <v>94.22</v>
      </c>
      <c r="BI48" s="24">
        <f t="shared" si="19"/>
        <v>94.276666666666685</v>
      </c>
      <c r="BJ48" t="s">
        <v>51</v>
      </c>
      <c r="BK48" t="s">
        <v>51</v>
      </c>
    </row>
    <row r="49" spans="1:71" x14ac:dyDescent="0.25">
      <c r="A49" s="237" t="s">
        <v>57</v>
      </c>
      <c r="B49" s="97" t="s">
        <v>738</v>
      </c>
      <c r="C49" t="s">
        <v>49</v>
      </c>
      <c r="D49" t="s">
        <v>671</v>
      </c>
      <c r="E49">
        <v>1201</v>
      </c>
      <c r="G49" s="100">
        <v>42885</v>
      </c>
      <c r="H49" t="s">
        <v>739</v>
      </c>
      <c r="J49" s="76" t="s">
        <v>322</v>
      </c>
      <c r="K49" s="10" t="s">
        <v>50</v>
      </c>
      <c r="L49">
        <v>1857</v>
      </c>
      <c r="M49">
        <v>93</v>
      </c>
      <c r="O49">
        <v>320</v>
      </c>
      <c r="P49">
        <v>321</v>
      </c>
      <c r="Q49">
        <v>321</v>
      </c>
      <c r="R49" s="24">
        <f t="shared" si="10"/>
        <v>320.66666666666669</v>
      </c>
      <c r="S49">
        <v>160</v>
      </c>
      <c r="T49">
        <v>160</v>
      </c>
      <c r="U49">
        <v>160</v>
      </c>
      <c r="V49" s="24">
        <f t="shared" si="11"/>
        <v>160</v>
      </c>
      <c r="W49" s="36">
        <v>14.31</v>
      </c>
      <c r="X49">
        <v>14.35</v>
      </c>
      <c r="Y49">
        <v>14.22</v>
      </c>
      <c r="Z49" s="24">
        <f t="shared" si="12"/>
        <v>14.293333333333335</v>
      </c>
      <c r="AA49" s="37">
        <v>53.38</v>
      </c>
      <c r="AB49" s="37">
        <v>52.72</v>
      </c>
      <c r="AC49" s="37">
        <v>52.96</v>
      </c>
      <c r="AD49" s="24">
        <f t="shared" si="13"/>
        <v>53.02</v>
      </c>
      <c r="AE49" s="37">
        <v>114.04</v>
      </c>
      <c r="AF49" s="37">
        <v>113.68</v>
      </c>
      <c r="AG49" s="37">
        <v>114.14</v>
      </c>
      <c r="AH49" s="24">
        <f t="shared" si="14"/>
        <v>113.95333333333333</v>
      </c>
      <c r="AI49" s="37">
        <v>16.16</v>
      </c>
      <c r="AJ49" s="37">
        <v>16.260000000000002</v>
      </c>
      <c r="AK49" s="37">
        <v>16.420000000000002</v>
      </c>
      <c r="AL49" s="9">
        <f t="shared" si="20"/>
        <v>16.28</v>
      </c>
      <c r="AM49" s="37">
        <v>25.78</v>
      </c>
      <c r="AN49" s="37">
        <v>26</v>
      </c>
      <c r="AO49" s="37">
        <v>25.88</v>
      </c>
      <c r="AP49" s="9">
        <f t="shared" si="21"/>
        <v>25.886666666666667</v>
      </c>
      <c r="AX49" s="35">
        <v>70.06</v>
      </c>
      <c r="AY49" s="35">
        <v>70.13</v>
      </c>
      <c r="AZ49" s="35">
        <v>70.09</v>
      </c>
      <c r="BA49" s="24">
        <f t="shared" si="17"/>
        <v>70.093333333333334</v>
      </c>
      <c r="BB49" s="35">
        <v>41.35</v>
      </c>
      <c r="BC49" s="35">
        <v>41.11</v>
      </c>
      <c r="BD49" s="35">
        <v>41.29</v>
      </c>
      <c r="BE49" s="24">
        <f t="shared" si="18"/>
        <v>41.25</v>
      </c>
      <c r="BF49" s="35">
        <v>96.13</v>
      </c>
      <c r="BG49" s="35">
        <v>96.18</v>
      </c>
      <c r="BH49" s="35">
        <v>96.21</v>
      </c>
      <c r="BI49" s="24">
        <f t="shared" si="19"/>
        <v>96.173333333333332</v>
      </c>
      <c r="BJ49" t="s">
        <v>51</v>
      </c>
      <c r="BK49" t="s">
        <v>51</v>
      </c>
    </row>
    <row r="50" spans="1:71" x14ac:dyDescent="0.25">
      <c r="A50" s="237" t="s">
        <v>57</v>
      </c>
      <c r="B50" s="97" t="s">
        <v>895</v>
      </c>
      <c r="C50" t="s">
        <v>49</v>
      </c>
      <c r="D50" t="s">
        <v>671</v>
      </c>
      <c r="E50">
        <v>1264</v>
      </c>
      <c r="G50" s="100">
        <v>42895</v>
      </c>
      <c r="H50" t="s">
        <v>891</v>
      </c>
      <c r="J50" s="76" t="s">
        <v>402</v>
      </c>
      <c r="K50" s="10" t="s">
        <v>50</v>
      </c>
      <c r="L50">
        <v>435</v>
      </c>
      <c r="M50">
        <v>94</v>
      </c>
      <c r="O50">
        <v>175</v>
      </c>
      <c r="P50">
        <v>175</v>
      </c>
      <c r="Q50">
        <v>176</v>
      </c>
      <c r="R50" s="24">
        <f t="shared" si="10"/>
        <v>175.33333333333334</v>
      </c>
      <c r="S50">
        <v>104</v>
      </c>
      <c r="T50">
        <v>104</v>
      </c>
      <c r="U50">
        <v>104</v>
      </c>
      <c r="V50" s="24">
        <f t="shared" si="11"/>
        <v>104</v>
      </c>
      <c r="W50" s="36">
        <v>6.22</v>
      </c>
      <c r="X50">
        <v>6.1</v>
      </c>
      <c r="Y50">
        <v>6.02</v>
      </c>
      <c r="Z50" s="24">
        <f t="shared" si="12"/>
        <v>6.1133333333333333</v>
      </c>
      <c r="AA50" s="37">
        <v>34.31</v>
      </c>
      <c r="AB50" s="37">
        <v>34.31</v>
      </c>
      <c r="AC50" s="37">
        <v>34.44</v>
      </c>
      <c r="AD50" s="24">
        <f t="shared" si="13"/>
        <v>34.353333333333332</v>
      </c>
      <c r="AE50" s="37">
        <v>58.59</v>
      </c>
      <c r="AF50" s="37">
        <v>50.6</v>
      </c>
      <c r="AG50" s="37">
        <v>58.69</v>
      </c>
      <c r="AH50" s="24">
        <f t="shared" si="14"/>
        <v>55.96</v>
      </c>
      <c r="AI50" s="37">
        <v>8.11</v>
      </c>
      <c r="AJ50" s="37">
        <v>8.42</v>
      </c>
      <c r="AK50" s="37">
        <v>7.83</v>
      </c>
      <c r="AL50" s="9">
        <f t="shared" si="20"/>
        <v>8.1199999999999992</v>
      </c>
      <c r="AM50" s="37">
        <v>11.47</v>
      </c>
      <c r="AN50" s="37">
        <v>11.33</v>
      </c>
      <c r="AO50" s="37">
        <v>10.94</v>
      </c>
      <c r="AP50" s="9">
        <f t="shared" si="21"/>
        <v>11.246666666666668</v>
      </c>
      <c r="AX50" s="35">
        <v>37.380000000000003</v>
      </c>
      <c r="AY50" s="35">
        <v>37.32</v>
      </c>
      <c r="AZ50" s="35">
        <v>37.28</v>
      </c>
      <c r="BA50" s="24">
        <f t="shared" si="17"/>
        <v>37.326666666666668</v>
      </c>
      <c r="BB50" s="35">
        <v>27.7</v>
      </c>
      <c r="BC50" s="35">
        <v>27.08</v>
      </c>
      <c r="BD50" s="35">
        <v>27.17</v>
      </c>
      <c r="BE50" s="24">
        <f t="shared" si="18"/>
        <v>27.316666666666666</v>
      </c>
      <c r="BF50" s="35">
        <v>59.96</v>
      </c>
      <c r="BG50" s="35">
        <v>60.25</v>
      </c>
      <c r="BH50" s="35">
        <v>60.05</v>
      </c>
      <c r="BI50" s="24">
        <f t="shared" si="19"/>
        <v>60.086666666666666</v>
      </c>
      <c r="BJ50" t="s">
        <v>51</v>
      </c>
      <c r="BK50" t="s">
        <v>51</v>
      </c>
    </row>
    <row r="51" spans="1:71" x14ac:dyDescent="0.25">
      <c r="A51" s="237" t="s">
        <v>57</v>
      </c>
      <c r="B51" s="97" t="s">
        <v>959</v>
      </c>
      <c r="C51" t="s">
        <v>49</v>
      </c>
      <c r="D51" t="s">
        <v>671</v>
      </c>
      <c r="E51">
        <v>1285</v>
      </c>
      <c r="G51" s="100">
        <v>42902</v>
      </c>
      <c r="H51" t="s">
        <v>734</v>
      </c>
      <c r="J51" s="76" t="s">
        <v>316</v>
      </c>
      <c r="K51" s="10" t="s">
        <v>50</v>
      </c>
      <c r="L51">
        <v>1877</v>
      </c>
      <c r="M51">
        <v>93</v>
      </c>
      <c r="O51">
        <v>319</v>
      </c>
      <c r="P51">
        <v>318</v>
      </c>
      <c r="Q51">
        <v>318</v>
      </c>
      <c r="R51" s="24">
        <f t="shared" si="10"/>
        <v>318.33333333333331</v>
      </c>
      <c r="S51">
        <v>175</v>
      </c>
      <c r="T51">
        <v>174</v>
      </c>
      <c r="U51">
        <v>174</v>
      </c>
      <c r="V51" s="24">
        <f t="shared" si="11"/>
        <v>174.33333333333334</v>
      </c>
      <c r="W51" s="36">
        <v>13.71</v>
      </c>
      <c r="X51">
        <v>13.53</v>
      </c>
      <c r="Y51">
        <v>13.52</v>
      </c>
      <c r="Z51" s="24">
        <f t="shared" si="12"/>
        <v>13.586666666666668</v>
      </c>
      <c r="AA51" s="37">
        <v>54.8</v>
      </c>
      <c r="AB51" s="37">
        <v>54.82</v>
      </c>
      <c r="AC51" s="37">
        <v>54.84</v>
      </c>
      <c r="AD51" s="24">
        <f t="shared" si="13"/>
        <v>54.82</v>
      </c>
      <c r="AE51" s="37">
        <v>109.46</v>
      </c>
      <c r="AF51" s="37">
        <v>109.36</v>
      </c>
      <c r="AG51" s="37">
        <v>109.37</v>
      </c>
      <c r="AH51" s="24">
        <f t="shared" si="14"/>
        <v>109.39666666666666</v>
      </c>
      <c r="AI51" s="37">
        <v>23.17</v>
      </c>
      <c r="AJ51" s="37">
        <v>23.11</v>
      </c>
      <c r="AK51" s="37">
        <v>23.3</v>
      </c>
      <c r="AL51" s="9">
        <f t="shared" si="20"/>
        <v>23.193333333333332</v>
      </c>
      <c r="AM51" s="37">
        <v>27.59</v>
      </c>
      <c r="AN51" s="37">
        <v>27.6</v>
      </c>
      <c r="AO51" s="37">
        <v>27.33</v>
      </c>
      <c r="AP51" s="9">
        <f t="shared" si="21"/>
        <v>27.506666666666664</v>
      </c>
      <c r="AX51" s="35">
        <v>68.77</v>
      </c>
      <c r="AY51" s="35">
        <v>68.33</v>
      </c>
      <c r="AZ51" s="35">
        <v>68.680000000000007</v>
      </c>
      <c r="BA51" s="24">
        <f t="shared" si="17"/>
        <v>68.593333333333334</v>
      </c>
      <c r="BB51" s="35">
        <v>41.66</v>
      </c>
      <c r="BC51" s="35">
        <v>41.75</v>
      </c>
      <c r="BD51" s="35">
        <v>41.58</v>
      </c>
      <c r="BE51" s="24">
        <f t="shared" si="18"/>
        <v>41.663333333333334</v>
      </c>
      <c r="BF51" s="35">
        <v>94.65</v>
      </c>
      <c r="BG51" s="35">
        <v>94.26</v>
      </c>
      <c r="BH51" s="35">
        <v>94.49</v>
      </c>
      <c r="BI51" s="24">
        <f t="shared" si="19"/>
        <v>94.466666666666683</v>
      </c>
      <c r="BJ51" t="s">
        <v>51</v>
      </c>
      <c r="BK51" t="s">
        <v>51</v>
      </c>
    </row>
    <row r="52" spans="1:71" x14ac:dyDescent="0.25">
      <c r="A52" s="237" t="s">
        <v>57</v>
      </c>
      <c r="B52" s="97" t="s">
        <v>960</v>
      </c>
      <c r="C52" t="s">
        <v>49</v>
      </c>
      <c r="D52" t="s">
        <v>671</v>
      </c>
      <c r="E52">
        <v>1286</v>
      </c>
      <c r="G52" s="100">
        <v>42902</v>
      </c>
      <c r="H52" t="s">
        <v>735</v>
      </c>
      <c r="J52" s="76" t="s">
        <v>322</v>
      </c>
      <c r="K52" s="10" t="s">
        <v>50</v>
      </c>
      <c r="L52">
        <v>1451</v>
      </c>
      <c r="M52">
        <v>95</v>
      </c>
      <c r="O52">
        <v>314</v>
      </c>
      <c r="P52">
        <v>314</v>
      </c>
      <c r="Q52">
        <v>314</v>
      </c>
      <c r="R52" s="24">
        <f t="shared" si="10"/>
        <v>314</v>
      </c>
      <c r="S52">
        <v>134</v>
      </c>
      <c r="T52">
        <v>134</v>
      </c>
      <c r="U52">
        <v>134</v>
      </c>
      <c r="V52" s="24">
        <f t="shared" si="11"/>
        <v>134</v>
      </c>
      <c r="W52" s="36">
        <v>11.33</v>
      </c>
      <c r="X52">
        <v>11.29</v>
      </c>
      <c r="Y52">
        <v>11.22</v>
      </c>
      <c r="Z52" s="24">
        <f t="shared" si="12"/>
        <v>11.28</v>
      </c>
      <c r="AA52" s="37">
        <v>50.12</v>
      </c>
      <c r="AB52" s="37">
        <v>50.31</v>
      </c>
      <c r="AC52" s="37">
        <v>50.39</v>
      </c>
      <c r="AD52" s="24">
        <f t="shared" si="13"/>
        <v>50.273333333333333</v>
      </c>
      <c r="AE52" s="37">
        <v>98.09</v>
      </c>
      <c r="AF52" s="37">
        <v>97.9</v>
      </c>
      <c r="AG52" s="37">
        <v>97.83</v>
      </c>
      <c r="AH52" s="24">
        <f t="shared" si="14"/>
        <v>97.94</v>
      </c>
      <c r="AI52" s="37">
        <v>23.52</v>
      </c>
      <c r="AJ52" s="37">
        <v>22.65</v>
      </c>
      <c r="AK52" s="37">
        <v>23.2</v>
      </c>
      <c r="AL52" s="9">
        <f t="shared" si="20"/>
        <v>23.123333333333335</v>
      </c>
      <c r="AM52" s="37">
        <v>31.33</v>
      </c>
      <c r="AN52" s="37">
        <v>31.44</v>
      </c>
      <c r="AO52" s="37">
        <v>31.67</v>
      </c>
      <c r="AP52" s="9">
        <f t="shared" si="21"/>
        <v>31.48</v>
      </c>
      <c r="AX52" s="35">
        <v>61.68</v>
      </c>
      <c r="AY52" s="35">
        <v>61.95</v>
      </c>
      <c r="AZ52" s="35">
        <v>61.55</v>
      </c>
      <c r="BA52" s="24">
        <f t="shared" si="17"/>
        <v>61.726666666666667</v>
      </c>
      <c r="BB52" s="35">
        <v>41.15</v>
      </c>
      <c r="BC52" s="35">
        <v>41.78</v>
      </c>
      <c r="BD52" s="35">
        <v>41.35</v>
      </c>
      <c r="BE52" s="24">
        <f t="shared" si="18"/>
        <v>41.426666666666669</v>
      </c>
      <c r="BF52" s="35">
        <v>88.88</v>
      </c>
      <c r="BG52" s="35">
        <v>88.78</v>
      </c>
      <c r="BH52" s="35">
        <v>88.76</v>
      </c>
      <c r="BI52" s="24">
        <f t="shared" si="19"/>
        <v>88.806666666666672</v>
      </c>
      <c r="BJ52" t="s">
        <v>51</v>
      </c>
      <c r="BK52" t="s">
        <v>51</v>
      </c>
    </row>
    <row r="53" spans="1:71" s="183" customFormat="1" x14ac:dyDescent="0.25">
      <c r="A53" s="238">
        <v>2018</v>
      </c>
      <c r="I53" s="218"/>
      <c r="J53" s="219"/>
      <c r="K53" s="220"/>
      <c r="N53" s="218"/>
      <c r="R53" s="221"/>
      <c r="V53" s="221"/>
      <c r="W53" s="222"/>
      <c r="Z53" s="221"/>
      <c r="AD53" s="221"/>
      <c r="AE53" s="223"/>
      <c r="AF53" s="223"/>
      <c r="AG53" s="223"/>
      <c r="AH53" s="221"/>
      <c r="AI53" s="224"/>
      <c r="AJ53" s="224"/>
      <c r="AK53" s="224"/>
      <c r="AL53" s="218"/>
      <c r="AM53" s="224"/>
      <c r="AN53" s="224"/>
      <c r="AO53" s="224"/>
      <c r="AP53" s="218"/>
      <c r="AQ53" s="220"/>
      <c r="AV53" s="224"/>
      <c r="AW53" s="218"/>
      <c r="BA53" s="221"/>
      <c r="BE53" s="221"/>
      <c r="BI53" s="221"/>
      <c r="BN53" s="218"/>
      <c r="BO53" s="224"/>
      <c r="BP53" s="224"/>
      <c r="BQ53" s="224"/>
      <c r="BR53" s="224"/>
      <c r="BS53" s="218"/>
    </row>
    <row r="54" spans="1:71" x14ac:dyDescent="0.25">
      <c r="A54" s="237" t="s">
        <v>57</v>
      </c>
      <c r="B54" s="97" t="s">
        <v>1092</v>
      </c>
      <c r="C54" t="s">
        <v>49</v>
      </c>
      <c r="D54" t="s">
        <v>671</v>
      </c>
      <c r="E54">
        <v>1677</v>
      </c>
      <c r="G54" s="100">
        <v>43226</v>
      </c>
      <c r="H54" t="s">
        <v>1107</v>
      </c>
      <c r="I54" s="9" t="s">
        <v>1108</v>
      </c>
      <c r="J54" s="76" t="s">
        <v>320</v>
      </c>
      <c r="K54" s="10" t="s">
        <v>50</v>
      </c>
      <c r="L54">
        <v>843</v>
      </c>
      <c r="M54">
        <v>94</v>
      </c>
      <c r="N54" s="9">
        <f t="shared" ref="N54:N82" si="22">L54-M54</f>
        <v>749</v>
      </c>
      <c r="O54">
        <v>258</v>
      </c>
      <c r="P54">
        <v>257</v>
      </c>
      <c r="Q54">
        <v>257</v>
      </c>
      <c r="R54" s="24">
        <f t="shared" ref="R54:R65" si="23">AVERAGE(O54:Q54)</f>
        <v>257.33333333333331</v>
      </c>
      <c r="S54">
        <v>150</v>
      </c>
      <c r="T54">
        <v>150</v>
      </c>
      <c r="U54">
        <v>150</v>
      </c>
      <c r="V54" s="24">
        <f t="shared" ref="V54:V65" si="24">AVERAGE(S54:U54)</f>
        <v>150</v>
      </c>
      <c r="W54" s="36">
        <v>9.99</v>
      </c>
      <c r="X54">
        <v>9.27</v>
      </c>
      <c r="Y54">
        <v>9.3000000000000007</v>
      </c>
      <c r="Z54" s="24">
        <f t="shared" ref="Z54:Z65" si="25">AVERAGE(W54:Y54)</f>
        <v>9.52</v>
      </c>
      <c r="AA54" s="37">
        <v>46.36</v>
      </c>
      <c r="AB54" s="37">
        <v>46.72</v>
      </c>
      <c r="AC54" s="37">
        <v>46.63</v>
      </c>
      <c r="AD54" s="24">
        <f t="shared" ref="AD54:AD65" si="26">AVERAGE(AA54:AC54)</f>
        <v>46.57</v>
      </c>
      <c r="AE54" s="37">
        <v>81.8</v>
      </c>
      <c r="AF54" s="37">
        <v>81.790000000000006</v>
      </c>
      <c r="AG54" s="37">
        <v>81.84</v>
      </c>
      <c r="AH54" s="24">
        <f t="shared" ref="AH54:AH65" si="27">AVERAGE(AE54:AG54)</f>
        <v>81.81</v>
      </c>
      <c r="AI54" s="37">
        <v>15.85</v>
      </c>
      <c r="AJ54" s="37">
        <v>15.16</v>
      </c>
      <c r="AK54" s="37">
        <v>16.8</v>
      </c>
      <c r="AL54" s="9">
        <f>AVERAGE(AI54:AK54)</f>
        <v>15.936666666666667</v>
      </c>
      <c r="AM54" s="37">
        <v>26.03</v>
      </c>
      <c r="AN54" s="37">
        <v>26.94</v>
      </c>
      <c r="AO54" s="37">
        <v>24.5</v>
      </c>
      <c r="AP54" s="9">
        <f>AVERAGE(AM54:AO54)</f>
        <v>25.823333333333334</v>
      </c>
      <c r="AX54">
        <v>50.78</v>
      </c>
      <c r="AY54">
        <v>50.51</v>
      </c>
      <c r="AZ54">
        <v>50.84</v>
      </c>
      <c r="BA54" s="24">
        <f t="shared" ref="BA54:BA65" si="28">AVERAGE(AX54:AZ54)</f>
        <v>50.71</v>
      </c>
      <c r="BB54">
        <v>32.68</v>
      </c>
      <c r="BC54">
        <v>32.229999999999997</v>
      </c>
      <c r="BD54">
        <v>32.85</v>
      </c>
      <c r="BE54" s="24">
        <f t="shared" ref="BE54:BE65" si="29">AVERAGE(BB54:BD54)</f>
        <v>32.586666666666666</v>
      </c>
      <c r="BF54">
        <v>81.25</v>
      </c>
      <c r="BG54">
        <v>81.27</v>
      </c>
      <c r="BH54">
        <v>81.37</v>
      </c>
      <c r="BI54" s="24">
        <f t="shared" ref="BI54:BI65" si="30">AVERAGE(BF54:BH54)</f>
        <v>81.296666666666667</v>
      </c>
      <c r="BJ54" t="s">
        <v>238</v>
      </c>
      <c r="BK54" t="s">
        <v>238</v>
      </c>
      <c r="BL54">
        <v>2</v>
      </c>
      <c r="BO54" s="12" t="s">
        <v>238</v>
      </c>
      <c r="BQ54" s="12" t="s">
        <v>238</v>
      </c>
      <c r="BS54" s="9" t="s">
        <v>238</v>
      </c>
    </row>
    <row r="55" spans="1:71" x14ac:dyDescent="0.25">
      <c r="A55" s="237" t="s">
        <v>57</v>
      </c>
      <c r="B55" s="97" t="s">
        <v>1109</v>
      </c>
      <c r="C55" t="s">
        <v>49</v>
      </c>
      <c r="D55" t="s">
        <v>671</v>
      </c>
      <c r="E55" t="s">
        <v>379</v>
      </c>
      <c r="G55" s="100">
        <v>43233</v>
      </c>
      <c r="H55" t="s">
        <v>1110</v>
      </c>
      <c r="I55" s="9" t="s">
        <v>1111</v>
      </c>
      <c r="J55" s="76" t="s">
        <v>402</v>
      </c>
      <c r="K55" s="10" t="s">
        <v>50</v>
      </c>
      <c r="L55">
        <v>467</v>
      </c>
      <c r="M55">
        <v>88</v>
      </c>
      <c r="N55" s="9">
        <f t="shared" si="22"/>
        <v>379</v>
      </c>
      <c r="O55">
        <v>192</v>
      </c>
      <c r="P55">
        <v>192</v>
      </c>
      <c r="Q55">
        <v>192</v>
      </c>
      <c r="R55" s="24">
        <f t="shared" si="23"/>
        <v>192</v>
      </c>
      <c r="S55">
        <v>116</v>
      </c>
      <c r="T55">
        <v>116</v>
      </c>
      <c r="U55">
        <v>116</v>
      </c>
      <c r="V55" s="24">
        <f t="shared" si="24"/>
        <v>116</v>
      </c>
      <c r="W55" s="36">
        <v>7.74</v>
      </c>
      <c r="X55">
        <v>7.63</v>
      </c>
      <c r="Y55">
        <v>7.76</v>
      </c>
      <c r="Z55" s="24">
        <f t="shared" si="25"/>
        <v>7.7100000000000009</v>
      </c>
      <c r="AA55" s="37">
        <v>36.619999999999997</v>
      </c>
      <c r="AB55" s="37">
        <v>36.700000000000003</v>
      </c>
      <c r="AC55" s="37">
        <v>36.67</v>
      </c>
      <c r="AD55" s="24">
        <f t="shared" si="26"/>
        <v>36.663333333333334</v>
      </c>
      <c r="AE55" s="37">
        <v>62.92</v>
      </c>
      <c r="AF55" s="37">
        <v>62.87</v>
      </c>
      <c r="AG55" s="37">
        <v>62.97</v>
      </c>
      <c r="AH55" s="24">
        <f t="shared" si="27"/>
        <v>62.919999999999995</v>
      </c>
      <c r="AI55" s="37">
        <v>9.52</v>
      </c>
      <c r="AJ55" s="37">
        <v>9.68</v>
      </c>
      <c r="AK55" s="37">
        <v>9.4499999999999993</v>
      </c>
      <c r="AL55" s="9">
        <f>AVERAGE(AI55:AK55)</f>
        <v>9.5499999999999989</v>
      </c>
      <c r="AM55" s="37">
        <v>12.99</v>
      </c>
      <c r="AN55" s="37">
        <v>12.66</v>
      </c>
      <c r="AO55" s="37">
        <v>12.53</v>
      </c>
      <c r="AP55" s="9">
        <f>AVERAGE(AM55:AO55)</f>
        <v>12.726666666666667</v>
      </c>
      <c r="AX55">
        <v>39.49</v>
      </c>
      <c r="AY55">
        <v>39.43</v>
      </c>
      <c r="AZ55">
        <v>39.71</v>
      </c>
      <c r="BA55" s="24">
        <f t="shared" si="28"/>
        <v>39.543333333333329</v>
      </c>
      <c r="BB55">
        <v>30.19</v>
      </c>
      <c r="BC55">
        <v>30.31</v>
      </c>
      <c r="BD55">
        <v>30.69</v>
      </c>
      <c r="BE55" s="24">
        <f t="shared" si="29"/>
        <v>30.396666666666665</v>
      </c>
      <c r="BF55">
        <v>65.739999999999995</v>
      </c>
      <c r="BG55">
        <v>65.66</v>
      </c>
      <c r="BH55">
        <v>65.86</v>
      </c>
      <c r="BI55" s="24">
        <f t="shared" si="30"/>
        <v>65.75333333333333</v>
      </c>
      <c r="BJ55" t="s">
        <v>238</v>
      </c>
      <c r="BK55" t="s">
        <v>238</v>
      </c>
      <c r="BL55" t="s">
        <v>51</v>
      </c>
    </row>
    <row r="56" spans="1:71" x14ac:dyDescent="0.25">
      <c r="A56" s="237" t="s">
        <v>57</v>
      </c>
      <c r="B56" s="97" t="s">
        <v>1020</v>
      </c>
      <c r="C56" t="s">
        <v>49</v>
      </c>
      <c r="D56" t="s">
        <v>671</v>
      </c>
      <c r="E56" t="s">
        <v>379</v>
      </c>
      <c r="G56" s="100">
        <v>43234</v>
      </c>
      <c r="H56" t="s">
        <v>1112</v>
      </c>
      <c r="I56" s="9" t="s">
        <v>1111</v>
      </c>
      <c r="J56" s="76" t="s">
        <v>316</v>
      </c>
      <c r="K56" s="10" t="s">
        <v>64</v>
      </c>
      <c r="L56">
        <v>905</v>
      </c>
      <c r="M56">
        <v>96</v>
      </c>
      <c r="N56" s="9">
        <f t="shared" si="22"/>
        <v>809</v>
      </c>
      <c r="O56">
        <v>255</v>
      </c>
      <c r="P56">
        <v>255</v>
      </c>
      <c r="Q56">
        <v>254</v>
      </c>
      <c r="R56" s="24">
        <f t="shared" si="23"/>
        <v>254.66666666666666</v>
      </c>
      <c r="S56">
        <v>151</v>
      </c>
      <c r="T56">
        <v>152</v>
      </c>
      <c r="U56">
        <v>152</v>
      </c>
      <c r="V56" s="24">
        <f t="shared" si="24"/>
        <v>151.66666666666666</v>
      </c>
      <c r="W56" s="36">
        <v>10.08</v>
      </c>
      <c r="X56">
        <v>10.32</v>
      </c>
      <c r="Y56">
        <v>10.41</v>
      </c>
      <c r="Z56" s="24">
        <f t="shared" si="25"/>
        <v>10.27</v>
      </c>
      <c r="AA56" s="37">
        <v>46.89</v>
      </c>
      <c r="AB56" s="37">
        <v>46.99</v>
      </c>
      <c r="AC56" s="37">
        <v>46.81</v>
      </c>
      <c r="AD56" s="24">
        <f t="shared" si="26"/>
        <v>46.896666666666668</v>
      </c>
      <c r="AE56" s="37">
        <v>85.31</v>
      </c>
      <c r="AF56" s="37">
        <v>85.46</v>
      </c>
      <c r="AG56" s="37">
        <v>85.34</v>
      </c>
      <c r="AH56" s="24">
        <f t="shared" si="27"/>
        <v>85.37</v>
      </c>
      <c r="AS56">
        <v>8</v>
      </c>
      <c r="AT56">
        <v>2</v>
      </c>
      <c r="AX56">
        <v>54.65</v>
      </c>
      <c r="AY56">
        <v>54.76</v>
      </c>
      <c r="AZ56">
        <v>54.68</v>
      </c>
      <c r="BA56" s="24">
        <f t="shared" si="28"/>
        <v>54.696666666666665</v>
      </c>
      <c r="BB56">
        <v>33.97</v>
      </c>
      <c r="BC56">
        <v>34.01</v>
      </c>
      <c r="BD56">
        <v>34.090000000000003</v>
      </c>
      <c r="BE56" s="24">
        <f t="shared" si="29"/>
        <v>34.023333333333333</v>
      </c>
      <c r="BF56">
        <v>82.57</v>
      </c>
      <c r="BG56">
        <v>82.71</v>
      </c>
      <c r="BH56">
        <v>82.69</v>
      </c>
      <c r="BI56" s="24">
        <f t="shared" si="30"/>
        <v>82.656666666666652</v>
      </c>
      <c r="BJ56" t="s">
        <v>238</v>
      </c>
      <c r="BK56" t="s">
        <v>238</v>
      </c>
      <c r="BL56" t="s">
        <v>51</v>
      </c>
    </row>
    <row r="57" spans="1:71" x14ac:dyDescent="0.25">
      <c r="A57" s="237" t="s">
        <v>57</v>
      </c>
      <c r="B57" s="97" t="s">
        <v>1113</v>
      </c>
      <c r="C57" t="s">
        <v>49</v>
      </c>
      <c r="D57" t="s">
        <v>671</v>
      </c>
      <c r="E57" t="s">
        <v>379</v>
      </c>
      <c r="G57" s="100">
        <v>43234</v>
      </c>
      <c r="H57" t="s">
        <v>1114</v>
      </c>
      <c r="I57" s="9" t="s">
        <v>1111</v>
      </c>
      <c r="J57" s="76" t="s">
        <v>402</v>
      </c>
      <c r="K57" s="10" t="s">
        <v>50</v>
      </c>
      <c r="L57">
        <v>459</v>
      </c>
      <c r="M57">
        <v>91</v>
      </c>
      <c r="N57" s="9">
        <f t="shared" si="22"/>
        <v>368</v>
      </c>
      <c r="O57">
        <v>189</v>
      </c>
      <c r="P57">
        <v>188</v>
      </c>
      <c r="Q57">
        <v>188</v>
      </c>
      <c r="R57" s="24">
        <f t="shared" si="23"/>
        <v>188.33333333333334</v>
      </c>
      <c r="S57">
        <v>115</v>
      </c>
      <c r="T57">
        <v>114</v>
      </c>
      <c r="U57">
        <v>114</v>
      </c>
      <c r="V57" s="24">
        <f t="shared" si="24"/>
        <v>114.33333333333333</v>
      </c>
      <c r="W57" s="36">
        <v>7.1</v>
      </c>
      <c r="X57">
        <v>7.09</v>
      </c>
      <c r="Y57">
        <v>7.09</v>
      </c>
      <c r="Z57" s="24">
        <f t="shared" si="25"/>
        <v>7.0933333333333337</v>
      </c>
      <c r="AA57" s="37">
        <v>39.11</v>
      </c>
      <c r="AB57" s="37">
        <v>39.18</v>
      </c>
      <c r="AC57" s="37">
        <v>39.1</v>
      </c>
      <c r="AD57" s="24">
        <f t="shared" si="26"/>
        <v>39.129999999999995</v>
      </c>
      <c r="AE57" s="37">
        <v>64.45</v>
      </c>
      <c r="AF57" s="37">
        <v>64.3</v>
      </c>
      <c r="AG57" s="37">
        <v>64.13</v>
      </c>
      <c r="AH57" s="24">
        <f t="shared" si="27"/>
        <v>64.293333333333337</v>
      </c>
      <c r="AI57" s="37">
        <v>9.7100000000000009</v>
      </c>
      <c r="AJ57" s="37">
        <v>9.82</v>
      </c>
      <c r="AK57" s="37">
        <v>9.48</v>
      </c>
      <c r="AL57" s="9">
        <f>AVERAGE(AI57:AK57)</f>
        <v>9.67</v>
      </c>
      <c r="AM57" s="37">
        <v>14.02</v>
      </c>
      <c r="AN57" s="37">
        <v>14.11</v>
      </c>
      <c r="AO57" s="37">
        <v>14.14</v>
      </c>
      <c r="AP57" s="9">
        <f>AVERAGE(AM57:AO57)</f>
        <v>14.089999999999998</v>
      </c>
      <c r="AX57">
        <v>40.950000000000003</v>
      </c>
      <c r="AY57">
        <v>40.93</v>
      </c>
      <c r="AZ57">
        <v>40.729999999999997</v>
      </c>
      <c r="BA57" s="24">
        <f t="shared" si="28"/>
        <v>40.869999999999997</v>
      </c>
      <c r="BB57">
        <v>28.35</v>
      </c>
      <c r="BC57">
        <v>28.69</v>
      </c>
      <c r="BD57">
        <v>28.88</v>
      </c>
      <c r="BE57" s="24">
        <f t="shared" si="29"/>
        <v>28.64</v>
      </c>
      <c r="BF57">
        <v>66.680000000000007</v>
      </c>
      <c r="BG57">
        <v>66.739999999999995</v>
      </c>
      <c r="BH57">
        <v>66.900000000000006</v>
      </c>
      <c r="BI57" s="24">
        <f t="shared" si="30"/>
        <v>66.773333333333341</v>
      </c>
      <c r="BJ57" t="s">
        <v>238</v>
      </c>
      <c r="BK57" t="s">
        <v>238</v>
      </c>
      <c r="BL57" t="s">
        <v>51</v>
      </c>
    </row>
    <row r="58" spans="1:71" x14ac:dyDescent="0.25">
      <c r="A58" s="237" t="s">
        <v>57</v>
      </c>
      <c r="B58" s="97" t="s">
        <v>1115</v>
      </c>
      <c r="C58" t="s">
        <v>49</v>
      </c>
      <c r="D58" t="s">
        <v>671</v>
      </c>
      <c r="E58" t="s">
        <v>379</v>
      </c>
      <c r="G58" s="100">
        <v>43235</v>
      </c>
      <c r="H58" t="s">
        <v>1116</v>
      </c>
      <c r="I58" s="9" t="s">
        <v>1111</v>
      </c>
      <c r="J58" s="76" t="s">
        <v>402</v>
      </c>
      <c r="K58" s="10" t="s">
        <v>50</v>
      </c>
      <c r="L58">
        <v>686</v>
      </c>
      <c r="M58">
        <v>91</v>
      </c>
      <c r="N58" s="9">
        <f t="shared" si="22"/>
        <v>595</v>
      </c>
      <c r="O58">
        <v>216</v>
      </c>
      <c r="P58">
        <v>216</v>
      </c>
      <c r="Q58">
        <v>216</v>
      </c>
      <c r="R58" s="24">
        <f t="shared" si="23"/>
        <v>216</v>
      </c>
      <c r="S58">
        <v>135</v>
      </c>
      <c r="T58">
        <v>135</v>
      </c>
      <c r="U58">
        <v>134</v>
      </c>
      <c r="V58" s="24">
        <f t="shared" si="24"/>
        <v>134.66666666666666</v>
      </c>
      <c r="W58" s="36">
        <v>8.64</v>
      </c>
      <c r="X58">
        <v>8.66</v>
      </c>
      <c r="Y58">
        <v>8.65</v>
      </c>
      <c r="Z58" s="24">
        <f t="shared" si="25"/>
        <v>8.65</v>
      </c>
      <c r="AA58" s="37">
        <v>43.19</v>
      </c>
      <c r="AB58" s="37">
        <v>43.21</v>
      </c>
      <c r="AC58" s="37">
        <v>43.2</v>
      </c>
      <c r="AD58" s="24">
        <f t="shared" si="26"/>
        <v>43.20000000000001</v>
      </c>
      <c r="AE58" s="37">
        <v>74.77</v>
      </c>
      <c r="AF58" s="37">
        <v>74.78</v>
      </c>
      <c r="AG58" s="37">
        <v>74.58</v>
      </c>
      <c r="AH58" s="24">
        <f t="shared" si="27"/>
        <v>74.709999999999994</v>
      </c>
      <c r="AI58" s="37">
        <v>16.920000000000002</v>
      </c>
      <c r="AJ58" s="37">
        <v>17.059999999999999</v>
      </c>
      <c r="AK58" s="37">
        <v>16.93</v>
      </c>
      <c r="AL58" s="9">
        <f>AVERAGE(AI58:AK58)</f>
        <v>16.970000000000002</v>
      </c>
      <c r="AM58" s="37">
        <v>22.73</v>
      </c>
      <c r="AN58" s="37">
        <v>22.5</v>
      </c>
      <c r="AO58" s="37">
        <v>22.63</v>
      </c>
      <c r="AP58" s="9">
        <f>AVERAGE(AM58:AO58)</f>
        <v>22.62</v>
      </c>
      <c r="AX58">
        <v>46.1</v>
      </c>
      <c r="AY58">
        <v>46.48</v>
      </c>
      <c r="AZ58">
        <v>46.6</v>
      </c>
      <c r="BA58" s="24">
        <f t="shared" si="28"/>
        <v>46.393333333333338</v>
      </c>
      <c r="BB58">
        <v>34.549999999999997</v>
      </c>
      <c r="BC58">
        <v>34.68</v>
      </c>
      <c r="BD58">
        <v>34.61</v>
      </c>
      <c r="BE58" s="24">
        <f t="shared" si="29"/>
        <v>34.61333333333333</v>
      </c>
      <c r="BF58">
        <v>74.42</v>
      </c>
      <c r="BG58">
        <v>74.349999999999994</v>
      </c>
      <c r="BH58">
        <v>74.47</v>
      </c>
      <c r="BI58" s="24">
        <f t="shared" si="30"/>
        <v>74.413333333333327</v>
      </c>
      <c r="BJ58" t="s">
        <v>51</v>
      </c>
      <c r="BK58" t="s">
        <v>51</v>
      </c>
      <c r="BL58" t="s">
        <v>51</v>
      </c>
    </row>
    <row r="59" spans="1:71" x14ac:dyDescent="0.25">
      <c r="A59" s="237" t="s">
        <v>57</v>
      </c>
      <c r="B59" s="97" t="s">
        <v>1117</v>
      </c>
      <c r="C59" t="s">
        <v>49</v>
      </c>
      <c r="D59" t="s">
        <v>671</v>
      </c>
      <c r="E59" t="s">
        <v>379</v>
      </c>
      <c r="G59" s="100">
        <v>43235</v>
      </c>
      <c r="H59" t="s">
        <v>1118</v>
      </c>
      <c r="I59" s="9" t="s">
        <v>1111</v>
      </c>
      <c r="J59" s="76" t="s">
        <v>322</v>
      </c>
      <c r="K59" s="10" t="s">
        <v>64</v>
      </c>
      <c r="L59">
        <v>942</v>
      </c>
      <c r="M59">
        <v>92</v>
      </c>
      <c r="N59" s="9">
        <f t="shared" si="22"/>
        <v>850</v>
      </c>
      <c r="O59">
        <v>287</v>
      </c>
      <c r="P59">
        <v>288</v>
      </c>
      <c r="Q59">
        <v>288</v>
      </c>
      <c r="R59" s="24">
        <f t="shared" si="23"/>
        <v>287.66666666666669</v>
      </c>
      <c r="S59">
        <v>148</v>
      </c>
      <c r="T59">
        <v>148</v>
      </c>
      <c r="U59">
        <v>149</v>
      </c>
      <c r="V59" s="24">
        <f t="shared" si="24"/>
        <v>148.33333333333334</v>
      </c>
      <c r="W59" s="36">
        <v>10.35</v>
      </c>
      <c r="X59">
        <v>10.62</v>
      </c>
      <c r="Y59">
        <v>10.51</v>
      </c>
      <c r="Z59" s="24">
        <f t="shared" si="25"/>
        <v>10.493333333333332</v>
      </c>
      <c r="AA59" s="37">
        <v>44.48</v>
      </c>
      <c r="AB59" s="37">
        <v>44.69</v>
      </c>
      <c r="AC59" s="37">
        <v>44.38</v>
      </c>
      <c r="AD59" s="24">
        <f t="shared" si="26"/>
        <v>44.516666666666659</v>
      </c>
      <c r="AE59" s="37">
        <v>85.51</v>
      </c>
      <c r="AF59" s="37">
        <v>85.71</v>
      </c>
      <c r="AG59" s="37">
        <v>85.59</v>
      </c>
      <c r="AH59" s="24">
        <f t="shared" si="27"/>
        <v>85.603333333333339</v>
      </c>
      <c r="AR59" t="s">
        <v>65</v>
      </c>
      <c r="AS59">
        <v>8</v>
      </c>
      <c r="AT59">
        <v>8</v>
      </c>
      <c r="AX59">
        <v>53.86</v>
      </c>
      <c r="AY59">
        <v>53.5</v>
      </c>
      <c r="AZ59">
        <v>53.61</v>
      </c>
      <c r="BA59" s="24">
        <f t="shared" si="28"/>
        <v>53.656666666666666</v>
      </c>
      <c r="BB59">
        <v>34.94</v>
      </c>
      <c r="BC59">
        <v>34.9</v>
      </c>
      <c r="BD59">
        <v>34.93</v>
      </c>
      <c r="BE59" s="24">
        <f t="shared" si="29"/>
        <v>34.923333333333339</v>
      </c>
      <c r="BF59">
        <v>82.9</v>
      </c>
      <c r="BG59">
        <v>82.86</v>
      </c>
      <c r="BH59">
        <v>82.9</v>
      </c>
      <c r="BI59" s="24">
        <f t="shared" si="30"/>
        <v>82.88666666666667</v>
      </c>
      <c r="BJ59" t="s">
        <v>51</v>
      </c>
      <c r="BK59" t="s">
        <v>51</v>
      </c>
      <c r="BL59" t="s">
        <v>51</v>
      </c>
    </row>
    <row r="60" spans="1:71" x14ac:dyDescent="0.25">
      <c r="A60" s="237" t="s">
        <v>57</v>
      </c>
      <c r="B60" s="97" t="s">
        <v>1119</v>
      </c>
      <c r="C60" t="s">
        <v>49</v>
      </c>
      <c r="D60" t="s">
        <v>671</v>
      </c>
      <c r="E60" t="s">
        <v>379</v>
      </c>
      <c r="G60" s="100">
        <v>43235</v>
      </c>
      <c r="H60" t="s">
        <v>1120</v>
      </c>
      <c r="I60" s="9" t="s">
        <v>1111</v>
      </c>
      <c r="J60" s="76" t="s">
        <v>402</v>
      </c>
      <c r="K60" s="10" t="s">
        <v>64</v>
      </c>
      <c r="L60">
        <v>644</v>
      </c>
      <c r="M60">
        <v>93</v>
      </c>
      <c r="N60" s="9">
        <f t="shared" si="22"/>
        <v>551</v>
      </c>
      <c r="O60">
        <v>216</v>
      </c>
      <c r="P60">
        <v>216</v>
      </c>
      <c r="Q60">
        <v>216</v>
      </c>
      <c r="R60" s="24">
        <f t="shared" si="23"/>
        <v>216</v>
      </c>
      <c r="S60">
        <v>60</v>
      </c>
      <c r="T60">
        <v>60</v>
      </c>
      <c r="U60">
        <v>60</v>
      </c>
      <c r="V60" s="24">
        <f t="shared" si="24"/>
        <v>60</v>
      </c>
      <c r="W60" s="36">
        <v>7.67</v>
      </c>
      <c r="X60">
        <v>7.8</v>
      </c>
      <c r="Y60">
        <v>7.83</v>
      </c>
      <c r="Z60" s="24">
        <f t="shared" si="25"/>
        <v>7.7666666666666657</v>
      </c>
      <c r="AA60" s="37">
        <v>41.2</v>
      </c>
      <c r="AB60" s="37">
        <v>41.1</v>
      </c>
      <c r="AC60" s="37">
        <v>41.16</v>
      </c>
      <c r="AD60" s="24">
        <f t="shared" si="26"/>
        <v>41.153333333333336</v>
      </c>
      <c r="AE60" s="37">
        <v>70.599999999999994</v>
      </c>
      <c r="AF60" s="37">
        <v>70.290000000000006</v>
      </c>
      <c r="AG60" s="37">
        <v>70.239999999999995</v>
      </c>
      <c r="AH60" s="24">
        <f t="shared" si="27"/>
        <v>70.376666666666665</v>
      </c>
      <c r="AR60" t="s">
        <v>65</v>
      </c>
      <c r="AS60">
        <v>8</v>
      </c>
      <c r="AT60">
        <v>0</v>
      </c>
      <c r="AX60">
        <v>47.23</v>
      </c>
      <c r="AY60">
        <v>47.63</v>
      </c>
      <c r="AZ60">
        <v>47.6</v>
      </c>
      <c r="BA60" s="24">
        <f t="shared" si="28"/>
        <v>47.486666666666672</v>
      </c>
      <c r="BB60">
        <v>30.19</v>
      </c>
      <c r="BC60">
        <v>30.87</v>
      </c>
      <c r="BD60">
        <v>30.66</v>
      </c>
      <c r="BE60" s="24">
        <f t="shared" si="29"/>
        <v>30.573333333333334</v>
      </c>
      <c r="BF60">
        <v>74.41</v>
      </c>
      <c r="BG60">
        <v>74.33</v>
      </c>
      <c r="BH60">
        <v>74.540000000000006</v>
      </c>
      <c r="BI60" s="24">
        <f t="shared" si="30"/>
        <v>74.426666666666677</v>
      </c>
      <c r="BJ60" t="s">
        <v>51</v>
      </c>
      <c r="BK60" t="s">
        <v>51</v>
      </c>
      <c r="BL60" t="s">
        <v>51</v>
      </c>
    </row>
    <row r="61" spans="1:71" x14ac:dyDescent="0.25">
      <c r="A61" s="237" t="s">
        <v>57</v>
      </c>
      <c r="B61" s="97" t="s">
        <v>1121</v>
      </c>
      <c r="C61" t="s">
        <v>49</v>
      </c>
      <c r="D61" t="s">
        <v>671</v>
      </c>
      <c r="E61" t="s">
        <v>379</v>
      </c>
      <c r="G61" s="100">
        <v>43235</v>
      </c>
      <c r="H61" t="s">
        <v>1114</v>
      </c>
      <c r="I61" s="9" t="s">
        <v>1111</v>
      </c>
      <c r="J61" s="76" t="s">
        <v>402</v>
      </c>
      <c r="K61" s="10" t="s">
        <v>50</v>
      </c>
      <c r="L61">
        <v>734</v>
      </c>
      <c r="M61">
        <v>93</v>
      </c>
      <c r="N61" s="9">
        <f t="shared" si="22"/>
        <v>641</v>
      </c>
      <c r="O61">
        <v>245</v>
      </c>
      <c r="P61">
        <v>245</v>
      </c>
      <c r="Q61">
        <v>245</v>
      </c>
      <c r="R61" s="24">
        <f t="shared" si="23"/>
        <v>245</v>
      </c>
      <c r="S61">
        <v>136</v>
      </c>
      <c r="T61">
        <v>136</v>
      </c>
      <c r="U61">
        <v>137</v>
      </c>
      <c r="V61" s="24">
        <f t="shared" si="24"/>
        <v>136.33333333333334</v>
      </c>
      <c r="W61" s="36">
        <v>9.7799999999999994</v>
      </c>
      <c r="X61">
        <v>9.66</v>
      </c>
      <c r="Y61">
        <v>9.66</v>
      </c>
      <c r="Z61" s="24">
        <f t="shared" si="25"/>
        <v>9.6999999999999993</v>
      </c>
      <c r="AA61" s="37">
        <v>44.48</v>
      </c>
      <c r="AB61" s="37">
        <v>44.23</v>
      </c>
      <c r="AC61" s="37">
        <v>44.31</v>
      </c>
      <c r="AD61" s="24">
        <f t="shared" si="26"/>
        <v>44.339999999999996</v>
      </c>
      <c r="AE61" s="37">
        <v>75.58</v>
      </c>
      <c r="AF61" s="37">
        <v>75.87</v>
      </c>
      <c r="AG61" s="37">
        <v>75.64</v>
      </c>
      <c r="AH61" s="24">
        <f t="shared" si="27"/>
        <v>75.696666666666658</v>
      </c>
      <c r="AI61" s="37">
        <v>16.32</v>
      </c>
      <c r="AJ61" s="37">
        <v>16.13</v>
      </c>
      <c r="AK61" s="37">
        <v>16.09</v>
      </c>
      <c r="AL61" s="9">
        <f>AVERAGE(AI61:AK61)</f>
        <v>16.180000000000003</v>
      </c>
      <c r="AM61" s="37">
        <v>21.69</v>
      </c>
      <c r="AN61" s="37">
        <v>21.67</v>
      </c>
      <c r="AO61" s="37">
        <v>21.55</v>
      </c>
      <c r="AP61" s="9">
        <f>AVERAGE(AM61:AO61)</f>
        <v>21.636666666666667</v>
      </c>
      <c r="AX61">
        <v>47.88</v>
      </c>
      <c r="AY61">
        <v>48.12</v>
      </c>
      <c r="AZ61">
        <v>48.18</v>
      </c>
      <c r="BA61" s="24">
        <f t="shared" si="28"/>
        <v>48.06</v>
      </c>
      <c r="BB61">
        <v>31.35</v>
      </c>
      <c r="BC61">
        <v>31.16</v>
      </c>
      <c r="BD61">
        <v>31.39</v>
      </c>
      <c r="BE61" s="24">
        <f t="shared" si="29"/>
        <v>31.3</v>
      </c>
      <c r="BF61">
        <v>76.02</v>
      </c>
      <c r="BG61">
        <v>76.31</v>
      </c>
      <c r="BH61">
        <v>76.2</v>
      </c>
      <c r="BI61" s="24">
        <f t="shared" si="30"/>
        <v>76.176666666666662</v>
      </c>
      <c r="BJ61" t="s">
        <v>51</v>
      </c>
      <c r="BK61" t="s">
        <v>51</v>
      </c>
      <c r="BL61" t="s">
        <v>51</v>
      </c>
    </row>
    <row r="62" spans="1:71" x14ac:dyDescent="0.25">
      <c r="A62" s="237" t="s">
        <v>57</v>
      </c>
      <c r="B62" s="97" t="s">
        <v>1122</v>
      </c>
      <c r="C62" t="s">
        <v>49</v>
      </c>
      <c r="D62" t="s">
        <v>671</v>
      </c>
      <c r="E62" t="s">
        <v>379</v>
      </c>
      <c r="G62" s="100">
        <v>43235</v>
      </c>
      <c r="H62" t="s">
        <v>1123</v>
      </c>
      <c r="I62" s="9" t="s">
        <v>1111</v>
      </c>
      <c r="J62" s="76" t="s">
        <v>320</v>
      </c>
      <c r="K62" s="10" t="s">
        <v>64</v>
      </c>
      <c r="L62">
        <v>785</v>
      </c>
      <c r="M62">
        <v>92</v>
      </c>
      <c r="N62" s="9">
        <f t="shared" si="22"/>
        <v>693</v>
      </c>
      <c r="O62">
        <v>240</v>
      </c>
      <c r="P62">
        <v>240</v>
      </c>
      <c r="Q62">
        <v>240</v>
      </c>
      <c r="R62" s="24">
        <f t="shared" si="23"/>
        <v>240</v>
      </c>
      <c r="S62">
        <v>145</v>
      </c>
      <c r="T62">
        <v>145</v>
      </c>
      <c r="U62">
        <v>145</v>
      </c>
      <c r="V62" s="24">
        <f t="shared" si="24"/>
        <v>145</v>
      </c>
      <c r="W62" s="36">
        <v>8.93</v>
      </c>
      <c r="X62">
        <v>8.89</v>
      </c>
      <c r="Y62">
        <v>8.67</v>
      </c>
      <c r="Z62" s="24">
        <f t="shared" si="25"/>
        <v>8.83</v>
      </c>
      <c r="AA62" s="37">
        <v>44.91</v>
      </c>
      <c r="AB62" s="37">
        <v>44.63</v>
      </c>
      <c r="AC62" s="37">
        <v>44.79</v>
      </c>
      <c r="AD62" s="24">
        <f t="shared" si="26"/>
        <v>44.776666666666664</v>
      </c>
      <c r="AE62" s="37">
        <v>77.5</v>
      </c>
      <c r="AF62" s="37">
        <v>77.31</v>
      </c>
      <c r="AG62" s="37">
        <v>77.489999999999995</v>
      </c>
      <c r="AH62" s="24">
        <f t="shared" si="27"/>
        <v>77.433333333333337</v>
      </c>
      <c r="AR62" t="s">
        <v>65</v>
      </c>
      <c r="AS62">
        <v>8</v>
      </c>
      <c r="AT62">
        <v>2</v>
      </c>
      <c r="AX62">
        <v>48.7</v>
      </c>
      <c r="AY62">
        <v>48.7</v>
      </c>
      <c r="AZ62">
        <v>48.49</v>
      </c>
      <c r="BA62" s="24">
        <f t="shared" si="28"/>
        <v>48.63</v>
      </c>
      <c r="BB62">
        <v>31.82</v>
      </c>
      <c r="BC62">
        <v>31.88</v>
      </c>
      <c r="BD62">
        <v>31.88</v>
      </c>
      <c r="BE62" s="24">
        <f t="shared" si="29"/>
        <v>31.86</v>
      </c>
      <c r="BF62">
        <v>76.760000000000005</v>
      </c>
      <c r="BG62">
        <v>76.75</v>
      </c>
      <c r="BH62">
        <v>76.77</v>
      </c>
      <c r="BI62" s="24">
        <f t="shared" si="30"/>
        <v>76.759999999999991</v>
      </c>
      <c r="BJ62" t="s">
        <v>51</v>
      </c>
      <c r="BK62" t="s">
        <v>51</v>
      </c>
      <c r="BL62" t="s">
        <v>51</v>
      </c>
    </row>
    <row r="63" spans="1:71" x14ac:dyDescent="0.25">
      <c r="A63" s="237" t="s">
        <v>57</v>
      </c>
      <c r="B63" s="97" t="s">
        <v>1124</v>
      </c>
      <c r="C63" t="s">
        <v>49</v>
      </c>
      <c r="D63" t="s">
        <v>671</v>
      </c>
      <c r="E63" t="s">
        <v>379</v>
      </c>
      <c r="G63" s="100">
        <v>43235</v>
      </c>
      <c r="H63" t="s">
        <v>1125</v>
      </c>
      <c r="I63" s="9" t="s">
        <v>1111</v>
      </c>
      <c r="J63" s="76" t="s">
        <v>402</v>
      </c>
      <c r="K63" s="10" t="s">
        <v>64</v>
      </c>
      <c r="L63">
        <v>456</v>
      </c>
      <c r="M63">
        <v>93</v>
      </c>
      <c r="N63" s="9">
        <f t="shared" si="22"/>
        <v>363</v>
      </c>
      <c r="O63">
        <v>189</v>
      </c>
      <c r="P63">
        <v>189</v>
      </c>
      <c r="Q63">
        <v>189</v>
      </c>
      <c r="R63" s="24">
        <f t="shared" si="23"/>
        <v>189</v>
      </c>
      <c r="S63">
        <v>114</v>
      </c>
      <c r="T63">
        <v>115</v>
      </c>
      <c r="U63">
        <v>114</v>
      </c>
      <c r="V63" s="24">
        <f t="shared" si="24"/>
        <v>114.33333333333333</v>
      </c>
      <c r="W63" s="36">
        <v>6.97</v>
      </c>
      <c r="X63">
        <v>6.91</v>
      </c>
      <c r="Y63">
        <v>6.73</v>
      </c>
      <c r="Z63" s="24">
        <f t="shared" si="25"/>
        <v>6.87</v>
      </c>
      <c r="AA63" s="37">
        <v>37.17</v>
      </c>
      <c r="AB63" s="37">
        <v>37.18</v>
      </c>
      <c r="AC63" s="37">
        <v>37.03</v>
      </c>
      <c r="AD63" s="24">
        <f t="shared" si="26"/>
        <v>37.126666666666665</v>
      </c>
      <c r="AE63" s="37">
        <v>60.22</v>
      </c>
      <c r="AF63" s="37">
        <v>60.21</v>
      </c>
      <c r="AG63" s="37">
        <v>60.21</v>
      </c>
      <c r="AH63" s="24">
        <f t="shared" si="27"/>
        <v>60.213333333333338</v>
      </c>
      <c r="AR63" t="s">
        <v>65</v>
      </c>
      <c r="AS63">
        <v>8</v>
      </c>
      <c r="AT63">
        <v>0</v>
      </c>
      <c r="AX63">
        <v>39.11</v>
      </c>
      <c r="AY63">
        <v>39.119999999999997</v>
      </c>
      <c r="AZ63">
        <v>39.15</v>
      </c>
      <c r="BA63" s="24">
        <f t="shared" si="28"/>
        <v>39.126666666666665</v>
      </c>
      <c r="BB63">
        <v>29.49</v>
      </c>
      <c r="BC63">
        <v>29.55</v>
      </c>
      <c r="BD63">
        <v>29.4</v>
      </c>
      <c r="BE63" s="24">
        <f t="shared" si="29"/>
        <v>29.48</v>
      </c>
      <c r="BF63">
        <v>65.58</v>
      </c>
      <c r="BG63">
        <v>65.41</v>
      </c>
      <c r="BH63">
        <v>65.650000000000006</v>
      </c>
      <c r="BI63" s="24">
        <f t="shared" si="30"/>
        <v>65.546666666666667</v>
      </c>
      <c r="BJ63" t="s">
        <v>51</v>
      </c>
      <c r="BK63" t="s">
        <v>51</v>
      </c>
      <c r="BL63" t="s">
        <v>51</v>
      </c>
    </row>
    <row r="64" spans="1:71" x14ac:dyDescent="0.25">
      <c r="A64" s="237" t="s">
        <v>57</v>
      </c>
      <c r="B64" s="97" t="s">
        <v>1126</v>
      </c>
      <c r="C64" t="s">
        <v>49</v>
      </c>
      <c r="D64" t="s">
        <v>671</v>
      </c>
      <c r="E64" t="s">
        <v>379</v>
      </c>
      <c r="G64" s="100">
        <v>43236</v>
      </c>
      <c r="H64" t="s">
        <v>1127</v>
      </c>
      <c r="I64" s="9" t="s">
        <v>1111</v>
      </c>
      <c r="J64" s="76" t="s">
        <v>402</v>
      </c>
      <c r="K64" s="10" t="s">
        <v>50</v>
      </c>
      <c r="L64">
        <v>680</v>
      </c>
      <c r="M64">
        <v>91</v>
      </c>
      <c r="N64" s="9">
        <f t="shared" si="22"/>
        <v>589</v>
      </c>
      <c r="O64">
        <v>255</v>
      </c>
      <c r="P64">
        <v>254</v>
      </c>
      <c r="Q64">
        <v>255</v>
      </c>
      <c r="R64" s="24">
        <f t="shared" si="23"/>
        <v>254.66666666666666</v>
      </c>
      <c r="S64">
        <v>133</v>
      </c>
      <c r="T64">
        <v>132</v>
      </c>
      <c r="U64">
        <v>132</v>
      </c>
      <c r="V64" s="24">
        <f t="shared" si="24"/>
        <v>132.33333333333334</v>
      </c>
      <c r="W64" s="36">
        <v>8.51</v>
      </c>
      <c r="X64">
        <v>8.33</v>
      </c>
      <c r="Y64">
        <v>8.32</v>
      </c>
      <c r="Z64" s="24">
        <f t="shared" si="25"/>
        <v>8.3866666666666667</v>
      </c>
      <c r="AA64" s="37">
        <v>43.68</v>
      </c>
      <c r="AB64" s="37">
        <v>43.74</v>
      </c>
      <c r="AC64" s="37">
        <v>43.84</v>
      </c>
      <c r="AD64" s="24">
        <f t="shared" si="26"/>
        <v>43.75333333333333</v>
      </c>
      <c r="AE64" s="37">
        <v>73.7</v>
      </c>
      <c r="AF64" s="37">
        <v>73.52</v>
      </c>
      <c r="AG64" s="37">
        <v>73.58</v>
      </c>
      <c r="AH64" s="24">
        <f t="shared" si="27"/>
        <v>73.600000000000009</v>
      </c>
      <c r="AI64" s="37">
        <v>9.98</v>
      </c>
      <c r="AJ64" s="37">
        <v>10.02</v>
      </c>
      <c r="AK64" s="12">
        <v>10.07</v>
      </c>
      <c r="AL64" s="9">
        <f>AVERAGE(AI64:AK64)</f>
        <v>10.023333333333333</v>
      </c>
      <c r="AM64" s="37">
        <v>13.24</v>
      </c>
      <c r="AN64" s="37">
        <v>13.2</v>
      </c>
      <c r="AO64" s="37">
        <v>13.16</v>
      </c>
      <c r="AP64" s="9">
        <f>AVERAGE(AM64:AO64)</f>
        <v>13.199999999999998</v>
      </c>
      <c r="AX64">
        <v>46.24</v>
      </c>
      <c r="AY64">
        <v>46.37</v>
      </c>
      <c r="AZ64">
        <v>46.2</v>
      </c>
      <c r="BA64" s="24">
        <f t="shared" si="28"/>
        <v>46.27</v>
      </c>
      <c r="BB64">
        <v>30.9</v>
      </c>
      <c r="BC64">
        <v>30.95</v>
      </c>
      <c r="BD64">
        <v>30.93</v>
      </c>
      <c r="BE64" s="24">
        <f t="shared" si="29"/>
        <v>30.926666666666666</v>
      </c>
      <c r="BF64">
        <v>73.47</v>
      </c>
      <c r="BG64">
        <v>73.58</v>
      </c>
      <c r="BH64">
        <v>73.48</v>
      </c>
      <c r="BI64" s="24">
        <f t="shared" si="30"/>
        <v>73.510000000000005</v>
      </c>
      <c r="BJ64" t="s">
        <v>51</v>
      </c>
      <c r="BK64" t="s">
        <v>51</v>
      </c>
      <c r="BL64" t="s">
        <v>51</v>
      </c>
    </row>
    <row r="65" spans="1:72" x14ac:dyDescent="0.25">
      <c r="A65" s="237" t="s">
        <v>57</v>
      </c>
      <c r="B65" s="97" t="s">
        <v>1128</v>
      </c>
      <c r="C65" t="s">
        <v>49</v>
      </c>
      <c r="D65" t="s">
        <v>671</v>
      </c>
      <c r="E65" t="s">
        <v>379</v>
      </c>
      <c r="G65" s="100">
        <v>43236</v>
      </c>
      <c r="H65" t="s">
        <v>1129</v>
      </c>
      <c r="I65" s="9" t="s">
        <v>1111</v>
      </c>
      <c r="J65" s="76" t="s">
        <v>316</v>
      </c>
      <c r="K65" s="10" t="s">
        <v>50</v>
      </c>
      <c r="L65">
        <v>1558</v>
      </c>
      <c r="M65">
        <v>94</v>
      </c>
      <c r="N65" s="9">
        <f t="shared" si="22"/>
        <v>1464</v>
      </c>
      <c r="O65">
        <v>338</v>
      </c>
      <c r="P65">
        <v>338</v>
      </c>
      <c r="Q65">
        <v>338</v>
      </c>
      <c r="R65" s="24">
        <f t="shared" si="23"/>
        <v>338</v>
      </c>
      <c r="S65">
        <v>175</v>
      </c>
      <c r="T65">
        <v>175</v>
      </c>
      <c r="U65">
        <v>175</v>
      </c>
      <c r="V65" s="24">
        <f t="shared" si="24"/>
        <v>175</v>
      </c>
      <c r="W65" s="36">
        <v>13.8</v>
      </c>
      <c r="X65">
        <v>13.83</v>
      </c>
      <c r="Y65">
        <v>13.7</v>
      </c>
      <c r="Z65" s="24">
        <f t="shared" si="25"/>
        <v>13.776666666666666</v>
      </c>
      <c r="AA65" s="37">
        <v>54.56</v>
      </c>
      <c r="AB65" s="37">
        <v>54.2</v>
      </c>
      <c r="AC65" s="37">
        <v>54.31</v>
      </c>
      <c r="AD65" s="24">
        <f t="shared" si="26"/>
        <v>54.356666666666662</v>
      </c>
      <c r="AE65" s="37">
        <v>105.12</v>
      </c>
      <c r="AF65" s="37">
        <v>105.22</v>
      </c>
      <c r="AG65" s="37">
        <v>105.24</v>
      </c>
      <c r="AH65" s="24">
        <f t="shared" si="27"/>
        <v>105.19333333333333</v>
      </c>
      <c r="AI65" s="12">
        <v>23.47</v>
      </c>
      <c r="AJ65" s="12">
        <v>23.38</v>
      </c>
      <c r="AK65" s="12">
        <v>23.29</v>
      </c>
      <c r="AL65" s="9">
        <f>AVERAGE(AI65:AK65)</f>
        <v>23.379999999999995</v>
      </c>
      <c r="AM65" s="35">
        <v>31.59</v>
      </c>
      <c r="AN65" s="35">
        <v>31.87</v>
      </c>
      <c r="AO65" s="35">
        <v>31.62</v>
      </c>
      <c r="AP65" s="9">
        <f>AVERAGE(AM65:AO65)</f>
        <v>31.693333333333332</v>
      </c>
      <c r="AX65">
        <v>67.760000000000005</v>
      </c>
      <c r="AY65">
        <v>67.91</v>
      </c>
      <c r="AZ65">
        <v>67.83</v>
      </c>
      <c r="BA65" s="24">
        <f t="shared" si="28"/>
        <v>67.833333333333329</v>
      </c>
      <c r="BB65">
        <v>40.18</v>
      </c>
      <c r="BC65">
        <v>40.020000000000003</v>
      </c>
      <c r="BD65">
        <v>40.090000000000003</v>
      </c>
      <c r="BE65" s="24">
        <f t="shared" si="29"/>
        <v>40.096666666666671</v>
      </c>
      <c r="BF65">
        <v>93.33</v>
      </c>
      <c r="BG65">
        <v>93.48</v>
      </c>
      <c r="BH65">
        <v>93.21</v>
      </c>
      <c r="BI65" s="24">
        <f t="shared" si="30"/>
        <v>93.339999999999989</v>
      </c>
      <c r="BJ65" t="s">
        <v>51</v>
      </c>
      <c r="BK65" t="s">
        <v>51</v>
      </c>
      <c r="BL65" t="s">
        <v>51</v>
      </c>
      <c r="BN65" s="12"/>
      <c r="BO65"/>
      <c r="BP65"/>
      <c r="BQ65"/>
      <c r="BR65"/>
      <c r="BS65" s="12"/>
    </row>
    <row r="66" spans="1:72" x14ac:dyDescent="0.25">
      <c r="A66" s="237" t="s">
        <v>57</v>
      </c>
      <c r="B66" s="97" t="s">
        <v>1130</v>
      </c>
      <c r="C66" t="s">
        <v>49</v>
      </c>
      <c r="D66" t="s">
        <v>671</v>
      </c>
      <c r="E66">
        <v>1650</v>
      </c>
      <c r="G66" s="100">
        <v>43237</v>
      </c>
      <c r="H66" t="s">
        <v>1131</v>
      </c>
      <c r="I66" s="9" t="s">
        <v>1111</v>
      </c>
      <c r="J66" s="76" t="s">
        <v>322</v>
      </c>
      <c r="K66" s="10" t="s">
        <v>50</v>
      </c>
      <c r="L66">
        <v>1330</v>
      </c>
      <c r="M66">
        <v>96</v>
      </c>
      <c r="N66" s="9">
        <f t="shared" si="22"/>
        <v>1234</v>
      </c>
      <c r="O66" t="s">
        <v>379</v>
      </c>
      <c r="P66" t="s">
        <v>379</v>
      </c>
      <c r="Q66" t="s">
        <v>379</v>
      </c>
      <c r="R66" s="24" t="s">
        <v>379</v>
      </c>
      <c r="S66" t="s">
        <v>379</v>
      </c>
      <c r="T66" t="s">
        <v>379</v>
      </c>
      <c r="U66" t="s">
        <v>379</v>
      </c>
      <c r="V66" s="24" t="s">
        <v>379</v>
      </c>
      <c r="W66" t="s">
        <v>379</v>
      </c>
      <c r="X66" t="s">
        <v>379</v>
      </c>
      <c r="Y66" t="s">
        <v>379</v>
      </c>
      <c r="Z66" s="24" t="s">
        <v>379</v>
      </c>
      <c r="AA66" t="s">
        <v>379</v>
      </c>
      <c r="AB66" t="s">
        <v>379</v>
      </c>
      <c r="AC66" t="s">
        <v>379</v>
      </c>
      <c r="AD66" s="24" t="s">
        <v>379</v>
      </c>
      <c r="AE66" t="s">
        <v>379</v>
      </c>
      <c r="AF66" t="s">
        <v>379</v>
      </c>
      <c r="AG66" t="s">
        <v>379</v>
      </c>
      <c r="AH66" s="24" t="s">
        <v>379</v>
      </c>
      <c r="AI66" t="s">
        <v>379</v>
      </c>
      <c r="AJ66" t="s">
        <v>379</v>
      </c>
      <c r="AK66" t="s">
        <v>379</v>
      </c>
      <c r="AL66" s="24" t="s">
        <v>379</v>
      </c>
      <c r="AM66" t="s">
        <v>379</v>
      </c>
      <c r="AN66" t="s">
        <v>379</v>
      </c>
      <c r="AO66" t="s">
        <v>379</v>
      </c>
      <c r="AP66" s="24" t="s">
        <v>379</v>
      </c>
      <c r="AX66" t="s">
        <v>379</v>
      </c>
      <c r="AY66" t="s">
        <v>379</v>
      </c>
      <c r="AZ66" t="s">
        <v>379</v>
      </c>
      <c r="BA66" s="24" t="s">
        <v>379</v>
      </c>
      <c r="BB66" s="144" t="s">
        <v>379</v>
      </c>
      <c r="BC66" s="144" t="s">
        <v>379</v>
      </c>
      <c r="BD66" s="144" t="s">
        <v>379</v>
      </c>
      <c r="BE66" s="217" t="s">
        <v>379</v>
      </c>
      <c r="BF66" s="144" t="s">
        <v>379</v>
      </c>
      <c r="BG66" s="144" t="s">
        <v>379</v>
      </c>
      <c r="BH66" s="144" t="s">
        <v>379</v>
      </c>
      <c r="BI66" s="217" t="s">
        <v>379</v>
      </c>
      <c r="BJ66" s="225" t="s">
        <v>51</v>
      </c>
      <c r="BK66" s="225" t="s">
        <v>51</v>
      </c>
      <c r="BL66" s="225" t="s">
        <v>51</v>
      </c>
      <c r="BN66" s="12"/>
      <c r="BO66"/>
      <c r="BP66"/>
      <c r="BQ66"/>
      <c r="BR66"/>
      <c r="BS66" s="12"/>
      <c r="BT66" t="s">
        <v>1132</v>
      </c>
    </row>
    <row r="67" spans="1:72" x14ac:dyDescent="0.25">
      <c r="A67" s="237" t="s">
        <v>57</v>
      </c>
      <c r="B67" s="97" t="s">
        <v>1133</v>
      </c>
      <c r="C67" t="s">
        <v>49</v>
      </c>
      <c r="D67" t="s">
        <v>671</v>
      </c>
      <c r="E67">
        <v>1603</v>
      </c>
      <c r="G67" s="100">
        <v>43237</v>
      </c>
      <c r="H67" t="s">
        <v>1134</v>
      </c>
      <c r="I67" s="9" t="s">
        <v>1111</v>
      </c>
      <c r="J67" s="76" t="s">
        <v>320</v>
      </c>
      <c r="K67" s="10" t="s">
        <v>50</v>
      </c>
      <c r="L67">
        <v>713</v>
      </c>
      <c r="M67">
        <v>93</v>
      </c>
      <c r="N67" s="9">
        <f t="shared" si="22"/>
        <v>620</v>
      </c>
      <c r="O67">
        <v>235</v>
      </c>
      <c r="P67">
        <v>235</v>
      </c>
      <c r="Q67">
        <v>236</v>
      </c>
      <c r="R67" s="24">
        <f t="shared" ref="R67:R78" si="31">AVERAGE(O67:Q67)</f>
        <v>235.33333333333334</v>
      </c>
      <c r="S67">
        <v>135</v>
      </c>
      <c r="T67">
        <v>133</v>
      </c>
      <c r="U67">
        <v>134</v>
      </c>
      <c r="V67" s="24">
        <f t="shared" ref="V67:V78" si="32">AVERAGE(S67:U67)</f>
        <v>134</v>
      </c>
      <c r="W67" s="36">
        <v>8.4499999999999993</v>
      </c>
      <c r="X67">
        <v>8.9</v>
      </c>
      <c r="Y67">
        <v>8.68</v>
      </c>
      <c r="Z67" s="24">
        <f t="shared" ref="Z67:Z78" si="33">AVERAGE(W67:Y67)</f>
        <v>8.6766666666666676</v>
      </c>
      <c r="AA67" s="37">
        <v>44.9</v>
      </c>
      <c r="AB67" s="37">
        <v>45.17</v>
      </c>
      <c r="AC67" s="37">
        <v>44.85</v>
      </c>
      <c r="AD67" s="24">
        <f t="shared" ref="AD67:AD78" si="34">AVERAGE(AA67:AC67)</f>
        <v>44.973333333333329</v>
      </c>
      <c r="AE67" s="37">
        <v>75.98</v>
      </c>
      <c r="AF67" s="37">
        <v>76.06</v>
      </c>
      <c r="AG67" s="37">
        <v>76.03</v>
      </c>
      <c r="AH67" s="24">
        <f t="shared" ref="AH67:AH78" si="35">AVERAGE(AE67:AG67)</f>
        <v>76.023333333333341</v>
      </c>
      <c r="AI67" s="37">
        <v>16.41</v>
      </c>
      <c r="AJ67" s="37">
        <v>16.98</v>
      </c>
      <c r="AK67" s="37">
        <v>17.2</v>
      </c>
      <c r="AL67" s="9">
        <f>AVERAGE(AI67:AK67)</f>
        <v>16.863333333333333</v>
      </c>
      <c r="AM67" s="37">
        <v>22.95</v>
      </c>
      <c r="AN67" s="37">
        <v>22.94</v>
      </c>
      <c r="AO67" s="37">
        <v>23.09</v>
      </c>
      <c r="AP67" s="9">
        <f>AVERAGE(AM67:AO67)</f>
        <v>22.993333333333336</v>
      </c>
      <c r="AX67">
        <v>51.63</v>
      </c>
      <c r="AY67">
        <v>51.45</v>
      </c>
      <c r="AZ67">
        <v>51.96</v>
      </c>
      <c r="BA67" s="24">
        <f t="shared" ref="BA67:BA78" si="36">AVERAGE(AX67:AZ67)</f>
        <v>51.680000000000007</v>
      </c>
      <c r="BB67">
        <v>29</v>
      </c>
      <c r="BC67">
        <v>29.15</v>
      </c>
      <c r="BD67">
        <v>28.91</v>
      </c>
      <c r="BE67" s="24">
        <f t="shared" ref="BE67:BE78" si="37">AVERAGE(BB67:BD67)</f>
        <v>29.02</v>
      </c>
      <c r="BF67">
        <v>73.930000000000007</v>
      </c>
      <c r="BG67">
        <v>73.64</v>
      </c>
      <c r="BH67">
        <v>74.19</v>
      </c>
      <c r="BI67" s="24">
        <f t="shared" ref="BI67:BI78" si="38">AVERAGE(BF67:BH67)</f>
        <v>73.92</v>
      </c>
      <c r="BJ67" s="225" t="s">
        <v>51</v>
      </c>
      <c r="BK67" s="225" t="s">
        <v>51</v>
      </c>
      <c r="BL67" t="s">
        <v>51</v>
      </c>
      <c r="BN67" s="12"/>
      <c r="BO67"/>
      <c r="BP67"/>
      <c r="BQ67"/>
      <c r="BR67"/>
      <c r="BS67" s="12"/>
    </row>
    <row r="68" spans="1:72" x14ac:dyDescent="0.25">
      <c r="A68" s="237" t="s">
        <v>57</v>
      </c>
      <c r="B68" s="97" t="s">
        <v>1135</v>
      </c>
      <c r="C68" t="s">
        <v>49</v>
      </c>
      <c r="D68" t="s">
        <v>671</v>
      </c>
      <c r="E68">
        <v>1653</v>
      </c>
      <c r="G68" s="100">
        <v>43238</v>
      </c>
      <c r="H68" t="s">
        <v>1136</v>
      </c>
      <c r="I68" s="9" t="s">
        <v>1111</v>
      </c>
      <c r="J68" s="76" t="s">
        <v>316</v>
      </c>
      <c r="K68" s="10" t="s">
        <v>50</v>
      </c>
      <c r="L68">
        <v>1223</v>
      </c>
      <c r="M68">
        <v>93</v>
      </c>
      <c r="N68" s="9">
        <f t="shared" si="22"/>
        <v>1130</v>
      </c>
      <c r="O68">
        <v>290</v>
      </c>
      <c r="P68">
        <v>290</v>
      </c>
      <c r="Q68">
        <v>290</v>
      </c>
      <c r="R68" s="24">
        <f t="shared" si="31"/>
        <v>290</v>
      </c>
      <c r="S68">
        <v>165</v>
      </c>
      <c r="T68">
        <v>165</v>
      </c>
      <c r="U68">
        <v>164</v>
      </c>
      <c r="V68" s="24">
        <f t="shared" si="32"/>
        <v>164.66666666666666</v>
      </c>
      <c r="W68" s="36">
        <v>10.84</v>
      </c>
      <c r="X68">
        <v>10.87</v>
      </c>
      <c r="Y68">
        <v>10.84</v>
      </c>
      <c r="Z68" s="24">
        <f t="shared" si="33"/>
        <v>10.85</v>
      </c>
      <c r="AA68" s="37">
        <v>51.27</v>
      </c>
      <c r="AB68" s="37">
        <v>51.04</v>
      </c>
      <c r="AC68" s="37">
        <v>51.53</v>
      </c>
      <c r="AD68" s="24">
        <f t="shared" si="34"/>
        <v>51.28</v>
      </c>
      <c r="AE68" s="37">
        <v>92.75</v>
      </c>
      <c r="AF68" s="37">
        <v>92.71</v>
      </c>
      <c r="AG68" s="37">
        <v>92.66</v>
      </c>
      <c r="AH68" s="24">
        <f t="shared" si="35"/>
        <v>92.706666666666663</v>
      </c>
      <c r="AI68" s="37">
        <v>25.13</v>
      </c>
      <c r="AJ68" s="37">
        <v>2518</v>
      </c>
      <c r="AK68" s="37">
        <v>25.17</v>
      </c>
      <c r="AL68" s="24">
        <f>AVERAGE(AI68:AK68)</f>
        <v>856.1</v>
      </c>
      <c r="AM68" s="37">
        <v>31.55</v>
      </c>
      <c r="AN68" s="37">
        <v>31.37</v>
      </c>
      <c r="AO68" s="37">
        <v>31.36</v>
      </c>
      <c r="AP68" s="24">
        <f>AVERAGE(AM68:AO68)</f>
        <v>31.426666666666666</v>
      </c>
      <c r="AX68">
        <v>59.02</v>
      </c>
      <c r="AY68">
        <v>59.19</v>
      </c>
      <c r="AZ68">
        <v>59.11</v>
      </c>
      <c r="BA68" s="24">
        <f t="shared" si="36"/>
        <v>59.106666666666662</v>
      </c>
      <c r="BB68">
        <v>36.880000000000003</v>
      </c>
      <c r="BC68">
        <v>36.82</v>
      </c>
      <c r="BD68">
        <v>36.78</v>
      </c>
      <c r="BE68" s="24">
        <f t="shared" si="37"/>
        <v>36.826666666666668</v>
      </c>
      <c r="BF68">
        <v>86.37</v>
      </c>
      <c r="BG68">
        <v>86.64</v>
      </c>
      <c r="BH68">
        <v>86.39</v>
      </c>
      <c r="BI68" s="24">
        <f t="shared" si="38"/>
        <v>86.466666666666654</v>
      </c>
      <c r="BJ68" t="s">
        <v>51</v>
      </c>
      <c r="BK68" t="s">
        <v>51</v>
      </c>
      <c r="BL68" t="s">
        <v>51</v>
      </c>
      <c r="BN68" s="12"/>
      <c r="BO68"/>
      <c r="BP68"/>
      <c r="BQ68"/>
      <c r="BR68"/>
      <c r="BS68" s="12"/>
    </row>
    <row r="69" spans="1:72" x14ac:dyDescent="0.25">
      <c r="A69" s="237" t="s">
        <v>57</v>
      </c>
      <c r="B69" s="97" t="s">
        <v>1137</v>
      </c>
      <c r="C69" t="s">
        <v>49</v>
      </c>
      <c r="D69" t="s">
        <v>671</v>
      </c>
      <c r="E69">
        <v>1654</v>
      </c>
      <c r="G69" s="100">
        <v>43238</v>
      </c>
      <c r="H69" t="s">
        <v>1138</v>
      </c>
      <c r="I69" s="9" t="s">
        <v>1139</v>
      </c>
      <c r="J69" s="76" t="s">
        <v>320</v>
      </c>
      <c r="K69" s="10" t="s">
        <v>64</v>
      </c>
      <c r="L69">
        <v>947</v>
      </c>
      <c r="M69">
        <v>91</v>
      </c>
      <c r="N69" s="9">
        <f t="shared" si="22"/>
        <v>856</v>
      </c>
      <c r="O69">
        <v>273</v>
      </c>
      <c r="P69">
        <v>275</v>
      </c>
      <c r="Q69">
        <v>275</v>
      </c>
      <c r="R69" s="24">
        <f t="shared" si="31"/>
        <v>274.33333333333331</v>
      </c>
      <c r="S69">
        <v>153</v>
      </c>
      <c r="T69">
        <v>152</v>
      </c>
      <c r="U69">
        <v>152</v>
      </c>
      <c r="V69" s="24">
        <f t="shared" si="32"/>
        <v>152.33333333333334</v>
      </c>
      <c r="W69" s="36">
        <v>11.1</v>
      </c>
      <c r="X69">
        <v>11.29</v>
      </c>
      <c r="Y69">
        <v>11.22</v>
      </c>
      <c r="Z69" s="24">
        <f t="shared" si="33"/>
        <v>11.203333333333333</v>
      </c>
      <c r="AA69" s="37">
        <v>48.75</v>
      </c>
      <c r="AB69" s="37">
        <v>48.23</v>
      </c>
      <c r="AC69" s="37">
        <v>48.28</v>
      </c>
      <c r="AD69" s="24">
        <f t="shared" si="34"/>
        <v>48.419999999999995</v>
      </c>
      <c r="AE69" s="37">
        <v>89.17</v>
      </c>
      <c r="AF69" s="37">
        <v>89.15</v>
      </c>
      <c r="AG69" s="37">
        <v>89.27</v>
      </c>
      <c r="AH69" s="24">
        <f t="shared" si="35"/>
        <v>89.196666666666658</v>
      </c>
      <c r="AR69" t="s">
        <v>65</v>
      </c>
      <c r="AS69">
        <v>8</v>
      </c>
      <c r="AT69">
        <v>8</v>
      </c>
      <c r="AX69">
        <v>56.25</v>
      </c>
      <c r="AY69">
        <v>56.4</v>
      </c>
      <c r="AZ69">
        <v>56.28</v>
      </c>
      <c r="BA69" s="24">
        <f t="shared" si="36"/>
        <v>56.31</v>
      </c>
      <c r="BB69">
        <v>32.96</v>
      </c>
      <c r="BC69">
        <v>33.51</v>
      </c>
      <c r="BD69">
        <v>33.520000000000003</v>
      </c>
      <c r="BE69" s="24">
        <f t="shared" si="37"/>
        <v>33.330000000000005</v>
      </c>
      <c r="BF69">
        <v>85.02</v>
      </c>
      <c r="BG69">
        <v>85.1</v>
      </c>
      <c r="BH69">
        <v>85.04</v>
      </c>
      <c r="BI69" s="24">
        <f t="shared" si="38"/>
        <v>85.053333333333342</v>
      </c>
      <c r="BJ69" t="s">
        <v>51</v>
      </c>
      <c r="BK69" t="s">
        <v>51</v>
      </c>
      <c r="BL69" t="s">
        <v>51</v>
      </c>
      <c r="BN69" s="12"/>
      <c r="BO69"/>
      <c r="BP69"/>
      <c r="BQ69"/>
      <c r="BR69"/>
      <c r="BS69" s="12"/>
      <c r="BT69" t="s">
        <v>1140</v>
      </c>
    </row>
    <row r="70" spans="1:72" x14ac:dyDescent="0.25">
      <c r="A70" s="237" t="s">
        <v>57</v>
      </c>
      <c r="B70" s="97" t="s">
        <v>1141</v>
      </c>
      <c r="C70" t="s">
        <v>49</v>
      </c>
      <c r="D70" t="s">
        <v>671</v>
      </c>
      <c r="E70">
        <v>1663</v>
      </c>
      <c r="G70" s="100">
        <v>43241</v>
      </c>
      <c r="H70" t="s">
        <v>1142</v>
      </c>
      <c r="I70" s="9" t="s">
        <v>1108</v>
      </c>
      <c r="J70" s="76" t="s">
        <v>320</v>
      </c>
      <c r="K70" s="10" t="s">
        <v>50</v>
      </c>
      <c r="L70">
        <v>1071</v>
      </c>
      <c r="M70">
        <v>93</v>
      </c>
      <c r="N70" s="9">
        <f t="shared" si="22"/>
        <v>978</v>
      </c>
      <c r="O70">
        <v>278</v>
      </c>
      <c r="P70">
        <v>278</v>
      </c>
      <c r="Q70">
        <v>278</v>
      </c>
      <c r="R70" s="24">
        <f t="shared" si="31"/>
        <v>278</v>
      </c>
      <c r="S70">
        <v>45</v>
      </c>
      <c r="T70">
        <v>45</v>
      </c>
      <c r="U70">
        <v>45</v>
      </c>
      <c r="V70" s="24">
        <f t="shared" si="32"/>
        <v>45</v>
      </c>
      <c r="W70" s="36">
        <v>10.65</v>
      </c>
      <c r="X70">
        <v>10.57</v>
      </c>
      <c r="Y70">
        <v>10.86</v>
      </c>
      <c r="Z70" s="24">
        <f t="shared" si="33"/>
        <v>10.693333333333333</v>
      </c>
      <c r="AA70" s="37">
        <v>49.16</v>
      </c>
      <c r="AB70" s="37">
        <v>49.2</v>
      </c>
      <c r="AC70" s="37">
        <v>49.13</v>
      </c>
      <c r="AD70" s="24">
        <f t="shared" si="34"/>
        <v>49.163333333333334</v>
      </c>
      <c r="AE70" s="37">
        <v>89.16</v>
      </c>
      <c r="AF70" s="37">
        <v>89.16</v>
      </c>
      <c r="AG70" s="37">
        <v>89.16</v>
      </c>
      <c r="AH70" s="24">
        <f t="shared" si="35"/>
        <v>89.160000000000011</v>
      </c>
      <c r="AI70" s="37">
        <v>22.83</v>
      </c>
      <c r="AJ70" s="37">
        <v>22.58</v>
      </c>
      <c r="AK70" s="37">
        <v>22.34</v>
      </c>
      <c r="AL70" s="24">
        <f t="shared" ref="AL70:AL76" si="39">AVERAGE(AI70:AK70)</f>
        <v>22.583333333333332</v>
      </c>
      <c r="AM70" s="37">
        <v>31.1</v>
      </c>
      <c r="AN70" s="37">
        <v>31</v>
      </c>
      <c r="AO70" s="37">
        <v>30.98</v>
      </c>
      <c r="AP70" s="24">
        <f t="shared" ref="AP70:AP76" si="40">AVERAGE(AM70:AO70)</f>
        <v>31.026666666666667</v>
      </c>
      <c r="AX70">
        <v>55.04</v>
      </c>
      <c r="AY70">
        <v>55.09</v>
      </c>
      <c r="AZ70">
        <v>54.6</v>
      </c>
      <c r="BA70" s="24">
        <f t="shared" si="36"/>
        <v>54.91</v>
      </c>
      <c r="BB70">
        <v>33.299999999999997</v>
      </c>
      <c r="BC70">
        <v>33.56</v>
      </c>
      <c r="BD70">
        <v>33.200000000000003</v>
      </c>
      <c r="BE70" s="24">
        <f t="shared" si="37"/>
        <v>33.353333333333332</v>
      </c>
      <c r="BF70">
        <v>81.599999999999994</v>
      </c>
      <c r="BG70">
        <v>81.73</v>
      </c>
      <c r="BH70">
        <v>81.44</v>
      </c>
      <c r="BI70" s="24">
        <f t="shared" si="38"/>
        <v>81.589999999999989</v>
      </c>
      <c r="BJ70" t="s">
        <v>51</v>
      </c>
      <c r="BK70" t="s">
        <v>51</v>
      </c>
      <c r="BL70" t="s">
        <v>51</v>
      </c>
      <c r="BN70" s="12"/>
      <c r="BO70"/>
      <c r="BP70"/>
      <c r="BQ70"/>
      <c r="BR70"/>
      <c r="BS70" s="12"/>
    </row>
    <row r="71" spans="1:72" x14ac:dyDescent="0.25">
      <c r="A71" s="237" t="s">
        <v>57</v>
      </c>
      <c r="B71" s="97" t="s">
        <v>1143</v>
      </c>
      <c r="C71" t="s">
        <v>49</v>
      </c>
      <c r="D71" t="s">
        <v>671</v>
      </c>
      <c r="E71">
        <v>1670</v>
      </c>
      <c r="G71" s="100">
        <v>43242</v>
      </c>
      <c r="H71" t="s">
        <v>1144</v>
      </c>
      <c r="I71" s="9" t="s">
        <v>1111</v>
      </c>
      <c r="J71" s="76" t="s">
        <v>320</v>
      </c>
      <c r="K71" s="10" t="s">
        <v>50</v>
      </c>
      <c r="L71">
        <v>782</v>
      </c>
      <c r="M71">
        <v>95</v>
      </c>
      <c r="N71" s="9">
        <f t="shared" si="22"/>
        <v>687</v>
      </c>
      <c r="O71">
        <v>232</v>
      </c>
      <c r="P71">
        <v>232</v>
      </c>
      <c r="Q71">
        <v>232</v>
      </c>
      <c r="R71" s="24">
        <f t="shared" si="31"/>
        <v>232</v>
      </c>
      <c r="S71">
        <v>137</v>
      </c>
      <c r="T71">
        <v>136</v>
      </c>
      <c r="U71">
        <v>137</v>
      </c>
      <c r="V71" s="24">
        <f t="shared" si="32"/>
        <v>136.66666666666666</v>
      </c>
      <c r="W71" s="36">
        <v>8.23</v>
      </c>
      <c r="X71">
        <v>8.49</v>
      </c>
      <c r="Y71">
        <v>8.33</v>
      </c>
      <c r="Z71" s="24">
        <f t="shared" si="33"/>
        <v>8.35</v>
      </c>
      <c r="AA71" s="37">
        <v>45.66</v>
      </c>
      <c r="AB71" s="37">
        <v>45.75</v>
      </c>
      <c r="AC71" s="37">
        <v>45.74</v>
      </c>
      <c r="AD71" s="24">
        <f t="shared" si="34"/>
        <v>45.716666666666669</v>
      </c>
      <c r="AE71" s="37">
        <v>79.959999999999994</v>
      </c>
      <c r="AF71" s="37">
        <v>79.92</v>
      </c>
      <c r="AG71" s="37">
        <v>79.98</v>
      </c>
      <c r="AH71" s="24">
        <f t="shared" si="35"/>
        <v>79.953333333333333</v>
      </c>
      <c r="AI71" s="37">
        <v>16.97</v>
      </c>
      <c r="AJ71" s="37">
        <v>16.97</v>
      </c>
      <c r="AK71" s="37">
        <v>17.09</v>
      </c>
      <c r="AL71" s="24">
        <f t="shared" si="39"/>
        <v>17.010000000000002</v>
      </c>
      <c r="AM71" s="37">
        <v>21.19</v>
      </c>
      <c r="AN71" s="37">
        <v>21.06</v>
      </c>
      <c r="AO71" s="37">
        <v>21.04</v>
      </c>
      <c r="AP71" s="24">
        <f t="shared" si="40"/>
        <v>21.096666666666668</v>
      </c>
      <c r="AX71">
        <v>49.69</v>
      </c>
      <c r="AY71">
        <v>49.83</v>
      </c>
      <c r="AZ71">
        <v>49.78</v>
      </c>
      <c r="BA71" s="24">
        <f t="shared" si="36"/>
        <v>49.766666666666673</v>
      </c>
      <c r="BB71">
        <v>32.58</v>
      </c>
      <c r="BC71">
        <v>32.9</v>
      </c>
      <c r="BD71">
        <v>32.69</v>
      </c>
      <c r="BE71" s="24">
        <f t="shared" si="37"/>
        <v>32.723333333333329</v>
      </c>
      <c r="BF71">
        <v>77.290000000000006</v>
      </c>
      <c r="BG71">
        <v>77.290000000000006</v>
      </c>
      <c r="BH71">
        <v>77.47</v>
      </c>
      <c r="BI71" s="24">
        <f t="shared" si="38"/>
        <v>77.350000000000009</v>
      </c>
      <c r="BJ71" t="s">
        <v>51</v>
      </c>
      <c r="BK71" t="s">
        <v>51</v>
      </c>
      <c r="BL71" t="s">
        <v>51</v>
      </c>
      <c r="BN71" s="12"/>
      <c r="BO71"/>
      <c r="BP71"/>
      <c r="BQ71"/>
      <c r="BR71"/>
      <c r="BS71" s="12"/>
    </row>
    <row r="72" spans="1:72" x14ac:dyDescent="0.25">
      <c r="A72" s="237" t="s">
        <v>57</v>
      </c>
      <c r="B72" s="97" t="s">
        <v>1145</v>
      </c>
      <c r="C72" t="s">
        <v>49</v>
      </c>
      <c r="D72" t="s">
        <v>671</v>
      </c>
      <c r="E72">
        <v>1671</v>
      </c>
      <c r="G72" s="100">
        <v>43242</v>
      </c>
      <c r="H72" t="s">
        <v>1146</v>
      </c>
      <c r="I72" s="9" t="s">
        <v>1111</v>
      </c>
      <c r="J72" s="76" t="s">
        <v>322</v>
      </c>
      <c r="K72" s="10" t="s">
        <v>50</v>
      </c>
      <c r="L72">
        <v>1315</v>
      </c>
      <c r="M72">
        <v>95</v>
      </c>
      <c r="N72" s="9">
        <f t="shared" si="22"/>
        <v>1220</v>
      </c>
      <c r="O72">
        <v>315</v>
      </c>
      <c r="P72">
        <v>315</v>
      </c>
      <c r="Q72">
        <v>315</v>
      </c>
      <c r="R72" s="24">
        <f t="shared" si="31"/>
        <v>315</v>
      </c>
      <c r="S72">
        <v>167</v>
      </c>
      <c r="T72">
        <v>167</v>
      </c>
      <c r="U72">
        <v>167</v>
      </c>
      <c r="V72" s="24">
        <f t="shared" si="32"/>
        <v>167</v>
      </c>
      <c r="W72" s="36">
        <v>10.34</v>
      </c>
      <c r="X72">
        <v>10.59</v>
      </c>
      <c r="Y72">
        <v>10.44</v>
      </c>
      <c r="Z72" s="24">
        <f t="shared" si="33"/>
        <v>10.456666666666665</v>
      </c>
      <c r="AA72" s="37">
        <v>51.84</v>
      </c>
      <c r="AB72" s="37">
        <v>51.94</v>
      </c>
      <c r="AC72" s="37">
        <v>51.89</v>
      </c>
      <c r="AD72" s="24">
        <f t="shared" si="34"/>
        <v>51.890000000000008</v>
      </c>
      <c r="AE72" s="37">
        <v>96.2</v>
      </c>
      <c r="AF72" s="37">
        <v>96.18</v>
      </c>
      <c r="AG72" s="37">
        <v>96.11</v>
      </c>
      <c r="AH72" s="24">
        <f t="shared" si="35"/>
        <v>96.163333333333341</v>
      </c>
      <c r="AI72" s="37">
        <v>22.93</v>
      </c>
      <c r="AJ72" s="37">
        <v>23.18</v>
      </c>
      <c r="AK72" s="37">
        <v>23.13</v>
      </c>
      <c r="AL72" s="24">
        <f t="shared" si="39"/>
        <v>23.08</v>
      </c>
      <c r="AM72" s="37">
        <v>31.59</v>
      </c>
      <c r="AN72" s="37">
        <v>31.41</v>
      </c>
      <c r="AO72" s="37">
        <v>31.49</v>
      </c>
      <c r="AP72" s="24">
        <f t="shared" si="40"/>
        <v>31.496666666666666</v>
      </c>
      <c r="AX72">
        <v>63.73</v>
      </c>
      <c r="AY72">
        <v>63.96</v>
      </c>
      <c r="AZ72">
        <v>63.84</v>
      </c>
      <c r="BA72" s="24">
        <f t="shared" si="36"/>
        <v>63.843333333333334</v>
      </c>
      <c r="BB72">
        <v>36.42</v>
      </c>
      <c r="BC72">
        <v>36.71</v>
      </c>
      <c r="BD72">
        <v>36.450000000000003</v>
      </c>
      <c r="BE72" s="24">
        <f t="shared" si="37"/>
        <v>36.526666666666664</v>
      </c>
      <c r="BF72">
        <v>89.36</v>
      </c>
      <c r="BG72">
        <v>89.47</v>
      </c>
      <c r="BH72">
        <v>89.38</v>
      </c>
      <c r="BI72" s="24">
        <f t="shared" si="38"/>
        <v>89.403333333333322</v>
      </c>
      <c r="BJ72" t="s">
        <v>51</v>
      </c>
      <c r="BK72" t="s">
        <v>51</v>
      </c>
      <c r="BL72" t="s">
        <v>51</v>
      </c>
      <c r="BN72" s="12"/>
      <c r="BO72"/>
      <c r="BP72"/>
      <c r="BQ72"/>
      <c r="BR72"/>
      <c r="BS72" s="12"/>
    </row>
    <row r="73" spans="1:72" x14ac:dyDescent="0.25">
      <c r="A73" s="237" t="s">
        <v>57</v>
      </c>
      <c r="B73" s="97" t="s">
        <v>1147</v>
      </c>
      <c r="C73" t="s">
        <v>49</v>
      </c>
      <c r="D73" t="s">
        <v>671</v>
      </c>
      <c r="E73">
        <v>1672</v>
      </c>
      <c r="G73" s="100">
        <v>43242</v>
      </c>
      <c r="H73" t="s">
        <v>1148</v>
      </c>
      <c r="I73" s="9" t="s">
        <v>1111</v>
      </c>
      <c r="J73" s="76" t="s">
        <v>322</v>
      </c>
      <c r="K73" s="10" t="s">
        <v>50</v>
      </c>
      <c r="L73">
        <v>1106</v>
      </c>
      <c r="M73">
        <v>94</v>
      </c>
      <c r="N73" s="9">
        <f t="shared" si="22"/>
        <v>1012</v>
      </c>
      <c r="O73">
        <v>265</v>
      </c>
      <c r="P73">
        <v>265</v>
      </c>
      <c r="Q73">
        <v>265</v>
      </c>
      <c r="R73" s="24">
        <f t="shared" si="31"/>
        <v>265</v>
      </c>
      <c r="S73">
        <v>0</v>
      </c>
      <c r="T73">
        <v>0</v>
      </c>
      <c r="U73">
        <v>0</v>
      </c>
      <c r="V73" s="24">
        <f t="shared" si="32"/>
        <v>0</v>
      </c>
      <c r="W73" s="36">
        <v>0</v>
      </c>
      <c r="X73">
        <v>0</v>
      </c>
      <c r="Y73">
        <v>0</v>
      </c>
      <c r="Z73" s="24">
        <f t="shared" si="33"/>
        <v>0</v>
      </c>
      <c r="AA73" s="37">
        <v>50.8</v>
      </c>
      <c r="AB73" s="37">
        <v>50.34</v>
      </c>
      <c r="AC73" s="37">
        <v>50.34</v>
      </c>
      <c r="AD73" s="24">
        <f t="shared" si="34"/>
        <v>50.493333333333339</v>
      </c>
      <c r="AE73" s="37">
        <v>89.18</v>
      </c>
      <c r="AF73" s="37">
        <v>89.27</v>
      </c>
      <c r="AG73" s="37">
        <v>89.1</v>
      </c>
      <c r="AH73" s="24">
        <f t="shared" si="35"/>
        <v>89.183333333333323</v>
      </c>
      <c r="AI73" s="37">
        <v>22.8</v>
      </c>
      <c r="AJ73" s="37">
        <v>22.48</v>
      </c>
      <c r="AK73" s="37">
        <v>22.31</v>
      </c>
      <c r="AL73" s="24">
        <f t="shared" si="39"/>
        <v>22.53</v>
      </c>
      <c r="AM73" s="37">
        <v>31.05</v>
      </c>
      <c r="AN73" s="37">
        <v>31.25</v>
      </c>
      <c r="AO73" s="37">
        <v>30.99</v>
      </c>
      <c r="AP73" s="24">
        <f t="shared" si="40"/>
        <v>31.096666666666664</v>
      </c>
      <c r="AX73" s="37">
        <v>58.44</v>
      </c>
      <c r="AY73" s="37">
        <v>58.52</v>
      </c>
      <c r="AZ73" s="37">
        <v>58.59</v>
      </c>
      <c r="BA73" s="24">
        <f t="shared" si="36"/>
        <v>58.516666666666673</v>
      </c>
      <c r="BB73" s="37">
        <v>35.18</v>
      </c>
      <c r="BC73" s="37">
        <v>35.15</v>
      </c>
      <c r="BD73" s="37">
        <v>35.4</v>
      </c>
      <c r="BE73" s="24">
        <f t="shared" si="37"/>
        <v>35.243333333333332</v>
      </c>
      <c r="BF73" s="37">
        <v>85.42</v>
      </c>
      <c r="BG73" s="37">
        <v>85.69</v>
      </c>
      <c r="BH73" s="37">
        <v>85.92</v>
      </c>
      <c r="BI73" s="24">
        <f t="shared" si="38"/>
        <v>85.676666666666677</v>
      </c>
      <c r="BJ73" t="s">
        <v>51</v>
      </c>
      <c r="BK73" t="s">
        <v>51</v>
      </c>
      <c r="BL73" t="s">
        <v>51</v>
      </c>
      <c r="BN73" s="12"/>
      <c r="BO73"/>
      <c r="BP73"/>
      <c r="BQ73"/>
      <c r="BR73"/>
      <c r="BS73" s="12"/>
    </row>
    <row r="74" spans="1:72" x14ac:dyDescent="0.25">
      <c r="A74" s="237" t="s">
        <v>57</v>
      </c>
      <c r="B74" s="97" t="s">
        <v>1149</v>
      </c>
      <c r="C74" t="s">
        <v>49</v>
      </c>
      <c r="D74" t="s">
        <v>671</v>
      </c>
      <c r="E74">
        <v>1673</v>
      </c>
      <c r="G74" s="100">
        <v>43242</v>
      </c>
      <c r="H74" t="s">
        <v>1150</v>
      </c>
      <c r="I74" s="9" t="s">
        <v>1111</v>
      </c>
      <c r="J74" s="76" t="s">
        <v>402</v>
      </c>
      <c r="K74" s="10" t="s">
        <v>50</v>
      </c>
      <c r="L74">
        <v>510</v>
      </c>
      <c r="M74">
        <v>95</v>
      </c>
      <c r="N74" s="9">
        <f t="shared" si="22"/>
        <v>415</v>
      </c>
      <c r="O74">
        <v>182</v>
      </c>
      <c r="P74">
        <v>182</v>
      </c>
      <c r="Q74">
        <v>182</v>
      </c>
      <c r="R74" s="24">
        <f t="shared" si="31"/>
        <v>182</v>
      </c>
      <c r="S74">
        <v>110</v>
      </c>
      <c r="T74">
        <v>110</v>
      </c>
      <c r="U74">
        <v>110</v>
      </c>
      <c r="V74" s="24">
        <f t="shared" si="32"/>
        <v>110</v>
      </c>
      <c r="W74" s="36">
        <v>7.06</v>
      </c>
      <c r="X74">
        <v>7</v>
      </c>
      <c r="Y74">
        <v>7.39</v>
      </c>
      <c r="Z74" s="24">
        <f t="shared" si="33"/>
        <v>7.1499999999999995</v>
      </c>
      <c r="AA74" s="37">
        <v>37.659999999999997</v>
      </c>
      <c r="AB74" s="37">
        <v>37.53</v>
      </c>
      <c r="AC74" s="37">
        <v>37.42</v>
      </c>
      <c r="AD74" s="24">
        <f t="shared" si="34"/>
        <v>37.536666666666669</v>
      </c>
      <c r="AE74" s="37">
        <v>62.53</v>
      </c>
      <c r="AF74" s="37">
        <v>62.6</v>
      </c>
      <c r="AG74" s="37">
        <v>62.75</v>
      </c>
      <c r="AH74" s="24">
        <f t="shared" si="35"/>
        <v>62.626666666666665</v>
      </c>
      <c r="AI74" s="37">
        <v>10.54</v>
      </c>
      <c r="AJ74" s="37">
        <v>10.28</v>
      </c>
      <c r="AK74" s="37">
        <v>10.51</v>
      </c>
      <c r="AL74" s="24">
        <f t="shared" si="39"/>
        <v>10.443333333333333</v>
      </c>
      <c r="AM74" s="37">
        <v>16.3</v>
      </c>
      <c r="AN74" s="37">
        <v>16.07</v>
      </c>
      <c r="AO74" s="37">
        <v>16.239999999999998</v>
      </c>
      <c r="AP74" s="24">
        <f t="shared" si="40"/>
        <v>16.203333333333333</v>
      </c>
      <c r="AX74">
        <v>40.4</v>
      </c>
      <c r="AY74">
        <v>40.450000000000003</v>
      </c>
      <c r="AZ74">
        <v>40.479999999999997</v>
      </c>
      <c r="BA74" s="24">
        <f t="shared" si="36"/>
        <v>40.443333333333328</v>
      </c>
      <c r="BB74">
        <v>28.5</v>
      </c>
      <c r="BC74">
        <v>28.84</v>
      </c>
      <c r="BD74">
        <v>28.75</v>
      </c>
      <c r="BE74" s="24">
        <f t="shared" si="37"/>
        <v>28.696666666666669</v>
      </c>
      <c r="BF74">
        <v>70.25</v>
      </c>
      <c r="BG74">
        <v>70.260000000000005</v>
      </c>
      <c r="BH74">
        <v>70.45</v>
      </c>
      <c r="BI74" s="24">
        <f t="shared" si="38"/>
        <v>70.319999999999993</v>
      </c>
      <c r="BJ74" t="s">
        <v>51</v>
      </c>
      <c r="BK74" t="s">
        <v>51</v>
      </c>
      <c r="BL74" t="s">
        <v>51</v>
      </c>
      <c r="BN74" s="12"/>
      <c r="BO74"/>
      <c r="BP74"/>
      <c r="BQ74"/>
      <c r="BR74"/>
      <c r="BS74" s="12"/>
    </row>
    <row r="75" spans="1:72" x14ac:dyDescent="0.25">
      <c r="A75" s="237" t="s">
        <v>57</v>
      </c>
      <c r="B75" s="97" t="s">
        <v>1151</v>
      </c>
      <c r="C75" t="s">
        <v>49</v>
      </c>
      <c r="D75" t="s">
        <v>671</v>
      </c>
      <c r="E75">
        <v>1724</v>
      </c>
      <c r="G75" s="100">
        <v>43243</v>
      </c>
      <c r="H75" t="s">
        <v>1152</v>
      </c>
      <c r="I75" s="9" t="s">
        <v>1111</v>
      </c>
      <c r="J75" s="76" t="s">
        <v>316</v>
      </c>
      <c r="K75" s="10" t="s">
        <v>50</v>
      </c>
      <c r="L75">
        <v>1445</v>
      </c>
      <c r="M75">
        <v>92</v>
      </c>
      <c r="N75" s="9">
        <f t="shared" si="22"/>
        <v>1353</v>
      </c>
      <c r="O75">
        <v>290</v>
      </c>
      <c r="P75">
        <v>290</v>
      </c>
      <c r="Q75">
        <v>290</v>
      </c>
      <c r="R75" s="24">
        <f t="shared" si="31"/>
        <v>290</v>
      </c>
      <c r="S75">
        <v>167</v>
      </c>
      <c r="T75">
        <v>166</v>
      </c>
      <c r="U75">
        <v>166</v>
      </c>
      <c r="V75" s="24">
        <f t="shared" si="32"/>
        <v>166.33333333333334</v>
      </c>
      <c r="W75" s="36">
        <v>12.67</v>
      </c>
      <c r="X75">
        <v>12.71</v>
      </c>
      <c r="Y75">
        <v>12.65</v>
      </c>
      <c r="Z75" s="24">
        <f t="shared" si="33"/>
        <v>12.676666666666668</v>
      </c>
      <c r="AA75" s="37">
        <v>52.64</v>
      </c>
      <c r="AB75" t="s">
        <v>1153</v>
      </c>
      <c r="AC75" s="37">
        <v>52.77</v>
      </c>
      <c r="AD75" s="24">
        <f t="shared" si="34"/>
        <v>52.704999999999998</v>
      </c>
      <c r="AE75" s="37">
        <v>167</v>
      </c>
      <c r="AF75" s="37">
        <v>172</v>
      </c>
      <c r="AG75" s="37">
        <v>158</v>
      </c>
      <c r="AH75" s="24">
        <f t="shared" si="35"/>
        <v>165.66666666666666</v>
      </c>
      <c r="AI75" s="37">
        <v>25.62</v>
      </c>
      <c r="AJ75" s="37">
        <v>25.85</v>
      </c>
      <c r="AK75" s="37">
        <v>25.65</v>
      </c>
      <c r="AL75" s="24">
        <f t="shared" si="39"/>
        <v>25.706666666666667</v>
      </c>
      <c r="AM75" s="37">
        <v>32.35</v>
      </c>
      <c r="AN75" s="37">
        <v>32.4</v>
      </c>
      <c r="AO75" s="37">
        <v>32.450000000000003</v>
      </c>
      <c r="AP75" s="24">
        <f t="shared" si="40"/>
        <v>32.4</v>
      </c>
      <c r="AX75">
        <v>65.010000000000005</v>
      </c>
      <c r="AY75">
        <v>64.849999999999994</v>
      </c>
      <c r="AZ75">
        <v>64.95</v>
      </c>
      <c r="BA75" s="24">
        <f t="shared" si="36"/>
        <v>64.936666666666667</v>
      </c>
      <c r="BB75">
        <v>40.24</v>
      </c>
      <c r="BC75">
        <v>40.25</v>
      </c>
      <c r="BD75">
        <v>40.22</v>
      </c>
      <c r="BE75" s="24">
        <f t="shared" si="37"/>
        <v>40.236666666666672</v>
      </c>
      <c r="BF75">
        <v>86.85</v>
      </c>
      <c r="BG75">
        <v>86.6</v>
      </c>
      <c r="BH75">
        <v>86.81</v>
      </c>
      <c r="BI75" s="24">
        <f t="shared" si="38"/>
        <v>86.75333333333333</v>
      </c>
      <c r="BJ75" t="s">
        <v>51</v>
      </c>
      <c r="BK75" t="s">
        <v>51</v>
      </c>
      <c r="BL75" t="s">
        <v>51</v>
      </c>
      <c r="BN75" s="12"/>
      <c r="BO75"/>
      <c r="BP75"/>
      <c r="BQ75"/>
      <c r="BR75"/>
      <c r="BS75" s="12"/>
    </row>
    <row r="76" spans="1:72" x14ac:dyDescent="0.25">
      <c r="A76" s="237" t="s">
        <v>57</v>
      </c>
      <c r="B76" s="97" t="s">
        <v>1154</v>
      </c>
      <c r="C76" t="s">
        <v>49</v>
      </c>
      <c r="D76" t="s">
        <v>671</v>
      </c>
      <c r="E76">
        <v>1725</v>
      </c>
      <c r="G76" s="100">
        <v>43243</v>
      </c>
      <c r="H76" t="s">
        <v>1155</v>
      </c>
      <c r="I76" s="9" t="s">
        <v>1111</v>
      </c>
      <c r="J76" s="76" t="s">
        <v>320</v>
      </c>
      <c r="K76" s="10" t="s">
        <v>50</v>
      </c>
      <c r="L76">
        <v>928</v>
      </c>
      <c r="M76">
        <v>94</v>
      </c>
      <c r="N76" s="9">
        <f t="shared" si="22"/>
        <v>834</v>
      </c>
      <c r="O76">
        <v>250</v>
      </c>
      <c r="P76">
        <v>250</v>
      </c>
      <c r="Q76">
        <v>250</v>
      </c>
      <c r="R76" s="24">
        <f t="shared" si="31"/>
        <v>250</v>
      </c>
      <c r="S76">
        <v>146</v>
      </c>
      <c r="T76">
        <v>146</v>
      </c>
      <c r="U76">
        <v>146</v>
      </c>
      <c r="V76" s="24">
        <f t="shared" si="32"/>
        <v>146</v>
      </c>
      <c r="W76" s="36">
        <v>10.52</v>
      </c>
      <c r="X76">
        <v>10.94</v>
      </c>
      <c r="Y76">
        <v>10.69</v>
      </c>
      <c r="Z76" s="24">
        <f t="shared" si="33"/>
        <v>10.716666666666667</v>
      </c>
      <c r="AA76" s="37">
        <v>46.67</v>
      </c>
      <c r="AB76" s="37">
        <v>46.41</v>
      </c>
      <c r="AC76" s="37">
        <v>46.57</v>
      </c>
      <c r="AD76" s="24">
        <f t="shared" si="34"/>
        <v>46.550000000000004</v>
      </c>
      <c r="AE76" s="37">
        <v>83.58</v>
      </c>
      <c r="AF76" s="37">
        <v>83.57</v>
      </c>
      <c r="AG76" s="37">
        <v>83.57</v>
      </c>
      <c r="AH76" s="24">
        <f t="shared" si="35"/>
        <v>83.573333333333323</v>
      </c>
      <c r="AI76" s="37">
        <v>21.01</v>
      </c>
      <c r="AJ76" s="37">
        <v>20.97</v>
      </c>
      <c r="AK76" s="37">
        <v>20.86</v>
      </c>
      <c r="AL76" s="24">
        <f t="shared" si="39"/>
        <v>20.946666666666669</v>
      </c>
      <c r="AM76" s="37">
        <v>26.86</v>
      </c>
      <c r="AN76" s="37">
        <v>26.85</v>
      </c>
      <c r="AO76" s="37">
        <v>26.66</v>
      </c>
      <c r="AP76" s="24">
        <f t="shared" si="40"/>
        <v>26.790000000000003</v>
      </c>
      <c r="AX76">
        <v>52.93</v>
      </c>
      <c r="AY76">
        <v>52.99</v>
      </c>
      <c r="AZ76">
        <v>52.83</v>
      </c>
      <c r="BA76" s="24">
        <f t="shared" si="36"/>
        <v>52.916666666666664</v>
      </c>
      <c r="BB76">
        <v>33.89</v>
      </c>
      <c r="BC76">
        <v>33.86</v>
      </c>
      <c r="BD76">
        <v>33.79</v>
      </c>
      <c r="BE76" s="24">
        <f t="shared" si="37"/>
        <v>33.846666666666664</v>
      </c>
      <c r="BF76">
        <v>79.48</v>
      </c>
      <c r="BG76">
        <v>79.56</v>
      </c>
      <c r="BH76">
        <v>79.39</v>
      </c>
      <c r="BI76" s="24">
        <f t="shared" si="38"/>
        <v>79.476666666666674</v>
      </c>
      <c r="BJ76" t="s">
        <v>238</v>
      </c>
      <c r="BK76" t="s">
        <v>238</v>
      </c>
      <c r="BL76" t="s">
        <v>238</v>
      </c>
      <c r="BN76"/>
      <c r="BO76"/>
      <c r="BP76"/>
      <c r="BQ76"/>
      <c r="BR76"/>
      <c r="BS76"/>
    </row>
    <row r="77" spans="1:72" x14ac:dyDescent="0.25">
      <c r="A77" s="237" t="s">
        <v>57</v>
      </c>
      <c r="B77" s="97" t="s">
        <v>1156</v>
      </c>
      <c r="C77" t="s">
        <v>49</v>
      </c>
      <c r="D77" t="s">
        <v>671</v>
      </c>
      <c r="E77">
        <v>1516</v>
      </c>
      <c r="G77" s="100">
        <v>43245</v>
      </c>
      <c r="H77" t="s">
        <v>1157</v>
      </c>
      <c r="I77" s="9" t="s">
        <v>1108</v>
      </c>
      <c r="J77" s="76" t="s">
        <v>320</v>
      </c>
      <c r="K77" s="10" t="s">
        <v>64</v>
      </c>
      <c r="L77">
        <v>855</v>
      </c>
      <c r="M77">
        <v>91</v>
      </c>
      <c r="N77" s="9">
        <f t="shared" si="22"/>
        <v>764</v>
      </c>
      <c r="O77">
        <v>245</v>
      </c>
      <c r="P77">
        <v>245</v>
      </c>
      <c r="Q77">
        <v>245</v>
      </c>
      <c r="R77" s="24">
        <f t="shared" si="31"/>
        <v>245</v>
      </c>
      <c r="S77">
        <v>140</v>
      </c>
      <c r="T77">
        <v>140</v>
      </c>
      <c r="U77">
        <v>141</v>
      </c>
      <c r="V77" s="24">
        <f t="shared" si="32"/>
        <v>140.33333333333334</v>
      </c>
      <c r="W77" s="36">
        <v>8.0299999999999994</v>
      </c>
      <c r="X77">
        <v>8.3800000000000008</v>
      </c>
      <c r="Y77">
        <v>8.16</v>
      </c>
      <c r="Z77" s="24">
        <f t="shared" si="33"/>
        <v>8.19</v>
      </c>
      <c r="AA77" s="37">
        <v>44.43</v>
      </c>
      <c r="AB77" s="37">
        <v>44.16</v>
      </c>
      <c r="AC77" s="37">
        <v>44.28</v>
      </c>
      <c r="AD77" s="24">
        <f t="shared" si="34"/>
        <v>44.29</v>
      </c>
      <c r="AE77" s="37">
        <v>84.02</v>
      </c>
      <c r="AF77" s="37">
        <v>84.02</v>
      </c>
      <c r="AG77" s="37">
        <v>84.11</v>
      </c>
      <c r="AH77" s="24">
        <f t="shared" si="35"/>
        <v>84.05</v>
      </c>
      <c r="AM77" s="35"/>
      <c r="AN77" s="35"/>
      <c r="AO77" s="35"/>
      <c r="AR77" t="s">
        <v>65</v>
      </c>
      <c r="AS77">
        <v>8</v>
      </c>
      <c r="AT77">
        <v>1</v>
      </c>
      <c r="AX77">
        <v>49.4</v>
      </c>
      <c r="AY77">
        <v>50.02</v>
      </c>
      <c r="AZ77">
        <v>49.54</v>
      </c>
      <c r="BA77" s="24">
        <f t="shared" si="36"/>
        <v>49.653333333333336</v>
      </c>
      <c r="BB77">
        <v>31.27</v>
      </c>
      <c r="BC77">
        <v>31.42</v>
      </c>
      <c r="BD77">
        <v>31.61</v>
      </c>
      <c r="BE77" s="24">
        <f t="shared" si="37"/>
        <v>31.433333333333334</v>
      </c>
      <c r="BF77">
        <v>80.2</v>
      </c>
      <c r="BG77">
        <v>80.78</v>
      </c>
      <c r="BH77">
        <v>80.58</v>
      </c>
      <c r="BI77" s="24">
        <f t="shared" si="38"/>
        <v>80.52</v>
      </c>
      <c r="BJ77" t="s">
        <v>51</v>
      </c>
      <c r="BK77" t="s">
        <v>51</v>
      </c>
      <c r="BL77" t="s">
        <v>51</v>
      </c>
      <c r="BN77" s="12"/>
      <c r="BO77"/>
      <c r="BP77"/>
      <c r="BQ77"/>
      <c r="BR77"/>
      <c r="BS77" s="12"/>
    </row>
    <row r="78" spans="1:72" x14ac:dyDescent="0.25">
      <c r="A78" s="237" t="s">
        <v>57</v>
      </c>
      <c r="B78" s="97" t="s">
        <v>1158</v>
      </c>
      <c r="C78" t="s">
        <v>49</v>
      </c>
      <c r="D78" t="s">
        <v>671</v>
      </c>
      <c r="E78">
        <v>1518</v>
      </c>
      <c r="G78" s="100">
        <v>43246</v>
      </c>
      <c r="H78" t="s">
        <v>1159</v>
      </c>
      <c r="I78" s="9" t="s">
        <v>1111</v>
      </c>
      <c r="J78" s="76" t="s">
        <v>402</v>
      </c>
      <c r="K78" s="10" t="s">
        <v>64</v>
      </c>
      <c r="L78">
        <v>379</v>
      </c>
      <c r="M78">
        <v>95</v>
      </c>
      <c r="N78" s="9">
        <f t="shared" si="22"/>
        <v>284</v>
      </c>
      <c r="O78">
        <v>200</v>
      </c>
      <c r="P78">
        <v>200</v>
      </c>
      <c r="Q78">
        <v>201</v>
      </c>
      <c r="R78" s="24">
        <f t="shared" si="31"/>
        <v>200.33333333333334</v>
      </c>
      <c r="S78">
        <v>120</v>
      </c>
      <c r="T78">
        <v>120</v>
      </c>
      <c r="U78">
        <v>120</v>
      </c>
      <c r="V78" s="24">
        <f t="shared" si="32"/>
        <v>120</v>
      </c>
      <c r="W78" s="36">
        <v>6.81</v>
      </c>
      <c r="X78">
        <v>6.66</v>
      </c>
      <c r="Y78">
        <v>6.76</v>
      </c>
      <c r="Z78" s="24">
        <f t="shared" si="33"/>
        <v>6.7433333333333323</v>
      </c>
      <c r="AA78" s="37">
        <v>38.07</v>
      </c>
      <c r="AB78" s="37">
        <v>37.99</v>
      </c>
      <c r="AC78" s="37">
        <v>38.159999999999997</v>
      </c>
      <c r="AD78" s="24">
        <f t="shared" si="34"/>
        <v>38.073333333333331</v>
      </c>
      <c r="AE78" s="37">
        <v>66.81</v>
      </c>
      <c r="AF78" s="37">
        <v>66.790000000000006</v>
      </c>
      <c r="AG78" s="37">
        <v>66.849999999999994</v>
      </c>
      <c r="AH78" s="24">
        <f t="shared" si="35"/>
        <v>66.816666666666677</v>
      </c>
      <c r="AR78" t="s">
        <v>70</v>
      </c>
      <c r="AS78">
        <v>8</v>
      </c>
      <c r="AT78">
        <v>0</v>
      </c>
      <c r="AX78">
        <v>42.26</v>
      </c>
      <c r="AY78">
        <v>42.51</v>
      </c>
      <c r="AZ78">
        <v>42.71</v>
      </c>
      <c r="BA78" s="24">
        <f t="shared" si="36"/>
        <v>42.493333333333332</v>
      </c>
      <c r="BB78">
        <v>28.19</v>
      </c>
      <c r="BC78">
        <v>28.59</v>
      </c>
      <c r="BD78">
        <v>28.03</v>
      </c>
      <c r="BE78" s="24">
        <f t="shared" si="37"/>
        <v>28.27</v>
      </c>
      <c r="BF78">
        <v>69.05</v>
      </c>
      <c r="BG78">
        <v>68.77</v>
      </c>
      <c r="BH78">
        <v>68.650000000000006</v>
      </c>
      <c r="BI78" s="24">
        <f t="shared" si="38"/>
        <v>68.823333333333338</v>
      </c>
      <c r="BJ78" t="s">
        <v>51</v>
      </c>
      <c r="BK78" t="s">
        <v>51</v>
      </c>
      <c r="BL78" t="s">
        <v>51</v>
      </c>
    </row>
    <row r="79" spans="1:72" x14ac:dyDescent="0.25">
      <c r="A79" s="237" t="s">
        <v>57</v>
      </c>
      <c r="B79" s="97" t="s">
        <v>1160</v>
      </c>
      <c r="C79" t="s">
        <v>49</v>
      </c>
      <c r="D79" t="s">
        <v>671</v>
      </c>
      <c r="E79" t="s">
        <v>379</v>
      </c>
      <c r="G79" s="100">
        <v>43246</v>
      </c>
      <c r="H79" t="s">
        <v>1161</v>
      </c>
      <c r="I79" s="9" t="s">
        <v>1111</v>
      </c>
      <c r="J79" s="76" t="s">
        <v>322</v>
      </c>
      <c r="K79" s="10" t="s">
        <v>50</v>
      </c>
      <c r="L79">
        <v>1372</v>
      </c>
      <c r="M79">
        <v>92</v>
      </c>
      <c r="N79" s="9">
        <f t="shared" si="22"/>
        <v>1280</v>
      </c>
      <c r="O79" t="s">
        <v>379</v>
      </c>
      <c r="P79" t="s">
        <v>379</v>
      </c>
      <c r="Q79" t="s">
        <v>379</v>
      </c>
      <c r="R79" s="24" t="s">
        <v>379</v>
      </c>
      <c r="S79" t="s">
        <v>379</v>
      </c>
      <c r="T79" t="s">
        <v>379</v>
      </c>
      <c r="U79" t="s">
        <v>379</v>
      </c>
      <c r="V79" s="24" t="s">
        <v>379</v>
      </c>
      <c r="W79" t="s">
        <v>379</v>
      </c>
      <c r="X79" t="s">
        <v>379</v>
      </c>
      <c r="Y79" t="s">
        <v>379</v>
      </c>
      <c r="Z79" s="24" t="s">
        <v>379</v>
      </c>
      <c r="AA79" t="s">
        <v>379</v>
      </c>
      <c r="AB79" t="s">
        <v>379</v>
      </c>
      <c r="AC79" t="s">
        <v>379</v>
      </c>
      <c r="AD79" s="24" t="s">
        <v>379</v>
      </c>
      <c r="AE79" t="s">
        <v>379</v>
      </c>
      <c r="AF79" t="s">
        <v>379</v>
      </c>
      <c r="AG79" t="s">
        <v>379</v>
      </c>
      <c r="AH79" s="24" t="s">
        <v>379</v>
      </c>
      <c r="AI79" t="s">
        <v>379</v>
      </c>
      <c r="AJ79" t="s">
        <v>379</v>
      </c>
      <c r="AK79" t="s">
        <v>379</v>
      </c>
      <c r="AL79" s="24" t="s">
        <v>379</v>
      </c>
      <c r="AM79" t="s">
        <v>379</v>
      </c>
      <c r="AN79" t="s">
        <v>379</v>
      </c>
      <c r="AO79" t="s">
        <v>379</v>
      </c>
      <c r="AP79" s="24" t="s">
        <v>379</v>
      </c>
      <c r="AX79" t="s">
        <v>379</v>
      </c>
      <c r="AY79" t="s">
        <v>379</v>
      </c>
      <c r="AZ79" t="s">
        <v>379</v>
      </c>
      <c r="BA79" s="24" t="s">
        <v>379</v>
      </c>
      <c r="BB79" s="144" t="s">
        <v>379</v>
      </c>
      <c r="BC79" s="144" t="s">
        <v>379</v>
      </c>
      <c r="BD79" s="144" t="s">
        <v>379</v>
      </c>
      <c r="BE79" s="217" t="s">
        <v>379</v>
      </c>
      <c r="BF79" s="144" t="s">
        <v>379</v>
      </c>
      <c r="BG79" s="144" t="s">
        <v>379</v>
      </c>
      <c r="BH79" s="144" t="s">
        <v>379</v>
      </c>
      <c r="BI79" s="217" t="s">
        <v>379</v>
      </c>
      <c r="BJ79" t="s">
        <v>52</v>
      </c>
      <c r="BK79" t="s">
        <v>52</v>
      </c>
      <c r="BL79" t="s">
        <v>51</v>
      </c>
      <c r="BT79" t="s">
        <v>1162</v>
      </c>
    </row>
    <row r="80" spans="1:72" x14ac:dyDescent="0.25">
      <c r="A80" s="237" t="s">
        <v>57</v>
      </c>
      <c r="B80" s="97" t="s">
        <v>1163</v>
      </c>
      <c r="C80" t="s">
        <v>49</v>
      </c>
      <c r="D80" t="s">
        <v>671</v>
      </c>
      <c r="E80">
        <v>1519</v>
      </c>
      <c r="G80" s="100">
        <v>43246</v>
      </c>
      <c r="H80" t="s">
        <v>1164</v>
      </c>
      <c r="I80" s="9" t="s">
        <v>1111</v>
      </c>
      <c r="J80" s="76" t="s">
        <v>316</v>
      </c>
      <c r="K80" s="10" t="s">
        <v>50</v>
      </c>
      <c r="L80">
        <v>1401</v>
      </c>
      <c r="M80">
        <v>95</v>
      </c>
      <c r="N80" s="9">
        <f t="shared" si="22"/>
        <v>1306</v>
      </c>
      <c r="O80">
        <v>293</v>
      </c>
      <c r="P80">
        <v>294</v>
      </c>
      <c r="Q80">
        <v>293</v>
      </c>
      <c r="R80" s="24">
        <f>AVERAGE(O80:Q80)</f>
        <v>293.33333333333331</v>
      </c>
      <c r="S80">
        <v>160</v>
      </c>
      <c r="T80">
        <v>159</v>
      </c>
      <c r="U80">
        <v>160</v>
      </c>
      <c r="V80" s="24">
        <f>AVERAGE(S80:U80)</f>
        <v>159.66666666666666</v>
      </c>
      <c r="W80" s="36">
        <v>11.88</v>
      </c>
      <c r="X80">
        <v>11.46</v>
      </c>
      <c r="Y80">
        <v>12.05</v>
      </c>
      <c r="Z80" s="24">
        <f>AVERAGE(W80:Y80)</f>
        <v>11.796666666666667</v>
      </c>
      <c r="AA80" s="37">
        <v>52.39</v>
      </c>
      <c r="AB80" s="37">
        <v>52.33</v>
      </c>
      <c r="AC80" s="37">
        <v>52.39</v>
      </c>
      <c r="AD80" s="24">
        <f>AVERAGE(AA80:AC80)</f>
        <v>52.370000000000005</v>
      </c>
      <c r="AE80">
        <v>99.85</v>
      </c>
      <c r="AF80" s="37">
        <v>100.16</v>
      </c>
      <c r="AG80" s="37">
        <v>100.24</v>
      </c>
      <c r="AH80" s="24">
        <f>AVERAGE(AE80:AG80)</f>
        <v>100.08333333333333</v>
      </c>
      <c r="AI80" s="12">
        <v>20.350000000000001</v>
      </c>
      <c r="AJ80" s="37">
        <v>20.92</v>
      </c>
      <c r="AK80" s="37">
        <v>20.96</v>
      </c>
      <c r="AL80" s="24">
        <f>AVERAGE(AI80:AK80)</f>
        <v>20.743333333333336</v>
      </c>
      <c r="AM80" s="37">
        <v>28.64</v>
      </c>
      <c r="AN80" s="37">
        <v>28.86</v>
      </c>
      <c r="AO80" s="37">
        <v>29.07</v>
      </c>
      <c r="AP80" s="24">
        <f>AVERAGE(AM80:AO80)</f>
        <v>28.856666666666666</v>
      </c>
      <c r="AX80">
        <v>66.400000000000006</v>
      </c>
      <c r="AY80">
        <v>66.58</v>
      </c>
      <c r="AZ80">
        <v>66.41</v>
      </c>
      <c r="BA80" s="24">
        <f>AVERAGE(AX80:AZ80)</f>
        <v>66.463333333333338</v>
      </c>
      <c r="BB80">
        <v>34.86</v>
      </c>
      <c r="BC80">
        <v>34.82</v>
      </c>
      <c r="BD80">
        <v>35.11</v>
      </c>
      <c r="BE80" s="24">
        <f>AVERAGE(BB80:BD80)</f>
        <v>34.93</v>
      </c>
      <c r="BF80">
        <v>95.92</v>
      </c>
      <c r="BG80">
        <v>96.02</v>
      </c>
      <c r="BH80">
        <v>96.51</v>
      </c>
      <c r="BI80" s="24">
        <f>AVERAGE(BF80:BH80)</f>
        <v>96.149999999999991</v>
      </c>
      <c r="BJ80" t="s">
        <v>51</v>
      </c>
      <c r="BK80" t="s">
        <v>51</v>
      </c>
      <c r="BL80" t="s">
        <v>51</v>
      </c>
    </row>
    <row r="81" spans="1:81" x14ac:dyDescent="0.25">
      <c r="A81" s="237" t="s">
        <v>57</v>
      </c>
      <c r="B81" s="97" t="s">
        <v>1165</v>
      </c>
      <c r="C81" t="s">
        <v>49</v>
      </c>
      <c r="D81" t="s">
        <v>671</v>
      </c>
      <c r="E81">
        <v>1520</v>
      </c>
      <c r="G81" s="100">
        <v>43246</v>
      </c>
      <c r="H81" t="s">
        <v>1166</v>
      </c>
      <c r="I81" s="9" t="s">
        <v>1111</v>
      </c>
      <c r="J81" s="76" t="s">
        <v>320</v>
      </c>
      <c r="K81" s="10" t="s">
        <v>64</v>
      </c>
      <c r="L81">
        <v>885</v>
      </c>
      <c r="M81">
        <v>93</v>
      </c>
      <c r="N81" s="9">
        <f t="shared" si="22"/>
        <v>792</v>
      </c>
      <c r="O81">
        <v>265</v>
      </c>
      <c r="P81">
        <v>265</v>
      </c>
      <c r="Q81">
        <v>264</v>
      </c>
      <c r="R81" s="24">
        <f>AVERAGE(O81:Q81)</f>
        <v>264.66666666666669</v>
      </c>
      <c r="S81">
        <v>100</v>
      </c>
      <c r="T81">
        <v>100</v>
      </c>
      <c r="U81">
        <v>99</v>
      </c>
      <c r="V81" s="24">
        <f>AVERAGE(S81:U81)</f>
        <v>99.666666666666671</v>
      </c>
      <c r="W81" s="36">
        <v>8.51</v>
      </c>
      <c r="X81">
        <v>8.3800000000000008</v>
      </c>
      <c r="Y81">
        <v>8.6199999999999992</v>
      </c>
      <c r="Z81" s="24">
        <f>AVERAGE(W81:Y81)</f>
        <v>8.5033333333333321</v>
      </c>
      <c r="AA81" s="37">
        <v>45.78</v>
      </c>
      <c r="AB81" s="37">
        <v>46.02</v>
      </c>
      <c r="AC81" s="37">
        <v>45.96</v>
      </c>
      <c r="AD81" s="24">
        <f>AVERAGE(AA81:AC81)</f>
        <v>45.920000000000009</v>
      </c>
      <c r="AE81" s="37">
        <v>81.400000000000006</v>
      </c>
      <c r="AF81" s="37">
        <v>81.8</v>
      </c>
      <c r="AG81" s="37">
        <v>81.47</v>
      </c>
      <c r="AH81" s="24">
        <f>AVERAGE(AE81:AG81)</f>
        <v>81.556666666666658</v>
      </c>
      <c r="AR81" t="s">
        <v>65</v>
      </c>
      <c r="AS81">
        <v>8</v>
      </c>
      <c r="AT81">
        <v>7</v>
      </c>
      <c r="AX81">
        <v>52.84</v>
      </c>
      <c r="AY81">
        <v>52.62</v>
      </c>
      <c r="AZ81">
        <v>52.88</v>
      </c>
      <c r="BA81" s="24">
        <f>AVERAGE(AX81:AZ81)</f>
        <v>52.78</v>
      </c>
      <c r="BB81">
        <v>32.299999999999997</v>
      </c>
      <c r="BC81">
        <v>32.19</v>
      </c>
      <c r="BD81">
        <v>32.03</v>
      </c>
      <c r="BE81" s="24">
        <f>AVERAGE(BB81:BD81)</f>
        <v>32.173333333333332</v>
      </c>
      <c r="BF81">
        <v>79.56</v>
      </c>
      <c r="BG81">
        <v>79.84</v>
      </c>
      <c r="BH81">
        <v>79.52</v>
      </c>
      <c r="BI81" s="24">
        <f>AVERAGE(BF81:BH81)</f>
        <v>79.64</v>
      </c>
      <c r="BJ81" t="s">
        <v>51</v>
      </c>
      <c r="BK81" t="s">
        <v>51</v>
      </c>
      <c r="BL81" t="s">
        <v>51</v>
      </c>
    </row>
    <row r="82" spans="1:81" x14ac:dyDescent="0.25">
      <c r="A82" s="237" t="s">
        <v>57</v>
      </c>
      <c r="B82" s="97" t="s">
        <v>1167</v>
      </c>
      <c r="C82" t="s">
        <v>49</v>
      </c>
      <c r="D82" t="s">
        <v>671</v>
      </c>
      <c r="E82">
        <v>1720</v>
      </c>
      <c r="G82" s="100">
        <v>43247</v>
      </c>
      <c r="H82" t="s">
        <v>1168</v>
      </c>
      <c r="I82" s="9" t="s">
        <v>1111</v>
      </c>
      <c r="J82" s="76" t="s">
        <v>320</v>
      </c>
      <c r="K82" s="10" t="s">
        <v>50</v>
      </c>
      <c r="L82">
        <v>701</v>
      </c>
      <c r="M82">
        <v>94</v>
      </c>
      <c r="N82" s="9">
        <f t="shared" si="22"/>
        <v>607</v>
      </c>
      <c r="O82">
        <v>220</v>
      </c>
      <c r="P82">
        <v>220</v>
      </c>
      <c r="Q82">
        <v>220</v>
      </c>
      <c r="R82" s="24">
        <f>AVERAGE(O82:Q82)</f>
        <v>220</v>
      </c>
      <c r="S82">
        <v>130</v>
      </c>
      <c r="T82">
        <v>129</v>
      </c>
      <c r="U82">
        <v>129</v>
      </c>
      <c r="V82" s="24">
        <f>AVERAGE(S82:U82)</f>
        <v>129.33333333333334</v>
      </c>
      <c r="W82" s="36">
        <v>9.43</v>
      </c>
      <c r="X82">
        <v>9.5</v>
      </c>
      <c r="Y82">
        <v>9.57</v>
      </c>
      <c r="Z82" s="24">
        <f>AVERAGE(W82:Y82)</f>
        <v>9.5</v>
      </c>
      <c r="AA82" s="37">
        <v>43.7</v>
      </c>
      <c r="AB82" s="37">
        <v>43.66</v>
      </c>
      <c r="AC82" s="37">
        <v>43.57</v>
      </c>
      <c r="AD82" s="24">
        <f>AVERAGE(AA82:AC82)</f>
        <v>43.643333333333338</v>
      </c>
      <c r="AE82" s="37">
        <v>75.27</v>
      </c>
      <c r="AF82" s="37">
        <v>75.22</v>
      </c>
      <c r="AG82" s="37">
        <v>75.13</v>
      </c>
      <c r="AH82" s="24">
        <f>AVERAGE(AE82:AG82)</f>
        <v>75.206666666666663</v>
      </c>
      <c r="AI82" s="37">
        <v>15.57</v>
      </c>
      <c r="AJ82" s="37">
        <v>15.66</v>
      </c>
      <c r="AK82" s="37">
        <v>15.7</v>
      </c>
      <c r="AM82" s="37">
        <v>21</v>
      </c>
      <c r="AN82" s="37">
        <v>20.91</v>
      </c>
      <c r="AO82" s="37">
        <v>20.96</v>
      </c>
      <c r="AX82">
        <v>48.68</v>
      </c>
      <c r="AY82">
        <v>48.78</v>
      </c>
      <c r="AZ82">
        <v>48.79</v>
      </c>
      <c r="BA82" s="24">
        <f>AVERAGE(AX82:AZ82)</f>
        <v>48.75</v>
      </c>
      <c r="BB82">
        <v>33.68</v>
      </c>
      <c r="BC82">
        <v>33.770000000000003</v>
      </c>
      <c r="BD82">
        <v>33.58</v>
      </c>
      <c r="BE82" s="24">
        <f>AVERAGE(BB82:BD82)</f>
        <v>33.676666666666669</v>
      </c>
      <c r="BF82">
        <v>74.92</v>
      </c>
      <c r="BG82">
        <v>74.67</v>
      </c>
      <c r="BH82">
        <v>74.569999999999993</v>
      </c>
      <c r="BI82" s="24">
        <f>AVERAGE(BF82:BH82)</f>
        <v>74.72</v>
      </c>
      <c r="BJ82" t="s">
        <v>51</v>
      </c>
      <c r="BK82" t="s">
        <v>51</v>
      </c>
      <c r="BL82" t="s">
        <v>51</v>
      </c>
    </row>
    <row r="83" spans="1:81" s="176" customFormat="1" x14ac:dyDescent="0.25">
      <c r="A83" s="238" t="s">
        <v>1218</v>
      </c>
      <c r="I83" s="177"/>
      <c r="J83" s="226"/>
      <c r="K83" s="179"/>
      <c r="N83" s="177"/>
      <c r="R83" s="180"/>
      <c r="V83" s="180"/>
      <c r="W83" s="181"/>
      <c r="Z83" s="180"/>
      <c r="AD83" s="180"/>
      <c r="AH83" s="180"/>
      <c r="AI83" s="182"/>
      <c r="AJ83" s="182"/>
      <c r="AK83" s="182"/>
      <c r="AL83" s="177"/>
      <c r="AM83" s="182"/>
      <c r="AN83" s="182"/>
      <c r="AO83" s="182"/>
      <c r="AP83" s="177"/>
      <c r="AQ83" s="179"/>
      <c r="AV83" s="182"/>
      <c r="AW83" s="177"/>
      <c r="BA83" s="180"/>
      <c r="BE83" s="180"/>
      <c r="BI83" s="180"/>
      <c r="BN83" s="177"/>
      <c r="BO83" s="182"/>
      <c r="BP83" s="182"/>
      <c r="BQ83" s="182"/>
      <c r="BR83" s="182"/>
      <c r="BS83" s="177"/>
      <c r="BT83" s="183" t="s">
        <v>1169</v>
      </c>
      <c r="BU83" s="183" t="s">
        <v>1170</v>
      </c>
      <c r="BV83" s="183" t="s">
        <v>1171</v>
      </c>
      <c r="BW83" s="239">
        <v>0.1</v>
      </c>
      <c r="BX83" s="183" t="s">
        <v>1172</v>
      </c>
      <c r="BY83" s="183" t="s">
        <v>1173</v>
      </c>
      <c r="BZ83" s="183" t="s">
        <v>1174</v>
      </c>
      <c r="CA83" s="183" t="s">
        <v>1175</v>
      </c>
      <c r="CB83" s="183" t="s">
        <v>1176</v>
      </c>
      <c r="CC83" s="183" t="s">
        <v>1177</v>
      </c>
    </row>
    <row r="84" spans="1:81" x14ac:dyDescent="0.25">
      <c r="A84" s="237" t="s">
        <v>57</v>
      </c>
      <c r="B84" s="97" t="s">
        <v>1178</v>
      </c>
      <c r="C84" t="s">
        <v>49</v>
      </c>
      <c r="D84" t="s">
        <v>289</v>
      </c>
      <c r="E84" t="s">
        <v>202</v>
      </c>
      <c r="G84" s="100">
        <v>43329</v>
      </c>
      <c r="H84" t="s">
        <v>1179</v>
      </c>
      <c r="I84" s="9" t="s">
        <v>1111</v>
      </c>
      <c r="J84" s="76" t="s">
        <v>320</v>
      </c>
      <c r="K84" s="10" t="s">
        <v>50</v>
      </c>
      <c r="L84">
        <v>1469</v>
      </c>
      <c r="M84">
        <v>93</v>
      </c>
      <c r="O84">
        <v>254</v>
      </c>
      <c r="P84">
        <v>254</v>
      </c>
      <c r="Q84">
        <v>256</v>
      </c>
      <c r="S84">
        <v>170</v>
      </c>
      <c r="T84">
        <v>170</v>
      </c>
      <c r="U84">
        <v>171</v>
      </c>
      <c r="W84" s="36">
        <v>13.08</v>
      </c>
      <c r="X84">
        <v>13.04</v>
      </c>
      <c r="Y84">
        <v>13.59</v>
      </c>
      <c r="AA84" s="37">
        <v>49.88</v>
      </c>
      <c r="AB84" s="37">
        <v>49.35</v>
      </c>
      <c r="AC84" s="37">
        <v>49.69</v>
      </c>
      <c r="AE84" s="37">
        <v>97.38</v>
      </c>
      <c r="AF84" s="37">
        <v>97.68</v>
      </c>
      <c r="AG84" s="37">
        <v>97.85</v>
      </c>
      <c r="AI84" s="37">
        <v>21.12</v>
      </c>
      <c r="AJ84" s="37">
        <v>21.4</v>
      </c>
      <c r="AK84" s="37">
        <v>21.68</v>
      </c>
      <c r="AM84" s="37">
        <v>32.19</v>
      </c>
      <c r="AN84" s="37">
        <v>32.119999999999997</v>
      </c>
      <c r="AO84" s="37">
        <v>32.24</v>
      </c>
      <c r="AX84" s="37">
        <v>61.91</v>
      </c>
      <c r="AY84" s="37">
        <v>61.54</v>
      </c>
      <c r="AZ84" s="37">
        <v>61.91</v>
      </c>
      <c r="BA84" s="9"/>
      <c r="BB84" s="37">
        <v>37.99</v>
      </c>
      <c r="BC84" s="37">
        <v>37.68</v>
      </c>
      <c r="BD84" s="37">
        <v>37.299999999999997</v>
      </c>
      <c r="BF84" s="37">
        <v>84.85</v>
      </c>
      <c r="BG84" s="37">
        <v>84.81</v>
      </c>
      <c r="BH84" s="37">
        <v>84.03</v>
      </c>
      <c r="BJ84" t="s">
        <v>51</v>
      </c>
      <c r="BK84" t="s">
        <v>51</v>
      </c>
      <c r="BL84" t="s">
        <v>51</v>
      </c>
      <c r="BT84" t="s">
        <v>1180</v>
      </c>
      <c r="BU84" t="s">
        <v>1181</v>
      </c>
      <c r="BV84" t="s">
        <v>1181</v>
      </c>
      <c r="BW84" t="s">
        <v>1182</v>
      </c>
      <c r="BX84" t="s">
        <v>1181</v>
      </c>
      <c r="BY84" s="36">
        <v>12.19</v>
      </c>
      <c r="BZ84" s="36">
        <v>13.04</v>
      </c>
      <c r="CA84" s="36">
        <v>13.37</v>
      </c>
      <c r="CB84">
        <v>1</v>
      </c>
      <c r="CC84" t="s">
        <v>1183</v>
      </c>
    </row>
    <row r="85" spans="1:81" x14ac:dyDescent="0.25">
      <c r="A85" s="237" t="s">
        <v>57</v>
      </c>
      <c r="B85" s="97" t="s">
        <v>1184</v>
      </c>
      <c r="C85" t="s">
        <v>49</v>
      </c>
      <c r="D85" t="s">
        <v>289</v>
      </c>
      <c r="E85" t="s">
        <v>202</v>
      </c>
      <c r="G85" s="100">
        <v>43329</v>
      </c>
      <c r="H85" t="s">
        <v>1185</v>
      </c>
      <c r="I85" s="9" t="s">
        <v>1111</v>
      </c>
      <c r="J85" s="76" t="s">
        <v>402</v>
      </c>
      <c r="K85" s="10" t="s">
        <v>50</v>
      </c>
      <c r="L85">
        <v>1142</v>
      </c>
      <c r="M85">
        <v>91</v>
      </c>
      <c r="O85">
        <v>246</v>
      </c>
      <c r="P85">
        <v>246</v>
      </c>
      <c r="Q85">
        <v>247</v>
      </c>
      <c r="S85">
        <v>156</v>
      </c>
      <c r="T85">
        <v>157</v>
      </c>
      <c r="U85">
        <v>157</v>
      </c>
      <c r="W85" s="36">
        <v>10.74</v>
      </c>
      <c r="X85">
        <v>10.51</v>
      </c>
      <c r="Y85">
        <v>10.28</v>
      </c>
      <c r="AA85" s="37">
        <v>48.85</v>
      </c>
      <c r="AB85" s="37">
        <v>48.58</v>
      </c>
      <c r="AC85" s="37">
        <v>48.66</v>
      </c>
      <c r="AE85" s="37">
        <v>97.2</v>
      </c>
      <c r="AF85" s="37">
        <v>97.24</v>
      </c>
      <c r="AG85" s="37">
        <v>97.26</v>
      </c>
      <c r="AI85" s="37">
        <v>21.79</v>
      </c>
      <c r="AJ85" s="37">
        <v>21.23</v>
      </c>
      <c r="AK85" s="37">
        <v>21.69</v>
      </c>
      <c r="AM85" s="37">
        <v>31.81</v>
      </c>
      <c r="AN85" s="37">
        <v>31.24</v>
      </c>
      <c r="AO85" s="37">
        <v>31.77</v>
      </c>
      <c r="AX85">
        <v>57.41</v>
      </c>
      <c r="AY85">
        <v>57.9</v>
      </c>
      <c r="AZ85">
        <v>57.58</v>
      </c>
      <c r="BB85">
        <v>36.68</v>
      </c>
      <c r="BC85">
        <v>36.549999999999997</v>
      </c>
      <c r="BD85">
        <v>36.99</v>
      </c>
      <c r="BF85">
        <v>88.27</v>
      </c>
      <c r="BG85">
        <v>88.47</v>
      </c>
      <c r="BH85">
        <v>88.24</v>
      </c>
      <c r="BJ85" t="s">
        <v>51</v>
      </c>
      <c r="BK85" t="s">
        <v>51</v>
      </c>
      <c r="BL85" t="s">
        <v>51</v>
      </c>
      <c r="BT85" t="s">
        <v>202</v>
      </c>
      <c r="BU85" t="s">
        <v>1181</v>
      </c>
      <c r="BV85" t="s">
        <v>1181</v>
      </c>
      <c r="BW85" t="s">
        <v>1186</v>
      </c>
      <c r="BX85" t="s">
        <v>1181</v>
      </c>
      <c r="BY85" s="36">
        <v>15.34</v>
      </c>
      <c r="BZ85" s="36">
        <v>16.100000000000001</v>
      </c>
      <c r="CA85" s="36">
        <v>16.3</v>
      </c>
      <c r="CB85">
        <v>2</v>
      </c>
      <c r="CC85" t="s">
        <v>1187</v>
      </c>
    </row>
    <row r="86" spans="1:81" x14ac:dyDescent="0.25">
      <c r="A86" s="237" t="s">
        <v>57</v>
      </c>
      <c r="B86" s="97" t="s">
        <v>1188</v>
      </c>
      <c r="C86" t="s">
        <v>49</v>
      </c>
      <c r="D86" t="s">
        <v>1189</v>
      </c>
      <c r="E86" t="s">
        <v>202</v>
      </c>
      <c r="G86" s="100">
        <v>43330</v>
      </c>
      <c r="H86" t="s">
        <v>1190</v>
      </c>
      <c r="I86" s="9" t="s">
        <v>1111</v>
      </c>
      <c r="J86" s="76" t="s">
        <v>320</v>
      </c>
      <c r="K86" s="10" t="s">
        <v>50</v>
      </c>
      <c r="L86">
        <v>1125</v>
      </c>
      <c r="M86">
        <v>95</v>
      </c>
      <c r="O86">
        <v>242</v>
      </c>
      <c r="P86">
        <v>242</v>
      </c>
      <c r="Q86">
        <v>241</v>
      </c>
      <c r="S86">
        <v>149</v>
      </c>
      <c r="T86">
        <v>150</v>
      </c>
      <c r="U86">
        <v>150</v>
      </c>
      <c r="W86" s="36">
        <v>10.02</v>
      </c>
      <c r="X86">
        <v>9.9499999999999993</v>
      </c>
      <c r="Y86">
        <v>9.9600000000000009</v>
      </c>
      <c r="AA86" s="37">
        <v>45.49</v>
      </c>
      <c r="AB86" s="37">
        <v>45.85</v>
      </c>
      <c r="AC86" s="37">
        <v>45.44</v>
      </c>
      <c r="AE86" s="37">
        <v>88.39</v>
      </c>
      <c r="AF86" s="37">
        <v>88.03</v>
      </c>
      <c r="AG86" s="37">
        <v>88.16</v>
      </c>
      <c r="AI86" s="37">
        <v>21.95</v>
      </c>
      <c r="AJ86" s="37">
        <v>21.65</v>
      </c>
      <c r="AK86" s="37">
        <v>21.52</v>
      </c>
      <c r="AM86" s="37">
        <v>26.43</v>
      </c>
      <c r="AN86" s="37">
        <v>26.19</v>
      </c>
      <c r="AO86" s="37">
        <v>26.68</v>
      </c>
      <c r="AX86">
        <v>56.42</v>
      </c>
      <c r="AY86">
        <v>56.89</v>
      </c>
      <c r="AZ86">
        <v>56.82</v>
      </c>
      <c r="BB86">
        <v>36.85</v>
      </c>
      <c r="BC86">
        <v>36.43</v>
      </c>
      <c r="BD86">
        <v>36.25</v>
      </c>
      <c r="BF86">
        <v>84.03</v>
      </c>
      <c r="BG86">
        <v>84.22</v>
      </c>
      <c r="BH86">
        <v>84.13</v>
      </c>
      <c r="BJ86" t="s">
        <v>51</v>
      </c>
      <c r="BK86" t="s">
        <v>51</v>
      </c>
      <c r="BL86" t="s">
        <v>51</v>
      </c>
      <c r="BT86" t="s">
        <v>1191</v>
      </c>
      <c r="BU86" t="s">
        <v>1181</v>
      </c>
      <c r="BV86" t="s">
        <v>1192</v>
      </c>
      <c r="BW86" t="s">
        <v>1181</v>
      </c>
      <c r="BX86" t="s">
        <v>1181</v>
      </c>
      <c r="BY86" s="36">
        <v>10.55</v>
      </c>
      <c r="BZ86" s="36">
        <v>11.29</v>
      </c>
      <c r="CA86" s="36">
        <v>11.5</v>
      </c>
      <c r="CB86">
        <v>3</v>
      </c>
      <c r="CC86" t="s">
        <v>1183</v>
      </c>
    </row>
    <row r="87" spans="1:81" x14ac:dyDescent="0.25">
      <c r="A87" s="237" t="s">
        <v>57</v>
      </c>
      <c r="B87" s="97" t="s">
        <v>1193</v>
      </c>
      <c r="C87" t="s">
        <v>49</v>
      </c>
      <c r="D87" t="s">
        <v>1189</v>
      </c>
      <c r="E87" t="s">
        <v>202</v>
      </c>
      <c r="G87" s="100">
        <v>43330</v>
      </c>
      <c r="H87" t="s">
        <v>1194</v>
      </c>
      <c r="I87" s="9" t="s">
        <v>1111</v>
      </c>
      <c r="J87" s="76" t="s">
        <v>402</v>
      </c>
      <c r="K87" s="10" t="s">
        <v>50</v>
      </c>
      <c r="L87">
        <v>1127</v>
      </c>
      <c r="M87">
        <v>95</v>
      </c>
      <c r="O87">
        <v>240</v>
      </c>
      <c r="P87">
        <v>240</v>
      </c>
      <c r="Q87">
        <v>240</v>
      </c>
      <c r="S87">
        <v>148</v>
      </c>
      <c r="T87">
        <v>148</v>
      </c>
      <c r="U87">
        <v>147</v>
      </c>
      <c r="W87" s="36">
        <v>10.09</v>
      </c>
      <c r="X87">
        <v>10.87</v>
      </c>
      <c r="Y87">
        <v>10.64</v>
      </c>
      <c r="AA87" s="37">
        <v>45.73</v>
      </c>
      <c r="AB87" s="37">
        <v>45.56</v>
      </c>
      <c r="AC87" s="37">
        <v>45.88</v>
      </c>
      <c r="AE87" s="37">
        <v>87.06</v>
      </c>
      <c r="AF87" s="37">
        <v>87.22</v>
      </c>
      <c r="AG87" s="37">
        <v>87.49</v>
      </c>
      <c r="AI87" s="37">
        <v>21.09</v>
      </c>
      <c r="AJ87" s="37">
        <v>21.06</v>
      </c>
      <c r="AK87" s="37">
        <v>21.59</v>
      </c>
      <c r="AM87" s="37">
        <v>28.32</v>
      </c>
      <c r="AN87" s="37">
        <v>28.18</v>
      </c>
      <c r="AO87" s="37">
        <v>28.17</v>
      </c>
      <c r="AX87">
        <v>57.01</v>
      </c>
      <c r="AY87">
        <v>57.55</v>
      </c>
      <c r="AZ87">
        <v>57.56</v>
      </c>
      <c r="BB87">
        <v>38.299999999999997</v>
      </c>
      <c r="BC87">
        <v>38.25</v>
      </c>
      <c r="BD87">
        <v>38.840000000000003</v>
      </c>
      <c r="BF87">
        <v>83.11</v>
      </c>
      <c r="BG87">
        <v>83.05</v>
      </c>
      <c r="BH87">
        <v>83.06</v>
      </c>
      <c r="BJ87" t="s">
        <v>51</v>
      </c>
      <c r="BK87" t="s">
        <v>51</v>
      </c>
      <c r="BL87" t="s">
        <v>51</v>
      </c>
      <c r="BT87" t="s">
        <v>1195</v>
      </c>
      <c r="BU87" t="s">
        <v>1181</v>
      </c>
      <c r="BV87" t="s">
        <v>1181</v>
      </c>
      <c r="BW87" t="s">
        <v>1181</v>
      </c>
      <c r="BX87" t="s">
        <v>1181</v>
      </c>
      <c r="BY87" s="36">
        <v>12.45</v>
      </c>
      <c r="BZ87" s="36">
        <v>13.17</v>
      </c>
      <c r="CA87" s="36">
        <v>13.36</v>
      </c>
      <c r="CB87">
        <v>4</v>
      </c>
      <c r="CC87" t="s">
        <v>1187</v>
      </c>
    </row>
    <row r="88" spans="1:81" x14ac:dyDescent="0.25">
      <c r="A88" s="237" t="s">
        <v>57</v>
      </c>
      <c r="B88" s="97" t="s">
        <v>1149</v>
      </c>
      <c r="C88" t="s">
        <v>49</v>
      </c>
      <c r="D88" t="s">
        <v>1189</v>
      </c>
      <c r="E88" t="s">
        <v>202</v>
      </c>
      <c r="G88" s="100">
        <v>43330</v>
      </c>
      <c r="H88" t="s">
        <v>1196</v>
      </c>
      <c r="I88" s="9" t="s">
        <v>1111</v>
      </c>
      <c r="J88" s="76" t="s">
        <v>402</v>
      </c>
      <c r="K88" s="10" t="s">
        <v>50</v>
      </c>
      <c r="L88">
        <v>731</v>
      </c>
      <c r="M88">
        <v>93</v>
      </c>
      <c r="O88">
        <v>210</v>
      </c>
      <c r="P88">
        <v>211</v>
      </c>
      <c r="Q88">
        <v>211</v>
      </c>
      <c r="S88">
        <v>125</v>
      </c>
      <c r="T88">
        <v>125</v>
      </c>
      <c r="U88">
        <v>125</v>
      </c>
      <c r="W88" s="36">
        <v>9.52</v>
      </c>
      <c r="X88">
        <v>9.56</v>
      </c>
      <c r="Y88">
        <v>9.1</v>
      </c>
      <c r="AA88" s="37">
        <v>37.979999999999997</v>
      </c>
      <c r="AB88" s="37">
        <v>37.880000000000003</v>
      </c>
      <c r="AC88" s="37">
        <v>37.31</v>
      </c>
      <c r="AE88" s="37">
        <v>76.510000000000005</v>
      </c>
      <c r="AF88" s="37">
        <v>76.86</v>
      </c>
      <c r="AG88" s="37">
        <v>76.72</v>
      </c>
      <c r="AI88" s="37">
        <v>20.73</v>
      </c>
      <c r="AJ88" s="37">
        <v>20.21</v>
      </c>
      <c r="AK88" s="37">
        <v>20.22</v>
      </c>
      <c r="AM88" s="37">
        <v>29.98</v>
      </c>
      <c r="AN88" s="37">
        <v>29.86</v>
      </c>
      <c r="AO88" s="37">
        <v>29.21</v>
      </c>
      <c r="AX88">
        <v>51.11</v>
      </c>
      <c r="AY88">
        <v>51.28</v>
      </c>
      <c r="AZ88">
        <v>51.9</v>
      </c>
      <c r="BB88">
        <v>33.61</v>
      </c>
      <c r="BC88">
        <v>33.72</v>
      </c>
      <c r="BD88">
        <v>33.799999999999997</v>
      </c>
      <c r="BF88">
        <v>82.32</v>
      </c>
      <c r="BG88">
        <v>81.92</v>
      </c>
      <c r="BH88">
        <v>82.27</v>
      </c>
      <c r="BJ88" t="s">
        <v>51</v>
      </c>
      <c r="BK88" t="s">
        <v>51</v>
      </c>
      <c r="BL88" t="s">
        <v>51</v>
      </c>
      <c r="BT88" t="s">
        <v>1197</v>
      </c>
      <c r="BU88" t="s">
        <v>1181</v>
      </c>
      <c r="BV88" t="s">
        <v>1181</v>
      </c>
      <c r="BW88" t="s">
        <v>1181</v>
      </c>
      <c r="BX88" t="s">
        <v>1198</v>
      </c>
      <c r="BY88" s="36">
        <v>15.13</v>
      </c>
      <c r="BZ88" s="36">
        <v>15.44</v>
      </c>
      <c r="CA88" s="36">
        <v>15.58</v>
      </c>
      <c r="CB88" s="36">
        <v>5</v>
      </c>
      <c r="CC88" t="s">
        <v>1183</v>
      </c>
    </row>
    <row r="89" spans="1:81" x14ac:dyDescent="0.25">
      <c r="A89" s="237" t="s">
        <v>57</v>
      </c>
      <c r="B89" s="97" t="s">
        <v>1199</v>
      </c>
      <c r="C89" t="s">
        <v>49</v>
      </c>
      <c r="D89" t="s">
        <v>1189</v>
      </c>
      <c r="E89" t="s">
        <v>202</v>
      </c>
      <c r="G89" s="100">
        <v>43331</v>
      </c>
      <c r="H89" t="s">
        <v>1200</v>
      </c>
      <c r="I89" s="9" t="s">
        <v>1111</v>
      </c>
      <c r="J89" s="76" t="s">
        <v>322</v>
      </c>
      <c r="K89" s="10" t="s">
        <v>64</v>
      </c>
      <c r="L89">
        <v>1285</v>
      </c>
      <c r="M89">
        <v>93</v>
      </c>
      <c r="O89">
        <v>263</v>
      </c>
      <c r="P89">
        <v>263</v>
      </c>
      <c r="Q89">
        <v>263</v>
      </c>
      <c r="S89">
        <v>140</v>
      </c>
      <c r="T89">
        <v>140</v>
      </c>
      <c r="U89">
        <v>140</v>
      </c>
      <c r="W89" s="36">
        <v>10.41</v>
      </c>
      <c r="X89">
        <v>10.69</v>
      </c>
      <c r="Y89">
        <v>10.66</v>
      </c>
      <c r="AA89" s="37">
        <v>45.77</v>
      </c>
      <c r="AB89" s="37">
        <v>45.06</v>
      </c>
      <c r="AC89" s="37">
        <v>45.48</v>
      </c>
      <c r="AE89" s="37">
        <v>94.8</v>
      </c>
      <c r="AF89" s="37">
        <v>94.99</v>
      </c>
      <c r="AG89" s="37">
        <v>94.01</v>
      </c>
      <c r="AR89" t="s">
        <v>65</v>
      </c>
      <c r="AS89">
        <v>8</v>
      </c>
      <c r="AT89">
        <v>1</v>
      </c>
      <c r="AU89">
        <v>1</v>
      </c>
      <c r="AX89" s="35">
        <v>56.7</v>
      </c>
      <c r="AY89" s="35">
        <v>56.42</v>
      </c>
      <c r="AZ89" s="35">
        <v>56.92</v>
      </c>
      <c r="BB89" s="35">
        <v>36.01</v>
      </c>
      <c r="BC89" s="35">
        <v>36.020000000000003</v>
      </c>
      <c r="BD89" s="35">
        <v>36.64</v>
      </c>
      <c r="BF89" s="35">
        <v>89.54</v>
      </c>
      <c r="BG89" s="35">
        <v>89.45</v>
      </c>
      <c r="BH89" s="35">
        <v>89.3</v>
      </c>
      <c r="BJ89" t="s">
        <v>52</v>
      </c>
      <c r="BK89" t="s">
        <v>51</v>
      </c>
      <c r="BL89" t="s">
        <v>51</v>
      </c>
    </row>
    <row r="90" spans="1:81" x14ac:dyDescent="0.25">
      <c r="A90" s="237" t="s">
        <v>57</v>
      </c>
      <c r="B90" s="97" t="s">
        <v>1201</v>
      </c>
      <c r="C90" t="s">
        <v>49</v>
      </c>
      <c r="D90" t="s">
        <v>1189</v>
      </c>
      <c r="E90">
        <v>1575</v>
      </c>
      <c r="G90" s="100">
        <v>43331</v>
      </c>
      <c r="H90" t="s">
        <v>1202</v>
      </c>
      <c r="I90" s="9" t="s">
        <v>1111</v>
      </c>
      <c r="J90" s="76" t="s">
        <v>402</v>
      </c>
      <c r="K90" s="10" t="s">
        <v>64</v>
      </c>
      <c r="L90">
        <v>827</v>
      </c>
      <c r="M90">
        <v>92</v>
      </c>
      <c r="O90">
        <v>211</v>
      </c>
      <c r="P90">
        <v>212</v>
      </c>
      <c r="Q90">
        <v>212</v>
      </c>
      <c r="S90">
        <v>126</v>
      </c>
      <c r="T90">
        <v>125</v>
      </c>
      <c r="U90">
        <v>125</v>
      </c>
      <c r="W90" s="36">
        <v>9.84</v>
      </c>
      <c r="X90">
        <v>9.85</v>
      </c>
      <c r="Y90">
        <v>9.84</v>
      </c>
      <c r="AA90" s="37">
        <v>42.03</v>
      </c>
      <c r="AB90" s="37">
        <v>42.19</v>
      </c>
      <c r="AC90" s="37">
        <v>42.28</v>
      </c>
      <c r="AE90" s="37">
        <v>81</v>
      </c>
      <c r="AF90" s="37">
        <v>81.64</v>
      </c>
      <c r="AG90" s="37">
        <v>81.540000000000006</v>
      </c>
      <c r="AR90" t="s">
        <v>65</v>
      </c>
      <c r="AS90">
        <v>8</v>
      </c>
      <c r="AT90">
        <v>2</v>
      </c>
      <c r="AU90">
        <v>2</v>
      </c>
      <c r="AX90" s="35">
        <v>51.77</v>
      </c>
      <c r="AY90" s="35">
        <v>51.65</v>
      </c>
      <c r="AZ90" s="35">
        <v>51.94</v>
      </c>
      <c r="BB90" s="35">
        <v>34.9</v>
      </c>
      <c r="BC90" s="35">
        <v>34.94</v>
      </c>
      <c r="BD90" s="35">
        <v>34.24</v>
      </c>
      <c r="BF90" s="35">
        <v>81.19</v>
      </c>
      <c r="BG90" s="35">
        <v>80.900000000000006</v>
      </c>
      <c r="BH90" s="35">
        <v>81.42</v>
      </c>
      <c r="BJ90" t="s">
        <v>52</v>
      </c>
      <c r="BK90" t="s">
        <v>51</v>
      </c>
      <c r="BL90" t="s">
        <v>51</v>
      </c>
    </row>
    <row r="91" spans="1:81" x14ac:dyDescent="0.25">
      <c r="A91" s="237" t="s">
        <v>57</v>
      </c>
      <c r="B91" s="97" t="s">
        <v>1203</v>
      </c>
      <c r="C91" t="s">
        <v>49</v>
      </c>
      <c r="D91" t="s">
        <v>1189</v>
      </c>
      <c r="E91">
        <v>1568</v>
      </c>
      <c r="G91" s="100">
        <v>43331</v>
      </c>
      <c r="H91" t="s">
        <v>1204</v>
      </c>
      <c r="I91" s="9" t="s">
        <v>1111</v>
      </c>
      <c r="J91" s="76" t="s">
        <v>402</v>
      </c>
      <c r="K91" s="10" t="s">
        <v>64</v>
      </c>
      <c r="L91">
        <v>933</v>
      </c>
      <c r="M91">
        <v>92</v>
      </c>
      <c r="O91">
        <v>225</v>
      </c>
      <c r="P91">
        <v>225</v>
      </c>
      <c r="Q91">
        <v>224</v>
      </c>
      <c r="S91">
        <v>135</v>
      </c>
      <c r="T91">
        <v>134</v>
      </c>
      <c r="U91">
        <v>134</v>
      </c>
      <c r="W91" s="36">
        <v>9.19</v>
      </c>
      <c r="X91">
        <v>9.56</v>
      </c>
      <c r="Y91">
        <v>9.93</v>
      </c>
      <c r="AA91" s="37">
        <v>44.28</v>
      </c>
      <c r="AB91" s="37">
        <v>44.46</v>
      </c>
      <c r="AC91" s="37">
        <v>44.27</v>
      </c>
      <c r="AE91" s="37">
        <v>79.819999999999993</v>
      </c>
      <c r="AF91" s="37">
        <v>79.47</v>
      </c>
      <c r="AG91" s="37">
        <v>79.52</v>
      </c>
      <c r="AR91" t="s">
        <v>65</v>
      </c>
      <c r="AS91">
        <v>8</v>
      </c>
      <c r="AT91">
        <v>2</v>
      </c>
      <c r="AU91">
        <v>2</v>
      </c>
      <c r="AX91" s="35">
        <v>50.2</v>
      </c>
      <c r="AY91" s="35">
        <v>50.99</v>
      </c>
      <c r="AZ91" s="35">
        <v>50.39</v>
      </c>
      <c r="BB91" s="35">
        <v>34.450000000000003</v>
      </c>
      <c r="BC91" s="35">
        <v>34.74</v>
      </c>
      <c r="BD91" s="35">
        <v>34.54</v>
      </c>
      <c r="BF91" s="35">
        <v>82.79</v>
      </c>
      <c r="BG91" s="35">
        <v>82.21</v>
      </c>
      <c r="BH91" s="35">
        <v>82.42</v>
      </c>
      <c r="BJ91" t="s">
        <v>52</v>
      </c>
      <c r="BK91" t="s">
        <v>51</v>
      </c>
      <c r="BL91" t="s">
        <v>51</v>
      </c>
    </row>
    <row r="92" spans="1:81" x14ac:dyDescent="0.25">
      <c r="A92" s="237" t="s">
        <v>57</v>
      </c>
      <c r="B92" s="97" t="s">
        <v>1205</v>
      </c>
      <c r="C92" t="s">
        <v>49</v>
      </c>
      <c r="D92" t="s">
        <v>1189</v>
      </c>
      <c r="E92">
        <v>1569</v>
      </c>
      <c r="G92" s="100">
        <v>43331</v>
      </c>
      <c r="H92" t="s">
        <v>1206</v>
      </c>
      <c r="I92" s="9" t="s">
        <v>1111</v>
      </c>
      <c r="J92" s="76" t="s">
        <v>402</v>
      </c>
      <c r="K92" s="10" t="s">
        <v>64</v>
      </c>
      <c r="L92">
        <v>803</v>
      </c>
      <c r="M92">
        <v>93</v>
      </c>
      <c r="O92">
        <v>224</v>
      </c>
      <c r="P92">
        <v>224</v>
      </c>
      <c r="Q92">
        <v>223</v>
      </c>
      <c r="S92">
        <v>134</v>
      </c>
      <c r="T92">
        <v>135</v>
      </c>
      <c r="U92">
        <v>134</v>
      </c>
      <c r="W92" s="36">
        <v>9.6199999999999992</v>
      </c>
      <c r="X92">
        <v>9.16</v>
      </c>
      <c r="Y92">
        <v>9.06</v>
      </c>
      <c r="AA92" s="37">
        <v>43.55</v>
      </c>
      <c r="AB92" s="37">
        <v>43.82</v>
      </c>
      <c r="AC92" s="37">
        <v>43.78</v>
      </c>
      <c r="AE92" s="37">
        <v>79.680000000000007</v>
      </c>
      <c r="AF92" s="37">
        <v>79.400000000000006</v>
      </c>
      <c r="AG92" s="37">
        <v>79.430000000000007</v>
      </c>
      <c r="AR92" t="s">
        <v>65</v>
      </c>
      <c r="AS92">
        <v>8</v>
      </c>
      <c r="AT92">
        <v>0</v>
      </c>
      <c r="AU92">
        <v>0</v>
      </c>
      <c r="AX92" s="35">
        <v>50.51</v>
      </c>
      <c r="AY92" s="35">
        <v>50.57</v>
      </c>
      <c r="AZ92" s="35">
        <v>50.7</v>
      </c>
      <c r="BB92" s="35">
        <v>33.729999999999997</v>
      </c>
      <c r="BC92" s="35">
        <v>33.799999999999997</v>
      </c>
      <c r="BD92" s="35">
        <v>33.97</v>
      </c>
      <c r="BF92" s="35">
        <v>79.010000000000005</v>
      </c>
      <c r="BG92" s="35">
        <v>79.540000000000006</v>
      </c>
      <c r="BH92" s="35">
        <v>79.05</v>
      </c>
      <c r="BJ92" t="s">
        <v>52</v>
      </c>
      <c r="BK92" t="s">
        <v>51</v>
      </c>
      <c r="BL92" t="s">
        <v>51</v>
      </c>
    </row>
    <row r="93" spans="1:81" x14ac:dyDescent="0.25">
      <c r="A93" s="237" t="s">
        <v>57</v>
      </c>
      <c r="B93" s="97" t="s">
        <v>1207</v>
      </c>
      <c r="C93" t="s">
        <v>49</v>
      </c>
      <c r="D93" t="s">
        <v>1189</v>
      </c>
      <c r="E93" t="s">
        <v>202</v>
      </c>
      <c r="G93" s="100">
        <v>43331</v>
      </c>
      <c r="H93" t="s">
        <v>1208</v>
      </c>
      <c r="I93" s="9" t="s">
        <v>1111</v>
      </c>
      <c r="J93" s="76" t="s">
        <v>402</v>
      </c>
      <c r="K93" s="10" t="s">
        <v>50</v>
      </c>
      <c r="L93">
        <v>734</v>
      </c>
      <c r="M93">
        <v>93</v>
      </c>
      <c r="O93">
        <v>206</v>
      </c>
      <c r="P93">
        <v>207</v>
      </c>
      <c r="Q93">
        <v>206</v>
      </c>
      <c r="S93">
        <v>152</v>
      </c>
      <c r="T93">
        <v>151</v>
      </c>
      <c r="U93">
        <v>152</v>
      </c>
      <c r="W93" s="36">
        <v>8.1</v>
      </c>
      <c r="X93">
        <v>8.06</v>
      </c>
      <c r="Y93">
        <v>8.5399999999999991</v>
      </c>
      <c r="AA93" s="37">
        <v>41.62</v>
      </c>
      <c r="AB93" s="37">
        <v>41.63</v>
      </c>
      <c r="AC93" s="37">
        <v>41.7</v>
      </c>
      <c r="AE93" s="37">
        <v>79.37</v>
      </c>
      <c r="AF93" s="37">
        <v>79.72</v>
      </c>
      <c r="AG93" s="37">
        <v>79.42</v>
      </c>
      <c r="AI93" s="37">
        <v>19.53</v>
      </c>
      <c r="AJ93" s="37">
        <v>19.559999999999999</v>
      </c>
      <c r="AK93" s="37">
        <v>19.34</v>
      </c>
      <c r="AM93" s="37">
        <v>25.23</v>
      </c>
      <c r="AN93" s="37">
        <v>25.28</v>
      </c>
      <c r="AO93" s="37">
        <v>25.15</v>
      </c>
      <c r="AX93" s="35">
        <v>50.97</v>
      </c>
      <c r="AY93" s="35">
        <v>50.94</v>
      </c>
      <c r="AZ93" s="35">
        <v>50.8</v>
      </c>
      <c r="BB93" s="35">
        <v>34.270000000000003</v>
      </c>
      <c r="BC93" s="35">
        <v>34.380000000000003</v>
      </c>
      <c r="BD93" s="35">
        <v>34</v>
      </c>
      <c r="BF93" s="35">
        <v>83.66</v>
      </c>
      <c r="BG93" s="35">
        <v>83.12</v>
      </c>
      <c r="BH93" s="35">
        <v>83.9</v>
      </c>
      <c r="BJ93" t="s">
        <v>51</v>
      </c>
      <c r="BK93" t="s">
        <v>51</v>
      </c>
      <c r="BL93" t="s">
        <v>51</v>
      </c>
      <c r="BT93" t="s">
        <v>202</v>
      </c>
      <c r="BU93" t="s">
        <v>1181</v>
      </c>
      <c r="BV93" t="s">
        <v>1181</v>
      </c>
      <c r="BW93" t="s">
        <v>1181</v>
      </c>
      <c r="BX93" t="s">
        <v>1181</v>
      </c>
      <c r="BY93">
        <v>10.53</v>
      </c>
      <c r="BZ93">
        <v>11.19</v>
      </c>
      <c r="CA93">
        <v>11.3</v>
      </c>
      <c r="CB93">
        <v>6</v>
      </c>
      <c r="CC93" t="s">
        <v>1209</v>
      </c>
    </row>
    <row r="94" spans="1:81" x14ac:dyDescent="0.25">
      <c r="A94" s="237" t="s">
        <v>57</v>
      </c>
      <c r="B94" s="97" t="s">
        <v>1210</v>
      </c>
      <c r="C94" t="s">
        <v>49</v>
      </c>
      <c r="D94" t="s">
        <v>1189</v>
      </c>
      <c r="E94">
        <v>1574</v>
      </c>
      <c r="G94" s="100">
        <v>43332</v>
      </c>
      <c r="H94" t="s">
        <v>1211</v>
      </c>
      <c r="I94" s="9" t="s">
        <v>1111</v>
      </c>
      <c r="J94" s="76" t="s">
        <v>320</v>
      </c>
      <c r="K94" s="10" t="s">
        <v>64</v>
      </c>
      <c r="L94">
        <v>875</v>
      </c>
      <c r="M94">
        <v>95</v>
      </c>
      <c r="O94">
        <v>226</v>
      </c>
      <c r="P94">
        <v>225</v>
      </c>
      <c r="Q94">
        <v>225</v>
      </c>
      <c r="S94">
        <v>156</v>
      </c>
      <c r="T94">
        <v>157</v>
      </c>
      <c r="U94">
        <v>157</v>
      </c>
      <c r="W94" s="36">
        <v>10.220000000000001</v>
      </c>
      <c r="X94">
        <v>10.24</v>
      </c>
      <c r="Y94">
        <v>10.35</v>
      </c>
      <c r="AA94" s="37">
        <v>46.03</v>
      </c>
      <c r="AB94" s="37">
        <v>46.63</v>
      </c>
      <c r="AC94" s="37">
        <v>46.39</v>
      </c>
      <c r="AE94" s="37">
        <v>87.48</v>
      </c>
      <c r="AF94" s="37">
        <v>87.42</v>
      </c>
      <c r="AG94" s="37">
        <v>87.84</v>
      </c>
      <c r="AR94" t="s">
        <v>65</v>
      </c>
      <c r="AS94">
        <v>8</v>
      </c>
      <c r="AT94">
        <v>2</v>
      </c>
      <c r="AU94">
        <v>0</v>
      </c>
      <c r="AX94" s="35">
        <v>53.57</v>
      </c>
      <c r="AY94" s="35">
        <v>53.13</v>
      </c>
      <c r="AZ94" s="35">
        <v>53.7</v>
      </c>
      <c r="BB94" s="35">
        <v>33.78</v>
      </c>
      <c r="BC94" s="35">
        <v>34</v>
      </c>
      <c r="BD94" s="35">
        <v>33.81</v>
      </c>
      <c r="BF94" s="35">
        <v>80.23</v>
      </c>
      <c r="BG94" s="35">
        <v>80.91</v>
      </c>
      <c r="BH94" s="35">
        <v>80.92</v>
      </c>
      <c r="BJ94" t="s">
        <v>51</v>
      </c>
      <c r="BK94" t="s">
        <v>51</v>
      </c>
      <c r="BL94" t="s">
        <v>51</v>
      </c>
      <c r="BT94" t="s">
        <v>202</v>
      </c>
      <c r="BU94" t="s">
        <v>1181</v>
      </c>
      <c r="BV94" t="s">
        <v>1181</v>
      </c>
      <c r="BW94" t="s">
        <v>1181</v>
      </c>
      <c r="BX94" t="s">
        <v>1181</v>
      </c>
      <c r="BY94">
        <v>11.4</v>
      </c>
      <c r="BZ94">
        <v>12.1</v>
      </c>
      <c r="CA94">
        <v>12.2</v>
      </c>
      <c r="CB94">
        <v>7</v>
      </c>
      <c r="CC94" t="s">
        <v>1183</v>
      </c>
    </row>
    <row r="95" spans="1:81" x14ac:dyDescent="0.25">
      <c r="A95" s="237" t="s">
        <v>57</v>
      </c>
      <c r="B95" s="97" t="s">
        <v>1212</v>
      </c>
      <c r="C95" t="s">
        <v>49</v>
      </c>
      <c r="D95" t="s">
        <v>1189</v>
      </c>
      <c r="E95">
        <v>1573</v>
      </c>
      <c r="G95" s="100">
        <v>43332</v>
      </c>
      <c r="H95" t="s">
        <v>1213</v>
      </c>
      <c r="I95" s="9" t="s">
        <v>1111</v>
      </c>
      <c r="J95" s="76" t="s">
        <v>320</v>
      </c>
      <c r="K95" s="10" t="s">
        <v>64</v>
      </c>
      <c r="L95">
        <v>937</v>
      </c>
      <c r="M95">
        <v>97</v>
      </c>
      <c r="O95">
        <v>222</v>
      </c>
      <c r="P95">
        <v>221</v>
      </c>
      <c r="Q95">
        <v>221</v>
      </c>
      <c r="S95">
        <v>152</v>
      </c>
      <c r="T95">
        <v>151</v>
      </c>
      <c r="U95">
        <v>152</v>
      </c>
      <c r="W95" s="36">
        <v>9.86</v>
      </c>
      <c r="X95">
        <v>9.84</v>
      </c>
      <c r="Y95">
        <v>9.69</v>
      </c>
      <c r="AA95" s="37">
        <v>43.65</v>
      </c>
      <c r="AB95" s="37">
        <v>43.76</v>
      </c>
      <c r="AC95" s="37">
        <v>43.43</v>
      </c>
      <c r="AE95" s="37">
        <v>78.790000000000006</v>
      </c>
      <c r="AF95" s="37">
        <v>78.45</v>
      </c>
      <c r="AG95" s="37">
        <v>78.069999999999993</v>
      </c>
      <c r="AR95" t="s">
        <v>65</v>
      </c>
      <c r="AS95">
        <v>8</v>
      </c>
      <c r="AT95">
        <v>8</v>
      </c>
      <c r="AU95">
        <v>0</v>
      </c>
      <c r="AX95" s="35">
        <v>56.21</v>
      </c>
      <c r="AY95" s="35">
        <v>56.43</v>
      </c>
      <c r="AZ95" s="35">
        <v>56.16</v>
      </c>
      <c r="BB95" s="35">
        <v>32.61</v>
      </c>
      <c r="BC95" s="35">
        <v>32.869999999999997</v>
      </c>
      <c r="BD95" s="35">
        <v>32.840000000000003</v>
      </c>
      <c r="BF95" s="35">
        <v>79.319999999999993</v>
      </c>
      <c r="BG95" s="35">
        <v>79.83</v>
      </c>
      <c r="BH95" s="35">
        <v>79.42</v>
      </c>
      <c r="BJ95" t="s">
        <v>51</v>
      </c>
      <c r="BK95" t="s">
        <v>51</v>
      </c>
      <c r="BL95" t="s">
        <v>51</v>
      </c>
    </row>
    <row r="96" spans="1:81" x14ac:dyDescent="0.25">
      <c r="A96" s="237" t="s">
        <v>57</v>
      </c>
      <c r="B96" s="97" t="s">
        <v>1214</v>
      </c>
      <c r="C96" t="s">
        <v>49</v>
      </c>
      <c r="D96" t="s">
        <v>1189</v>
      </c>
      <c r="E96" t="s">
        <v>202</v>
      </c>
      <c r="G96" s="100">
        <v>43332</v>
      </c>
      <c r="H96" t="s">
        <v>1215</v>
      </c>
      <c r="I96" s="9" t="s">
        <v>1111</v>
      </c>
      <c r="J96" s="76" t="s">
        <v>320</v>
      </c>
      <c r="K96" s="10" t="s">
        <v>50</v>
      </c>
      <c r="L96">
        <v>1417</v>
      </c>
      <c r="M96">
        <v>95</v>
      </c>
      <c r="O96">
        <v>251</v>
      </c>
      <c r="P96">
        <v>252</v>
      </c>
      <c r="Q96">
        <v>252</v>
      </c>
      <c r="S96">
        <v>161</v>
      </c>
      <c r="T96">
        <v>160</v>
      </c>
      <c r="U96">
        <v>160</v>
      </c>
      <c r="W96" s="36">
        <v>12.36</v>
      </c>
      <c r="X96">
        <v>12.88</v>
      </c>
      <c r="Y96">
        <v>12.43</v>
      </c>
      <c r="AA96" s="37">
        <v>48.66</v>
      </c>
      <c r="AB96" s="37">
        <v>48.83</v>
      </c>
      <c r="AC96" s="37">
        <v>48.84</v>
      </c>
      <c r="AE96" s="37">
        <v>97.61</v>
      </c>
      <c r="AF96" s="37">
        <v>97.68</v>
      </c>
      <c r="AG96" s="37">
        <v>97.52</v>
      </c>
      <c r="AI96" s="37">
        <v>20.77</v>
      </c>
      <c r="AJ96" s="37">
        <v>20.78</v>
      </c>
      <c r="AK96" s="37">
        <v>20.6</v>
      </c>
      <c r="AM96" s="37">
        <v>28.7</v>
      </c>
      <c r="AN96" s="37">
        <v>28.2</v>
      </c>
      <c r="AO96" s="37">
        <v>28.52</v>
      </c>
      <c r="AX96" s="35">
        <v>62.11</v>
      </c>
      <c r="AY96" s="35">
        <v>62.28</v>
      </c>
      <c r="AZ96" s="35">
        <v>62.26</v>
      </c>
      <c r="BB96" s="35">
        <v>40.51</v>
      </c>
      <c r="BC96" s="35">
        <v>40.590000000000003</v>
      </c>
      <c r="BD96" s="35">
        <v>40.729999999999997</v>
      </c>
      <c r="BF96" s="35">
        <v>91.91</v>
      </c>
      <c r="BG96" s="35">
        <v>91.57</v>
      </c>
      <c r="BH96" s="35">
        <v>91.81</v>
      </c>
      <c r="BJ96" t="s">
        <v>51</v>
      </c>
      <c r="BK96" t="s">
        <v>51</v>
      </c>
      <c r="BL96" t="s">
        <v>51</v>
      </c>
      <c r="BT96" s="169"/>
      <c r="BU96" s="169"/>
      <c r="BV96" s="169"/>
      <c r="BW96" s="169"/>
      <c r="BX96" s="169"/>
      <c r="BY96" s="169"/>
      <c r="BZ96" s="169"/>
      <c r="CA96" s="169"/>
      <c r="CB96" s="169"/>
      <c r="CC96" s="169"/>
    </row>
    <row r="97" spans="1:81" x14ac:dyDescent="0.25">
      <c r="A97" s="237" t="s">
        <v>57</v>
      </c>
      <c r="B97" s="97" t="s">
        <v>1216</v>
      </c>
      <c r="C97" t="s">
        <v>49</v>
      </c>
      <c r="D97" t="s">
        <v>289</v>
      </c>
      <c r="E97">
        <v>1572</v>
      </c>
      <c r="G97" s="100">
        <v>43333</v>
      </c>
      <c r="H97" t="s">
        <v>1217</v>
      </c>
      <c r="I97" s="9" t="s">
        <v>1111</v>
      </c>
      <c r="J97" s="76" t="s">
        <v>322</v>
      </c>
      <c r="K97" s="10" t="s">
        <v>64</v>
      </c>
      <c r="L97">
        <v>1164</v>
      </c>
      <c r="M97">
        <v>96</v>
      </c>
      <c r="O97">
        <v>241</v>
      </c>
      <c r="P97">
        <v>240</v>
      </c>
      <c r="Q97">
        <v>240</v>
      </c>
      <c r="S97">
        <v>147</v>
      </c>
      <c r="T97">
        <v>147</v>
      </c>
      <c r="U97">
        <v>148</v>
      </c>
      <c r="W97" s="36">
        <v>10.76</v>
      </c>
      <c r="X97">
        <v>10.62</v>
      </c>
      <c r="Y97">
        <v>10.74</v>
      </c>
      <c r="AA97" s="37">
        <v>47.2</v>
      </c>
      <c r="AB97" s="37">
        <v>47.91</v>
      </c>
      <c r="AC97" s="37">
        <v>47.61</v>
      </c>
      <c r="AE97" s="37">
        <v>91.88</v>
      </c>
      <c r="AF97" s="37">
        <v>91.73</v>
      </c>
      <c r="AG97" s="37">
        <v>91.2</v>
      </c>
      <c r="AR97" t="s">
        <v>65</v>
      </c>
      <c r="AS97">
        <v>8</v>
      </c>
      <c r="AT97">
        <v>8</v>
      </c>
      <c r="AU97">
        <v>0</v>
      </c>
      <c r="AX97" s="35">
        <v>55.42</v>
      </c>
      <c r="AY97" s="35">
        <v>55.3</v>
      </c>
      <c r="AZ97" s="35">
        <v>55.14</v>
      </c>
      <c r="BB97" s="35">
        <v>35.700000000000003</v>
      </c>
      <c r="BC97" s="35">
        <v>35</v>
      </c>
      <c r="BD97" s="35">
        <v>35.68</v>
      </c>
      <c r="BF97" s="35">
        <v>82.74</v>
      </c>
      <c r="BG97" s="35">
        <v>82.5</v>
      </c>
      <c r="BH97" s="35">
        <v>82.55</v>
      </c>
      <c r="BJ97" t="s">
        <v>51</v>
      </c>
      <c r="BK97" t="s">
        <v>51</v>
      </c>
      <c r="BL97" t="s">
        <v>51</v>
      </c>
    </row>
    <row r="98" spans="1:81" x14ac:dyDescent="0.25">
      <c r="A98" s="97" t="s">
        <v>57</v>
      </c>
      <c r="B98" s="97" t="s">
        <v>1216</v>
      </c>
      <c r="C98" t="s">
        <v>49</v>
      </c>
      <c r="D98" t="s">
        <v>289</v>
      </c>
      <c r="E98">
        <v>1572</v>
      </c>
      <c r="G98" s="100">
        <v>43333</v>
      </c>
      <c r="H98" t="s">
        <v>1217</v>
      </c>
      <c r="I98" s="9" t="s">
        <v>1111</v>
      </c>
      <c r="J98" s="76" t="s">
        <v>322</v>
      </c>
      <c r="K98" s="10" t="s">
        <v>64</v>
      </c>
      <c r="L98">
        <v>1164</v>
      </c>
      <c r="M98">
        <v>96</v>
      </c>
      <c r="O98">
        <v>241</v>
      </c>
      <c r="P98">
        <v>240</v>
      </c>
      <c r="Q98">
        <v>240</v>
      </c>
      <c r="S98">
        <v>147</v>
      </c>
      <c r="T98">
        <v>147</v>
      </c>
      <c r="U98">
        <v>148</v>
      </c>
      <c r="W98" s="36">
        <v>10.76</v>
      </c>
      <c r="X98">
        <v>10.62</v>
      </c>
      <c r="Y98">
        <v>10.74</v>
      </c>
      <c r="AA98" s="37">
        <v>47.2</v>
      </c>
      <c r="AB98" s="37">
        <v>47.91</v>
      </c>
      <c r="AC98" s="37">
        <v>47.61</v>
      </c>
      <c r="AE98" s="37">
        <v>91.88</v>
      </c>
      <c r="AF98" s="37">
        <v>91.73</v>
      </c>
      <c r="AG98" s="37">
        <v>91.2</v>
      </c>
      <c r="AR98" t="s">
        <v>65</v>
      </c>
      <c r="AS98">
        <v>8</v>
      </c>
      <c r="AT98">
        <v>8</v>
      </c>
      <c r="AU98">
        <v>0</v>
      </c>
      <c r="AX98" s="35">
        <v>55.42</v>
      </c>
      <c r="AY98" s="35">
        <v>55.3</v>
      </c>
      <c r="AZ98" s="35">
        <v>55.14</v>
      </c>
      <c r="BB98" s="35">
        <v>35.700000000000003</v>
      </c>
      <c r="BC98" s="35">
        <v>35</v>
      </c>
      <c r="BD98" s="35">
        <v>35.68</v>
      </c>
      <c r="BF98" s="35">
        <v>82.74</v>
      </c>
      <c r="BG98" s="35">
        <v>82.5</v>
      </c>
      <c r="BH98" s="35">
        <v>82.55</v>
      </c>
      <c r="BJ98" t="s">
        <v>51</v>
      </c>
      <c r="BK98" t="s">
        <v>51</v>
      </c>
      <c r="BL98" t="s">
        <v>51</v>
      </c>
    </row>
    <row r="99" spans="1:81" x14ac:dyDescent="0.25">
      <c r="A99" s="97" t="s">
        <v>57</v>
      </c>
      <c r="B99" s="97" t="s">
        <v>1219</v>
      </c>
      <c r="C99" t="s">
        <v>49</v>
      </c>
      <c r="D99" t="s">
        <v>289</v>
      </c>
      <c r="E99" t="s">
        <v>202</v>
      </c>
      <c r="G99" t="s">
        <v>1220</v>
      </c>
      <c r="H99" t="s">
        <v>1204</v>
      </c>
      <c r="I99" s="9" t="s">
        <v>1111</v>
      </c>
      <c r="J99" s="76" t="s">
        <v>402</v>
      </c>
      <c r="K99" s="138" t="s">
        <v>50</v>
      </c>
      <c r="L99">
        <v>1168</v>
      </c>
      <c r="M99">
        <v>92</v>
      </c>
      <c r="O99">
        <v>230</v>
      </c>
      <c r="P99">
        <v>230</v>
      </c>
      <c r="Q99">
        <v>230</v>
      </c>
      <c r="S99">
        <v>159</v>
      </c>
      <c r="T99">
        <v>159</v>
      </c>
      <c r="U99">
        <v>160</v>
      </c>
      <c r="W99" s="36">
        <v>10.96</v>
      </c>
      <c r="X99">
        <v>10.76</v>
      </c>
      <c r="Y99">
        <v>10.71</v>
      </c>
      <c r="AA99" s="37">
        <v>46.98</v>
      </c>
      <c r="AB99" s="37">
        <v>46.42</v>
      </c>
      <c r="AC99" s="37">
        <v>46.49</v>
      </c>
      <c r="AE99" s="37">
        <v>93.41</v>
      </c>
      <c r="AF99" s="37">
        <v>93.91</v>
      </c>
      <c r="AG99" s="37">
        <v>93.19</v>
      </c>
      <c r="AI99" s="37">
        <v>21.52</v>
      </c>
      <c r="AJ99" s="37">
        <v>21.29</v>
      </c>
      <c r="AK99" s="37">
        <v>21.57</v>
      </c>
      <c r="AM99" s="37">
        <v>31.09</v>
      </c>
      <c r="AN99" s="37">
        <v>31.1</v>
      </c>
      <c r="AO99" s="37">
        <v>31.18</v>
      </c>
      <c r="AX99" s="35">
        <v>59.39</v>
      </c>
      <c r="AY99" s="35">
        <v>59.01</v>
      </c>
      <c r="AZ99" s="35">
        <v>59.51</v>
      </c>
      <c r="BB99" s="35">
        <v>38.5</v>
      </c>
      <c r="BC99" s="35">
        <v>38.659999999999997</v>
      </c>
      <c r="BD99" s="35">
        <v>38.909999999999997</v>
      </c>
      <c r="BF99" s="35">
        <v>91.18</v>
      </c>
      <c r="BG99" s="35">
        <v>91.31</v>
      </c>
      <c r="BH99" s="35">
        <v>91.48</v>
      </c>
      <c r="BJ99" t="s">
        <v>51</v>
      </c>
      <c r="BK99" t="s">
        <v>51</v>
      </c>
      <c r="BL99" t="s">
        <v>51</v>
      </c>
    </row>
    <row r="100" spans="1:81" x14ac:dyDescent="0.25">
      <c r="A100" s="97" t="s">
        <v>57</v>
      </c>
      <c r="B100" s="97" t="s">
        <v>1221</v>
      </c>
      <c r="C100" t="s">
        <v>49</v>
      </c>
      <c r="D100" t="s">
        <v>289</v>
      </c>
      <c r="E100">
        <v>1570</v>
      </c>
      <c r="G100" s="100">
        <v>43333</v>
      </c>
      <c r="H100" t="s">
        <v>1222</v>
      </c>
      <c r="I100" s="9" t="s">
        <v>1111</v>
      </c>
      <c r="J100" s="76" t="s">
        <v>320</v>
      </c>
      <c r="K100" s="10" t="s">
        <v>64</v>
      </c>
      <c r="L100">
        <v>966</v>
      </c>
      <c r="M100">
        <v>96</v>
      </c>
      <c r="O100">
        <v>210</v>
      </c>
      <c r="P100">
        <v>210</v>
      </c>
      <c r="Q100">
        <v>210</v>
      </c>
      <c r="S100">
        <v>56</v>
      </c>
      <c r="T100">
        <v>57</v>
      </c>
      <c r="U100">
        <v>56</v>
      </c>
      <c r="W100" s="36">
        <v>9.27</v>
      </c>
      <c r="X100">
        <v>9.3699999999999992</v>
      </c>
      <c r="Y100">
        <v>9.6</v>
      </c>
      <c r="AA100" s="37">
        <v>43.25</v>
      </c>
      <c r="AB100" s="37">
        <v>43.15</v>
      </c>
      <c r="AC100" s="37">
        <v>43.21</v>
      </c>
      <c r="AE100" s="37">
        <v>86.16</v>
      </c>
      <c r="AF100" s="37">
        <v>86.29</v>
      </c>
      <c r="AG100" s="37">
        <v>86.23</v>
      </c>
      <c r="AR100" t="s">
        <v>65</v>
      </c>
      <c r="AS100">
        <v>8</v>
      </c>
      <c r="AT100">
        <v>8</v>
      </c>
      <c r="AU100">
        <v>0</v>
      </c>
      <c r="AX100" s="35">
        <v>56.83</v>
      </c>
      <c r="AY100" s="35">
        <v>56.29</v>
      </c>
      <c r="AZ100" s="35">
        <v>56.47</v>
      </c>
      <c r="BB100" s="35">
        <v>35.08</v>
      </c>
      <c r="BC100" s="35">
        <v>35.299999999999997</v>
      </c>
      <c r="BD100" s="35">
        <v>35.24</v>
      </c>
      <c r="BF100" s="35">
        <v>86.19</v>
      </c>
      <c r="BG100" s="35">
        <v>86.2</v>
      </c>
      <c r="BH100" s="35">
        <v>86.16</v>
      </c>
      <c r="BJ100" t="s">
        <v>51</v>
      </c>
      <c r="BK100" t="s">
        <v>51</v>
      </c>
      <c r="BL100" t="s">
        <v>51</v>
      </c>
      <c r="CC100" s="9"/>
    </row>
    <row r="101" spans="1:81" s="176" customFormat="1" x14ac:dyDescent="0.25">
      <c r="A101" s="238">
        <v>2019</v>
      </c>
      <c r="I101" s="177"/>
      <c r="J101" s="226"/>
      <c r="K101" s="179"/>
      <c r="N101" s="177"/>
      <c r="R101" s="180"/>
      <c r="V101" s="180"/>
      <c r="W101" s="181"/>
      <c r="Z101" s="180"/>
      <c r="AD101" s="180"/>
      <c r="AH101" s="180"/>
      <c r="AI101" s="182"/>
      <c r="AJ101" s="182"/>
      <c r="AK101" s="182"/>
      <c r="AL101" s="177"/>
      <c r="AM101" s="182"/>
      <c r="AN101" s="182"/>
      <c r="AO101" s="182"/>
      <c r="AP101" s="177"/>
      <c r="AQ101" s="179"/>
      <c r="AV101" s="182"/>
      <c r="AW101" s="177"/>
      <c r="BA101" s="180"/>
      <c r="BE101" s="180"/>
      <c r="BI101" s="180"/>
      <c r="BN101" s="177"/>
      <c r="BO101" s="182"/>
      <c r="BP101" s="182"/>
      <c r="BQ101" s="182"/>
      <c r="BR101" s="182"/>
      <c r="BS101" s="177"/>
    </row>
    <row r="102" spans="1:81" x14ac:dyDescent="0.25">
      <c r="A102" s="235" t="s">
        <v>57</v>
      </c>
      <c r="B102" s="97" t="s">
        <v>1647</v>
      </c>
      <c r="C102" t="s">
        <v>49</v>
      </c>
      <c r="D102" t="s">
        <v>289</v>
      </c>
      <c r="E102">
        <v>1729</v>
      </c>
      <c r="G102" s="100">
        <v>43663</v>
      </c>
      <c r="H102" t="s">
        <v>1646</v>
      </c>
      <c r="I102" s="9" t="s">
        <v>1111</v>
      </c>
      <c r="J102" s="76" t="s">
        <v>402</v>
      </c>
      <c r="K102" s="10" t="s">
        <v>64</v>
      </c>
      <c r="L102">
        <v>709</v>
      </c>
      <c r="M102">
        <v>88</v>
      </c>
      <c r="O102">
        <v>211</v>
      </c>
      <c r="P102">
        <v>210</v>
      </c>
      <c r="Q102">
        <v>210</v>
      </c>
      <c r="S102">
        <v>140</v>
      </c>
      <c r="T102">
        <v>139</v>
      </c>
      <c r="U102">
        <v>140</v>
      </c>
      <c r="W102" s="36">
        <v>8.67</v>
      </c>
      <c r="X102">
        <v>8.76</v>
      </c>
      <c r="Y102">
        <v>8.52</v>
      </c>
      <c r="AA102" s="37">
        <v>42.48</v>
      </c>
      <c r="AB102" s="37">
        <v>42.49</v>
      </c>
      <c r="AC102" s="37">
        <v>42.32</v>
      </c>
      <c r="AE102" s="37">
        <v>74.23</v>
      </c>
      <c r="AF102" s="37">
        <v>74.45</v>
      </c>
      <c r="AG102" s="37">
        <v>74.73</v>
      </c>
      <c r="AR102" t="s">
        <v>70</v>
      </c>
      <c r="AS102">
        <v>0</v>
      </c>
      <c r="AT102">
        <v>0</v>
      </c>
      <c r="AU102">
        <v>0</v>
      </c>
      <c r="AX102" s="35">
        <v>50.66</v>
      </c>
      <c r="AY102" s="35">
        <v>50.43</v>
      </c>
      <c r="AZ102" s="35">
        <v>50.55</v>
      </c>
      <c r="BB102" s="35">
        <v>33.33</v>
      </c>
      <c r="BC102" s="35">
        <v>33.14</v>
      </c>
      <c r="BD102" s="35">
        <v>33.9</v>
      </c>
      <c r="BF102" s="35">
        <v>78.88</v>
      </c>
      <c r="BG102" s="35">
        <v>78.59</v>
      </c>
      <c r="BH102" s="35">
        <v>78.84</v>
      </c>
      <c r="BJ102" t="s">
        <v>51</v>
      </c>
      <c r="BK102" t="s">
        <v>51</v>
      </c>
      <c r="BL102" t="s">
        <v>52</v>
      </c>
      <c r="BM102" t="s">
        <v>52</v>
      </c>
    </row>
    <row r="103" spans="1:81" x14ac:dyDescent="0.25">
      <c r="A103" s="235" t="s">
        <v>57</v>
      </c>
      <c r="B103" s="97" t="s">
        <v>1655</v>
      </c>
      <c r="C103" t="s">
        <v>49</v>
      </c>
      <c r="D103" t="s">
        <v>289</v>
      </c>
      <c r="E103">
        <v>1734</v>
      </c>
      <c r="G103" s="100">
        <v>43664</v>
      </c>
      <c r="H103" t="s">
        <v>1654</v>
      </c>
      <c r="I103" s="9" t="s">
        <v>1111</v>
      </c>
      <c r="J103" s="76" t="s">
        <v>320</v>
      </c>
      <c r="K103" s="10" t="s">
        <v>64</v>
      </c>
      <c r="L103">
        <v>858</v>
      </c>
      <c r="M103">
        <v>95</v>
      </c>
      <c r="O103">
        <v>198</v>
      </c>
      <c r="P103">
        <v>199</v>
      </c>
      <c r="Q103">
        <v>199</v>
      </c>
      <c r="S103">
        <v>135</v>
      </c>
      <c r="T103">
        <v>134</v>
      </c>
      <c r="U103">
        <v>134</v>
      </c>
      <c r="W103" s="36">
        <v>10.4</v>
      </c>
      <c r="X103">
        <v>10.23</v>
      </c>
      <c r="Y103">
        <v>10.16</v>
      </c>
      <c r="AA103" s="37">
        <v>41.85</v>
      </c>
      <c r="AB103" s="37">
        <v>41.51</v>
      </c>
      <c r="AC103" s="37">
        <v>41.65</v>
      </c>
      <c r="AE103" s="37">
        <v>77.86</v>
      </c>
      <c r="AF103" s="37">
        <v>77.75</v>
      </c>
      <c r="AG103" s="37">
        <v>77.66</v>
      </c>
      <c r="AR103" t="s">
        <v>65</v>
      </c>
      <c r="AS103">
        <v>8</v>
      </c>
      <c r="AT103">
        <v>0</v>
      </c>
      <c r="AU103">
        <v>0</v>
      </c>
      <c r="AX103" s="35">
        <v>47.71</v>
      </c>
      <c r="AY103" s="35">
        <v>47.26</v>
      </c>
      <c r="AZ103" s="35">
        <v>47.13</v>
      </c>
      <c r="BB103" s="35">
        <v>32.99</v>
      </c>
      <c r="BC103" s="35">
        <v>33.020000000000003</v>
      </c>
      <c r="BD103" s="35">
        <v>32.93</v>
      </c>
      <c r="BF103" s="35">
        <v>79.67</v>
      </c>
      <c r="BG103" s="35">
        <v>79.290000000000006</v>
      </c>
      <c r="BH103" s="35">
        <v>79.5</v>
      </c>
      <c r="BJ103" t="s">
        <v>51</v>
      </c>
      <c r="BK103" t="s">
        <v>51</v>
      </c>
      <c r="BL103" t="s">
        <v>52</v>
      </c>
      <c r="BM103" t="s">
        <v>52</v>
      </c>
    </row>
    <row r="104" spans="1:81" x14ac:dyDescent="0.25">
      <c r="A104" s="235" t="s">
        <v>57</v>
      </c>
      <c r="B104" s="97" t="s">
        <v>1806</v>
      </c>
      <c r="C104" t="s">
        <v>49</v>
      </c>
      <c r="D104" t="s">
        <v>289</v>
      </c>
      <c r="E104">
        <v>1736</v>
      </c>
      <c r="G104" s="100">
        <v>43669</v>
      </c>
      <c r="H104" t="s">
        <v>1210</v>
      </c>
      <c r="I104" s="9" t="s">
        <v>1111</v>
      </c>
      <c r="J104" s="76" t="s">
        <v>402</v>
      </c>
      <c r="K104" s="10" t="s">
        <v>50</v>
      </c>
      <c r="L104">
        <v>941</v>
      </c>
      <c r="M104">
        <v>93</v>
      </c>
      <c r="O104">
        <v>225</v>
      </c>
      <c r="P104">
        <v>225</v>
      </c>
      <c r="Q104">
        <v>225</v>
      </c>
      <c r="S104">
        <v>150</v>
      </c>
      <c r="T104">
        <v>149</v>
      </c>
      <c r="U104">
        <v>149</v>
      </c>
      <c r="W104" s="36">
        <v>9.58</v>
      </c>
      <c r="X104">
        <v>9.73</v>
      </c>
      <c r="Y104">
        <v>9.7899999999999991</v>
      </c>
      <c r="AA104" s="37">
        <v>45.62</v>
      </c>
      <c r="AB104" s="37">
        <v>45.79</v>
      </c>
      <c r="AC104" s="37">
        <v>45.81</v>
      </c>
      <c r="AE104" s="37">
        <v>87.47</v>
      </c>
      <c r="AF104" s="37">
        <v>87.58</v>
      </c>
      <c r="AG104" s="37">
        <v>87.06</v>
      </c>
      <c r="AI104" s="37">
        <v>18.59</v>
      </c>
      <c r="AJ104" s="37">
        <v>18.96</v>
      </c>
      <c r="AK104" s="37">
        <v>18.52</v>
      </c>
      <c r="AM104" s="37">
        <v>29.97</v>
      </c>
      <c r="AN104" s="37">
        <v>29.81</v>
      </c>
      <c r="AO104" s="37">
        <v>29.41</v>
      </c>
      <c r="AX104" s="35">
        <v>55.31</v>
      </c>
      <c r="AY104" s="35">
        <v>55.11</v>
      </c>
      <c r="AZ104" s="35">
        <v>55.06</v>
      </c>
      <c r="BB104" s="35">
        <v>35.4</v>
      </c>
      <c r="BC104" s="35">
        <v>35.56</v>
      </c>
      <c r="BD104" s="35">
        <v>35.520000000000003</v>
      </c>
      <c r="BF104" s="35">
        <v>80.349999999999994</v>
      </c>
      <c r="BG104" s="35">
        <v>80.680000000000007</v>
      </c>
      <c r="BH104" s="35">
        <v>80.489999999999995</v>
      </c>
      <c r="BJ104" t="s">
        <v>51</v>
      </c>
      <c r="BK104" t="s">
        <v>51</v>
      </c>
      <c r="BL104" t="s">
        <v>52</v>
      </c>
      <c r="BM104" t="s">
        <v>52</v>
      </c>
    </row>
    <row r="105" spans="1:81" x14ac:dyDescent="0.25">
      <c r="A105" s="235" t="s">
        <v>57</v>
      </c>
      <c r="B105" s="97" t="s">
        <v>1805</v>
      </c>
      <c r="C105" t="s">
        <v>49</v>
      </c>
      <c r="D105" t="s">
        <v>289</v>
      </c>
      <c r="E105">
        <v>1737</v>
      </c>
      <c r="G105" s="100">
        <v>43669</v>
      </c>
      <c r="H105" t="s">
        <v>1807</v>
      </c>
      <c r="I105" s="9" t="s">
        <v>1111</v>
      </c>
      <c r="J105" s="76" t="s">
        <v>402</v>
      </c>
      <c r="K105" s="10" t="s">
        <v>50</v>
      </c>
      <c r="L105">
        <v>680</v>
      </c>
      <c r="M105">
        <v>95</v>
      </c>
      <c r="O105">
        <v>185</v>
      </c>
      <c r="P105">
        <v>185</v>
      </c>
      <c r="Q105">
        <v>185</v>
      </c>
      <c r="S105">
        <v>122</v>
      </c>
      <c r="T105">
        <v>121</v>
      </c>
      <c r="U105">
        <v>122</v>
      </c>
      <c r="W105" s="36">
        <v>8.8000000000000007</v>
      </c>
      <c r="X105">
        <v>8.4499999999999993</v>
      </c>
      <c r="Y105">
        <v>8.81</v>
      </c>
      <c r="AA105" s="37">
        <v>40.82</v>
      </c>
      <c r="AB105" s="37">
        <v>40.630000000000003</v>
      </c>
      <c r="AC105" s="37">
        <v>40.840000000000003</v>
      </c>
      <c r="AE105" s="37">
        <v>74.41</v>
      </c>
      <c r="AF105" s="37">
        <v>74.599999999999994</v>
      </c>
      <c r="AG105" s="37">
        <v>74.2</v>
      </c>
      <c r="AI105" s="37">
        <v>16.760000000000002</v>
      </c>
      <c r="AJ105" s="37">
        <v>16.440000000000001</v>
      </c>
      <c r="AK105" s="37">
        <v>16.23</v>
      </c>
      <c r="AM105" s="37">
        <v>23.46</v>
      </c>
      <c r="AN105" s="37">
        <v>23.99</v>
      </c>
      <c r="AO105" s="37">
        <v>23.24</v>
      </c>
      <c r="AX105" s="35">
        <v>48.16</v>
      </c>
      <c r="AY105" s="35">
        <v>48.11</v>
      </c>
      <c r="AZ105" s="35">
        <v>48.44</v>
      </c>
      <c r="BB105" s="35">
        <v>31.84</v>
      </c>
      <c r="BC105" s="35">
        <v>31.91</v>
      </c>
      <c r="BD105" s="35">
        <v>31.86</v>
      </c>
      <c r="BF105" s="35">
        <v>75.13</v>
      </c>
      <c r="BG105" s="35">
        <v>75.36</v>
      </c>
      <c r="BH105" s="35">
        <v>75.25</v>
      </c>
      <c r="BJ105" t="s">
        <v>51</v>
      </c>
      <c r="BK105" t="s">
        <v>51</v>
      </c>
      <c r="BL105" t="s">
        <v>52</v>
      </c>
      <c r="BM105" t="s">
        <v>52</v>
      </c>
    </row>
    <row r="106" spans="1:81" x14ac:dyDescent="0.25">
      <c r="A106" s="235" t="s">
        <v>57</v>
      </c>
      <c r="B106" s="97" t="s">
        <v>1808</v>
      </c>
      <c r="C106" t="s">
        <v>49</v>
      </c>
      <c r="D106" t="s">
        <v>289</v>
      </c>
      <c r="E106">
        <v>1738</v>
      </c>
      <c r="G106" s="100">
        <v>43669</v>
      </c>
      <c r="H106" t="s">
        <v>1809</v>
      </c>
      <c r="I106" s="9" t="s">
        <v>1111</v>
      </c>
      <c r="J106" s="76" t="s">
        <v>322</v>
      </c>
      <c r="K106" s="10" t="s">
        <v>50</v>
      </c>
      <c r="L106">
        <v>1589</v>
      </c>
      <c r="M106">
        <v>95</v>
      </c>
      <c r="O106">
        <v>283</v>
      </c>
      <c r="P106">
        <v>284</v>
      </c>
      <c r="Q106">
        <v>283</v>
      </c>
      <c r="S106">
        <v>183</v>
      </c>
      <c r="T106">
        <v>184</v>
      </c>
      <c r="U106">
        <v>183</v>
      </c>
      <c r="W106" s="36">
        <v>11.85</v>
      </c>
      <c r="X106">
        <v>11.75</v>
      </c>
      <c r="Y106">
        <v>11.91</v>
      </c>
      <c r="AA106" s="37">
        <v>51.34</v>
      </c>
      <c r="AB106" s="37">
        <v>51.52</v>
      </c>
      <c r="AC106" s="37">
        <v>51.59</v>
      </c>
      <c r="AE106" s="37">
        <v>102.17</v>
      </c>
      <c r="AF106" s="37">
        <v>102.22</v>
      </c>
      <c r="AG106" s="37">
        <v>102.85</v>
      </c>
      <c r="AI106" s="37">
        <v>22.2</v>
      </c>
      <c r="AJ106" s="37">
        <v>22.43</v>
      </c>
      <c r="AK106" s="37">
        <v>22.59</v>
      </c>
      <c r="AM106" s="37">
        <v>33.49</v>
      </c>
      <c r="AN106" s="37">
        <v>33.18</v>
      </c>
      <c r="AO106" s="37">
        <v>33.21</v>
      </c>
      <c r="AX106" s="35">
        <v>67.900000000000006</v>
      </c>
      <c r="AY106" s="35">
        <v>67.459999999999994</v>
      </c>
      <c r="AZ106" s="35">
        <v>67.61</v>
      </c>
      <c r="BB106" s="35">
        <v>36.9</v>
      </c>
      <c r="BC106" s="35">
        <v>36.840000000000003</v>
      </c>
      <c r="BD106" s="35">
        <v>36.74</v>
      </c>
      <c r="BF106" s="35">
        <v>91.44</v>
      </c>
      <c r="BG106" s="35">
        <v>91.49</v>
      </c>
      <c r="BH106" s="35">
        <v>91.69</v>
      </c>
      <c r="BJ106" t="s">
        <v>51</v>
      </c>
      <c r="BK106" t="s">
        <v>51</v>
      </c>
      <c r="BL106" t="s">
        <v>52</v>
      </c>
      <c r="BM106" t="s">
        <v>52</v>
      </c>
    </row>
    <row r="107" spans="1:81" x14ac:dyDescent="0.25">
      <c r="A107" s="235" t="s">
        <v>57</v>
      </c>
      <c r="B107" s="97" t="s">
        <v>1811</v>
      </c>
      <c r="C107" t="s">
        <v>49</v>
      </c>
      <c r="D107" t="s">
        <v>289</v>
      </c>
      <c r="E107">
        <v>1741</v>
      </c>
      <c r="G107" s="100">
        <v>43669</v>
      </c>
      <c r="H107" t="s">
        <v>1810</v>
      </c>
      <c r="I107" s="9" t="s">
        <v>1111</v>
      </c>
      <c r="J107" s="76" t="s">
        <v>320</v>
      </c>
      <c r="K107" s="10" t="s">
        <v>50</v>
      </c>
      <c r="L107">
        <v>1035</v>
      </c>
      <c r="M107">
        <v>92</v>
      </c>
      <c r="O107">
        <v>210</v>
      </c>
      <c r="P107">
        <v>211</v>
      </c>
      <c r="Q107">
        <v>211</v>
      </c>
      <c r="S107">
        <v>160</v>
      </c>
      <c r="T107">
        <v>161</v>
      </c>
      <c r="U107">
        <v>161</v>
      </c>
      <c r="W107" s="36">
        <v>9.9499999999999993</v>
      </c>
      <c r="X107">
        <v>9.86</v>
      </c>
      <c r="Y107">
        <v>9.81</v>
      </c>
      <c r="AA107" s="37">
        <v>47.51</v>
      </c>
      <c r="AB107" s="37">
        <v>47.96</v>
      </c>
      <c r="AC107" s="37">
        <v>47.56</v>
      </c>
      <c r="AE107" s="37">
        <v>92.04</v>
      </c>
      <c r="AF107" s="37">
        <v>92.26</v>
      </c>
      <c r="AG107" s="37">
        <v>92.29</v>
      </c>
      <c r="AI107" s="37">
        <v>20.260000000000002</v>
      </c>
      <c r="AJ107" s="37">
        <v>20.74</v>
      </c>
      <c r="AK107" s="37">
        <v>20.239999999999998</v>
      </c>
      <c r="AM107" s="37">
        <v>33.43</v>
      </c>
      <c r="AN107" s="37">
        <v>33.83</v>
      </c>
      <c r="AO107" s="37">
        <v>33.81</v>
      </c>
      <c r="AX107" s="35">
        <v>56.72</v>
      </c>
      <c r="AY107" s="35">
        <v>56.38</v>
      </c>
      <c r="AZ107" s="35">
        <v>56.32</v>
      </c>
      <c r="BB107" s="35">
        <v>35.049999999999997</v>
      </c>
      <c r="BC107" s="35">
        <v>35.07</v>
      </c>
      <c r="BD107" s="35">
        <v>35.07</v>
      </c>
      <c r="BF107" s="35">
        <v>81.209999999999994</v>
      </c>
      <c r="BG107" s="35">
        <v>81.67</v>
      </c>
      <c r="BH107" s="35">
        <v>81.319999999999993</v>
      </c>
      <c r="BJ107" t="s">
        <v>51</v>
      </c>
      <c r="BK107" t="s">
        <v>51</v>
      </c>
      <c r="BL107" t="s">
        <v>52</v>
      </c>
      <c r="BM107" t="s">
        <v>51</v>
      </c>
    </row>
    <row r="108" spans="1:81" x14ac:dyDescent="0.25">
      <c r="A108" s="235" t="s">
        <v>57</v>
      </c>
      <c r="B108" s="97" t="s">
        <v>520</v>
      </c>
      <c r="C108" t="s">
        <v>49</v>
      </c>
      <c r="D108" t="s">
        <v>289</v>
      </c>
      <c r="E108">
        <v>1742</v>
      </c>
      <c r="G108" s="100">
        <v>43669</v>
      </c>
      <c r="H108" t="s">
        <v>1302</v>
      </c>
      <c r="I108" s="9" t="s">
        <v>1111</v>
      </c>
      <c r="J108" s="76" t="s">
        <v>320</v>
      </c>
      <c r="K108" s="10" t="s">
        <v>64</v>
      </c>
      <c r="L108">
        <v>737</v>
      </c>
      <c r="M108">
        <v>93</v>
      </c>
      <c r="O108">
        <v>188</v>
      </c>
      <c r="P108">
        <v>187</v>
      </c>
      <c r="Q108">
        <v>187</v>
      </c>
      <c r="S108">
        <v>138</v>
      </c>
      <c r="T108">
        <v>137</v>
      </c>
      <c r="U108">
        <v>137</v>
      </c>
      <c r="W108" s="36">
        <v>8.84</v>
      </c>
      <c r="X108">
        <v>8.98</v>
      </c>
      <c r="Y108">
        <v>8.7899999999999991</v>
      </c>
      <c r="AA108" s="37">
        <v>41.52</v>
      </c>
      <c r="AB108" s="37">
        <v>41.68</v>
      </c>
      <c r="AC108" s="37">
        <v>41.57</v>
      </c>
      <c r="AE108" s="37">
        <v>76.209999999999994</v>
      </c>
      <c r="AF108" s="37">
        <v>76.39</v>
      </c>
      <c r="AG108" s="37">
        <v>76.31</v>
      </c>
      <c r="AR108" t="s">
        <v>65</v>
      </c>
      <c r="AS108">
        <v>8</v>
      </c>
      <c r="AT108">
        <v>8</v>
      </c>
      <c r="AU108">
        <v>0</v>
      </c>
      <c r="AX108" s="35">
        <v>50.15</v>
      </c>
      <c r="AY108" s="35">
        <v>50.39</v>
      </c>
      <c r="AZ108" s="35">
        <v>50.31</v>
      </c>
      <c r="BB108" s="35">
        <v>32.01</v>
      </c>
      <c r="BC108" s="35">
        <v>32.200000000000003</v>
      </c>
      <c r="BD108" s="35">
        <v>32.130000000000003</v>
      </c>
      <c r="BF108" s="35">
        <v>75.709999999999994</v>
      </c>
      <c r="BG108" s="35">
        <v>75.7</v>
      </c>
      <c r="BH108" s="35">
        <v>75.63</v>
      </c>
      <c r="BJ108" t="s">
        <v>51</v>
      </c>
      <c r="BK108" t="s">
        <v>51</v>
      </c>
      <c r="BL108" t="s">
        <v>52</v>
      </c>
      <c r="BM108" t="s">
        <v>51</v>
      </c>
    </row>
    <row r="109" spans="1:81" x14ac:dyDescent="0.25">
      <c r="A109" s="235" t="s">
        <v>57</v>
      </c>
      <c r="B109" s="97" t="s">
        <v>1845</v>
      </c>
      <c r="C109" t="s">
        <v>49</v>
      </c>
      <c r="D109" t="s">
        <v>289</v>
      </c>
      <c r="E109">
        <v>1744</v>
      </c>
      <c r="G109" s="100">
        <v>43671</v>
      </c>
      <c r="H109" t="s">
        <v>1844</v>
      </c>
      <c r="I109" s="9" t="s">
        <v>1111</v>
      </c>
      <c r="J109" s="76" t="s">
        <v>320</v>
      </c>
      <c r="K109" s="10" t="s">
        <v>50</v>
      </c>
      <c r="L109">
        <v>1797</v>
      </c>
      <c r="M109">
        <v>95</v>
      </c>
      <c r="O109">
        <v>290</v>
      </c>
      <c r="P109">
        <v>290</v>
      </c>
      <c r="Q109">
        <v>289</v>
      </c>
      <c r="S109">
        <v>172</v>
      </c>
      <c r="T109">
        <v>171</v>
      </c>
      <c r="U109">
        <v>171</v>
      </c>
      <c r="W109" s="36">
        <v>14.11</v>
      </c>
      <c r="X109">
        <v>13.84</v>
      </c>
      <c r="Y109">
        <v>13.93</v>
      </c>
      <c r="AA109" s="37">
        <v>53.54</v>
      </c>
      <c r="AB109" s="37">
        <v>53.5</v>
      </c>
      <c r="AC109" s="37">
        <v>53.11</v>
      </c>
      <c r="AE109" s="37">
        <v>103.11</v>
      </c>
      <c r="AF109" s="37">
        <v>103.56</v>
      </c>
      <c r="AG109" s="37">
        <v>103.51</v>
      </c>
      <c r="AI109" s="37">
        <v>21.7</v>
      </c>
      <c r="AJ109" s="37">
        <v>21.73</v>
      </c>
      <c r="AK109" s="37">
        <v>21.79</v>
      </c>
      <c r="AM109" s="37">
        <v>25.25</v>
      </c>
      <c r="AN109" s="37">
        <v>25.39</v>
      </c>
      <c r="AO109" s="37">
        <v>25.23</v>
      </c>
      <c r="AX109" s="35">
        <v>63.74</v>
      </c>
      <c r="AY109" s="35">
        <v>63.6</v>
      </c>
      <c r="AZ109" s="35">
        <v>63.62</v>
      </c>
      <c r="BB109" s="35">
        <v>40.29</v>
      </c>
      <c r="BC109" s="35">
        <v>40.340000000000003</v>
      </c>
      <c r="BD109" s="35">
        <v>40.1</v>
      </c>
      <c r="BF109" s="35">
        <v>94.22</v>
      </c>
      <c r="BG109" s="35">
        <v>94.52</v>
      </c>
      <c r="BH109" s="35">
        <v>94.55</v>
      </c>
      <c r="BJ109" t="s">
        <v>51</v>
      </c>
      <c r="BK109" t="s">
        <v>51</v>
      </c>
      <c r="BL109" t="s">
        <v>52</v>
      </c>
      <c r="BM109" t="s">
        <v>51</v>
      </c>
    </row>
    <row r="110" spans="1:81" x14ac:dyDescent="0.25">
      <c r="A110" s="235" t="s">
        <v>57</v>
      </c>
      <c r="B110" s="97" t="s">
        <v>1846</v>
      </c>
      <c r="C110" t="s">
        <v>49</v>
      </c>
      <c r="D110" t="s">
        <v>289</v>
      </c>
      <c r="E110">
        <v>1745</v>
      </c>
      <c r="G110" s="100">
        <v>43671</v>
      </c>
      <c r="H110" t="s">
        <v>1847</v>
      </c>
      <c r="I110" s="9" t="s">
        <v>1111</v>
      </c>
      <c r="J110" s="76" t="s">
        <v>402</v>
      </c>
      <c r="K110" s="10" t="s">
        <v>50</v>
      </c>
      <c r="L110">
        <v>739</v>
      </c>
      <c r="M110">
        <v>94</v>
      </c>
      <c r="O110">
        <v>192</v>
      </c>
      <c r="P110">
        <v>193</v>
      </c>
      <c r="Q110">
        <v>193</v>
      </c>
      <c r="S110">
        <v>142</v>
      </c>
      <c r="T110">
        <v>143</v>
      </c>
      <c r="U110">
        <v>142</v>
      </c>
      <c r="W110" s="36">
        <v>9.65</v>
      </c>
      <c r="X110">
        <v>9.4499999999999993</v>
      </c>
      <c r="Y110">
        <v>9.5299999999999994</v>
      </c>
      <c r="AA110" s="37">
        <v>40.44</v>
      </c>
      <c r="AB110" s="37">
        <v>40.659999999999997</v>
      </c>
      <c r="AC110" s="37">
        <v>40.799999999999997</v>
      </c>
      <c r="AE110" s="37">
        <v>75.349999999999994</v>
      </c>
      <c r="AF110" s="37">
        <v>75.39</v>
      </c>
      <c r="AG110" s="37">
        <v>75.09</v>
      </c>
      <c r="AI110" s="37">
        <v>18.45</v>
      </c>
      <c r="AJ110" s="37">
        <v>18.34</v>
      </c>
      <c r="AK110" s="37">
        <v>18.149999999999999</v>
      </c>
      <c r="AM110" s="37">
        <v>25.03</v>
      </c>
      <c r="AN110" s="37">
        <v>24.95</v>
      </c>
      <c r="AO110" s="37">
        <v>24.87</v>
      </c>
      <c r="AX110" s="35">
        <v>49.9</v>
      </c>
      <c r="AY110" s="35">
        <v>49.92</v>
      </c>
      <c r="AZ110" s="35">
        <v>49.65</v>
      </c>
      <c r="BB110" s="35">
        <v>34.1</v>
      </c>
      <c r="BC110" s="35">
        <v>34.26</v>
      </c>
      <c r="BD110" s="35">
        <v>34.19</v>
      </c>
      <c r="BF110" s="35">
        <v>75.459999999999994</v>
      </c>
      <c r="BG110" s="35">
        <v>75.27</v>
      </c>
      <c r="BH110" s="35">
        <v>75.290000000000006</v>
      </c>
      <c r="BJ110" t="s">
        <v>51</v>
      </c>
      <c r="BK110" t="s">
        <v>51</v>
      </c>
      <c r="BL110" t="s">
        <v>52</v>
      </c>
      <c r="BM110" t="s">
        <v>51</v>
      </c>
    </row>
    <row r="111" spans="1:81" x14ac:dyDescent="0.25">
      <c r="A111" s="235" t="s">
        <v>57</v>
      </c>
      <c r="B111" s="97" t="s">
        <v>1852</v>
      </c>
      <c r="C111" t="s">
        <v>49</v>
      </c>
      <c r="D111" t="s">
        <v>289</v>
      </c>
      <c r="E111">
        <v>1747</v>
      </c>
      <c r="G111" s="100">
        <v>43672</v>
      </c>
      <c r="H111" t="s">
        <v>1851</v>
      </c>
      <c r="I111" s="9" t="s">
        <v>1111</v>
      </c>
      <c r="J111" s="76" t="s">
        <v>320</v>
      </c>
      <c r="K111" s="10" t="s">
        <v>64</v>
      </c>
      <c r="L111">
        <v>790</v>
      </c>
      <c r="M111">
        <v>95</v>
      </c>
      <c r="O111">
        <v>196</v>
      </c>
      <c r="P111">
        <v>196</v>
      </c>
      <c r="Q111">
        <v>196</v>
      </c>
      <c r="S111">
        <v>149</v>
      </c>
      <c r="T111">
        <v>148</v>
      </c>
      <c r="U111">
        <v>149</v>
      </c>
      <c r="W111" s="36">
        <v>9.15</v>
      </c>
      <c r="X111">
        <v>9.06</v>
      </c>
      <c r="Y111">
        <v>9.27</v>
      </c>
      <c r="AA111" s="37">
        <v>45.27</v>
      </c>
      <c r="AB111" s="37">
        <v>45.24</v>
      </c>
      <c r="AC111" s="37">
        <v>45.31</v>
      </c>
      <c r="AE111" s="37">
        <v>83.55</v>
      </c>
      <c r="AF111" s="37">
        <v>83.66</v>
      </c>
      <c r="AG111" s="37">
        <v>83.57</v>
      </c>
      <c r="AR111" t="s">
        <v>65</v>
      </c>
      <c r="AS111">
        <v>8</v>
      </c>
      <c r="AT111">
        <v>8</v>
      </c>
      <c r="AU111">
        <v>0</v>
      </c>
      <c r="AX111" s="35">
        <v>59.91</v>
      </c>
      <c r="AY111" s="35">
        <v>51.62</v>
      </c>
      <c r="AZ111" s="35">
        <v>51.83</v>
      </c>
      <c r="BB111" s="35">
        <v>30.07</v>
      </c>
      <c r="BC111" s="35">
        <v>29.99</v>
      </c>
      <c r="BD111" s="35">
        <v>29.85</v>
      </c>
      <c r="BF111" s="35">
        <v>76.77</v>
      </c>
      <c r="BG111" s="35">
        <v>76.849999999999994</v>
      </c>
      <c r="BH111" s="35">
        <v>76.650000000000006</v>
      </c>
      <c r="BJ111" t="s">
        <v>51</v>
      </c>
      <c r="BK111" t="s">
        <v>51</v>
      </c>
      <c r="BL111" t="s">
        <v>52</v>
      </c>
      <c r="BM111" t="s">
        <v>51</v>
      </c>
    </row>
    <row r="112" spans="1:81" x14ac:dyDescent="0.25">
      <c r="A112" s="235" t="s">
        <v>57</v>
      </c>
      <c r="B112" s="97" t="s">
        <v>1854</v>
      </c>
      <c r="C112" t="s">
        <v>49</v>
      </c>
      <c r="D112" t="s">
        <v>289</v>
      </c>
      <c r="E112">
        <v>1901</v>
      </c>
      <c r="G112" s="100">
        <v>43672</v>
      </c>
      <c r="H112" t="s">
        <v>1853</v>
      </c>
      <c r="I112" s="9" t="s">
        <v>1111</v>
      </c>
      <c r="J112" s="76" t="s">
        <v>320</v>
      </c>
      <c r="K112" s="10" t="s">
        <v>64</v>
      </c>
      <c r="L112">
        <v>857</v>
      </c>
      <c r="M112">
        <v>94</v>
      </c>
      <c r="O112">
        <v>195</v>
      </c>
      <c r="P112">
        <v>196</v>
      </c>
      <c r="Q112">
        <v>196</v>
      </c>
      <c r="S112">
        <v>169</v>
      </c>
      <c r="T112">
        <v>169</v>
      </c>
      <c r="U112">
        <v>169</v>
      </c>
      <c r="W112" s="36">
        <v>10.039999999999999</v>
      </c>
      <c r="X112">
        <v>10.31</v>
      </c>
      <c r="Y112">
        <v>10.28</v>
      </c>
      <c r="AA112" s="37">
        <v>40.28</v>
      </c>
      <c r="AB112" s="37">
        <v>40.5</v>
      </c>
      <c r="AC112" s="37">
        <v>40.56</v>
      </c>
      <c r="AE112" s="37">
        <v>83.9</v>
      </c>
      <c r="AF112" s="37">
        <v>83.68</v>
      </c>
      <c r="AG112" s="37">
        <v>83.55</v>
      </c>
      <c r="AR112" t="s">
        <v>65</v>
      </c>
      <c r="AS112">
        <v>8</v>
      </c>
      <c r="AT112">
        <v>6</v>
      </c>
      <c r="AU112">
        <v>0</v>
      </c>
      <c r="AX112" s="35">
        <v>52.41</v>
      </c>
      <c r="AY112" s="35">
        <v>52.77</v>
      </c>
      <c r="AZ112" s="35">
        <v>52.58</v>
      </c>
      <c r="BB112" s="35">
        <v>52.86</v>
      </c>
      <c r="BC112" s="35">
        <v>52.87</v>
      </c>
      <c r="BD112" s="35">
        <v>52.75</v>
      </c>
      <c r="BF112" s="35">
        <v>76.75</v>
      </c>
      <c r="BG112" s="35">
        <v>76.510000000000005</v>
      </c>
      <c r="BH112" s="35">
        <v>76.5</v>
      </c>
      <c r="BJ112" t="s">
        <v>51</v>
      </c>
      <c r="BK112" t="s">
        <v>51</v>
      </c>
      <c r="BL112" t="s">
        <v>52</v>
      </c>
      <c r="BM112" t="s">
        <v>51</v>
      </c>
    </row>
    <row r="113" spans="1:72" x14ac:dyDescent="0.25">
      <c r="A113" s="235" t="s">
        <v>57</v>
      </c>
      <c r="B113" s="97" t="s">
        <v>1861</v>
      </c>
      <c r="C113" t="s">
        <v>49</v>
      </c>
      <c r="D113" t="s">
        <v>289</v>
      </c>
      <c r="E113">
        <v>1903</v>
      </c>
      <c r="G113" s="100">
        <v>43673</v>
      </c>
      <c r="H113" t="s">
        <v>1860</v>
      </c>
      <c r="I113" s="9" t="s">
        <v>1111</v>
      </c>
      <c r="J113" s="76" t="s">
        <v>316</v>
      </c>
      <c r="K113" s="10" t="s">
        <v>50</v>
      </c>
      <c r="L113">
        <v>1596</v>
      </c>
      <c r="M113">
        <v>91</v>
      </c>
      <c r="O113">
        <v>273</v>
      </c>
      <c r="P113">
        <v>274</v>
      </c>
      <c r="Q113">
        <v>273</v>
      </c>
      <c r="S113">
        <v>195</v>
      </c>
      <c r="T113">
        <v>195</v>
      </c>
      <c r="U113">
        <v>194</v>
      </c>
      <c r="W113" s="36">
        <v>12.98</v>
      </c>
      <c r="X113">
        <v>12.85</v>
      </c>
      <c r="Y113">
        <v>12.78</v>
      </c>
      <c r="AA113" s="37">
        <v>52.95</v>
      </c>
      <c r="AB113" s="37">
        <v>52.24</v>
      </c>
      <c r="AC113" s="37">
        <v>52.45</v>
      </c>
      <c r="AE113" s="37">
        <v>108.09</v>
      </c>
      <c r="AF113" s="37">
        <v>108.04</v>
      </c>
      <c r="AG113" s="37">
        <v>107.92</v>
      </c>
      <c r="AI113" s="37">
        <v>25.72</v>
      </c>
      <c r="AJ113" s="37">
        <v>25</v>
      </c>
      <c r="AK113" s="37">
        <v>25.21</v>
      </c>
      <c r="AM113" s="37">
        <v>31.55</v>
      </c>
      <c r="AN113" s="37">
        <v>31.59</v>
      </c>
      <c r="AO113" s="37">
        <v>31.39</v>
      </c>
      <c r="AX113" s="35">
        <v>71.12</v>
      </c>
      <c r="AY113" s="35">
        <v>71.33</v>
      </c>
      <c r="AZ113" s="35">
        <v>71.510000000000005</v>
      </c>
      <c r="BB113" s="35">
        <v>40.44</v>
      </c>
      <c r="BC113" s="35">
        <v>40.869999999999997</v>
      </c>
      <c r="BD113" s="35">
        <v>40.6</v>
      </c>
      <c r="BF113" s="35">
        <v>94.7</v>
      </c>
      <c r="BG113" s="35">
        <v>94.15</v>
      </c>
      <c r="BH113" s="35">
        <v>94.53</v>
      </c>
      <c r="BJ113" t="s">
        <v>51</v>
      </c>
      <c r="BK113" t="s">
        <v>51</v>
      </c>
      <c r="BL113" t="s">
        <v>52</v>
      </c>
      <c r="BM113" t="s">
        <v>51</v>
      </c>
    </row>
    <row r="114" spans="1:72" x14ac:dyDescent="0.25">
      <c r="A114" s="235" t="s">
        <v>57</v>
      </c>
      <c r="B114" s="97" t="s">
        <v>1864</v>
      </c>
      <c r="C114" t="s">
        <v>49</v>
      </c>
      <c r="D114" t="s">
        <v>289</v>
      </c>
      <c r="E114">
        <v>1904</v>
      </c>
      <c r="G114" s="100">
        <v>43673</v>
      </c>
      <c r="H114" t="s">
        <v>1863</v>
      </c>
      <c r="I114" s="9" t="s">
        <v>1111</v>
      </c>
      <c r="J114" s="76" t="s">
        <v>322</v>
      </c>
      <c r="K114" s="10" t="s">
        <v>50</v>
      </c>
      <c r="L114">
        <v>1435</v>
      </c>
      <c r="M114">
        <v>93</v>
      </c>
      <c r="O114">
        <v>282</v>
      </c>
      <c r="P114">
        <v>283</v>
      </c>
      <c r="Q114">
        <v>283</v>
      </c>
      <c r="S114">
        <v>180</v>
      </c>
      <c r="T114">
        <v>181</v>
      </c>
      <c r="U114">
        <v>180</v>
      </c>
      <c r="W114" s="36">
        <v>13.48</v>
      </c>
      <c r="X114">
        <v>13.53</v>
      </c>
      <c r="Y114">
        <v>13.59</v>
      </c>
      <c r="AA114" s="37">
        <v>49.42</v>
      </c>
      <c r="AB114" s="37">
        <v>49.35</v>
      </c>
      <c r="AC114" s="37">
        <v>49.59</v>
      </c>
      <c r="AE114" s="37">
        <v>100.22</v>
      </c>
      <c r="AF114" s="37">
        <v>100.3</v>
      </c>
      <c r="AG114" s="37">
        <v>100.26</v>
      </c>
      <c r="AI114" s="37">
        <v>21.6</v>
      </c>
      <c r="AJ114" s="37">
        <v>21.23</v>
      </c>
      <c r="AK114" s="37">
        <v>21.51</v>
      </c>
      <c r="AM114" s="37">
        <v>30.88</v>
      </c>
      <c r="AN114" s="37">
        <v>30.94</v>
      </c>
      <c r="AO114" s="37">
        <v>30.97</v>
      </c>
      <c r="AX114" s="35">
        <v>63.67</v>
      </c>
      <c r="AY114" s="35">
        <v>63.4</v>
      </c>
      <c r="AZ114" s="35">
        <v>63.34</v>
      </c>
      <c r="BB114" s="35">
        <v>39.47</v>
      </c>
      <c r="BC114" s="35">
        <v>39.82</v>
      </c>
      <c r="BD114" s="35">
        <v>39.67</v>
      </c>
      <c r="BF114" s="35">
        <v>88.3</v>
      </c>
      <c r="BG114" s="35">
        <v>88.78</v>
      </c>
      <c r="BH114" s="35">
        <v>88.7</v>
      </c>
      <c r="BJ114" t="s">
        <v>51</v>
      </c>
      <c r="BK114" t="s">
        <v>51</v>
      </c>
      <c r="BL114" t="s">
        <v>52</v>
      </c>
      <c r="BM114" t="s">
        <v>52</v>
      </c>
      <c r="BT114" t="s">
        <v>1862</v>
      </c>
    </row>
    <row r="115" spans="1:72" x14ac:dyDescent="0.25">
      <c r="A115" s="235" t="s">
        <v>57</v>
      </c>
      <c r="B115" s="97" t="s">
        <v>1899</v>
      </c>
      <c r="C115" t="s">
        <v>49</v>
      </c>
      <c r="D115" t="s">
        <v>289</v>
      </c>
      <c r="E115">
        <v>1911</v>
      </c>
      <c r="G115" s="100">
        <v>43676</v>
      </c>
      <c r="H115" t="s">
        <v>589</v>
      </c>
      <c r="I115" s="9" t="s">
        <v>1111</v>
      </c>
      <c r="J115" s="76" t="s">
        <v>402</v>
      </c>
      <c r="K115" s="10" t="s">
        <v>50</v>
      </c>
      <c r="L115">
        <v>654</v>
      </c>
      <c r="M115">
        <v>91</v>
      </c>
      <c r="O115">
        <v>176</v>
      </c>
      <c r="P115">
        <v>176</v>
      </c>
      <c r="Q115">
        <v>175</v>
      </c>
      <c r="S115">
        <v>156</v>
      </c>
      <c r="T115">
        <v>155</v>
      </c>
      <c r="U115">
        <v>155</v>
      </c>
      <c r="W115" s="36">
        <v>8.08</v>
      </c>
      <c r="X115">
        <v>8.23</v>
      </c>
      <c r="Y115">
        <v>8.61</v>
      </c>
      <c r="AA115" s="37">
        <v>42.75</v>
      </c>
      <c r="AB115" s="37">
        <v>42.95</v>
      </c>
      <c r="AC115" s="37">
        <v>42.53</v>
      </c>
      <c r="AE115" s="37">
        <v>79.92</v>
      </c>
      <c r="AF115" s="37">
        <v>80.06</v>
      </c>
      <c r="AG115" s="37">
        <v>80.069999999999993</v>
      </c>
      <c r="AI115" s="37">
        <v>17.350000000000001</v>
      </c>
      <c r="AJ115" s="37">
        <v>17.510000000000002</v>
      </c>
      <c r="AK115" s="37">
        <v>17.84</v>
      </c>
      <c r="AM115" s="37">
        <v>25.82</v>
      </c>
      <c r="AN115" s="37">
        <v>25.21</v>
      </c>
      <c r="AO115" s="37">
        <v>25.18</v>
      </c>
      <c r="AX115" s="35">
        <v>50.27</v>
      </c>
      <c r="AY115" s="35">
        <v>50.04</v>
      </c>
      <c r="AZ115" s="35">
        <v>50.16</v>
      </c>
      <c r="BB115" s="35">
        <v>32.74</v>
      </c>
      <c r="BC115" s="35">
        <v>32.35</v>
      </c>
      <c r="BD115" s="35">
        <v>32.83</v>
      </c>
      <c r="BF115" s="35">
        <v>75.290000000000006</v>
      </c>
      <c r="BG115" s="35">
        <v>75.790000000000006</v>
      </c>
      <c r="BH115" s="35">
        <v>75.64</v>
      </c>
      <c r="BJ115" t="s">
        <v>51</v>
      </c>
      <c r="BK115" t="s">
        <v>51</v>
      </c>
      <c r="BL115" t="s">
        <v>52</v>
      </c>
      <c r="BM115" t="s">
        <v>52</v>
      </c>
    </row>
    <row r="116" spans="1:72" x14ac:dyDescent="0.25">
      <c r="A116" s="235" t="s">
        <v>57</v>
      </c>
      <c r="B116" s="97" t="s">
        <v>1906</v>
      </c>
      <c r="C116" t="s">
        <v>49</v>
      </c>
      <c r="D116" t="s">
        <v>289</v>
      </c>
      <c r="E116">
        <v>1921</v>
      </c>
      <c r="G116" s="100">
        <v>43677</v>
      </c>
      <c r="H116" t="s">
        <v>1905</v>
      </c>
      <c r="I116" s="9" t="s">
        <v>1111</v>
      </c>
      <c r="J116" s="76" t="s">
        <v>316</v>
      </c>
      <c r="K116" s="10" t="s">
        <v>50</v>
      </c>
      <c r="L116">
        <v>1619</v>
      </c>
      <c r="M116">
        <v>93</v>
      </c>
      <c r="O116">
        <v>280</v>
      </c>
      <c r="P116">
        <v>281</v>
      </c>
      <c r="Q116">
        <v>280</v>
      </c>
      <c r="S116">
        <v>170</v>
      </c>
      <c r="T116">
        <v>169</v>
      </c>
      <c r="U116">
        <v>170</v>
      </c>
      <c r="W116" s="36">
        <v>12.64</v>
      </c>
      <c r="X116">
        <v>12.85</v>
      </c>
      <c r="Y116">
        <v>12.55</v>
      </c>
      <c r="AA116" s="37">
        <v>47.19</v>
      </c>
      <c r="AB116" s="37">
        <v>47.2</v>
      </c>
      <c r="AC116" s="37">
        <v>47.13</v>
      </c>
      <c r="AE116" s="37">
        <v>101.09</v>
      </c>
      <c r="AF116" s="37">
        <v>101.51</v>
      </c>
      <c r="AG116" s="37">
        <v>101.38</v>
      </c>
      <c r="AI116" s="37">
        <v>21.07</v>
      </c>
      <c r="AJ116" s="37">
        <v>21.04</v>
      </c>
      <c r="AK116" s="37">
        <v>21.09</v>
      </c>
      <c r="AM116" s="37">
        <v>31.82</v>
      </c>
      <c r="AN116" s="37">
        <v>31.34</v>
      </c>
      <c r="AO116" s="37">
        <v>31.43</v>
      </c>
      <c r="AX116" s="35">
        <v>65.709999999999994</v>
      </c>
      <c r="AY116" s="35">
        <v>65.760000000000005</v>
      </c>
      <c r="AZ116" s="35">
        <v>65.91</v>
      </c>
      <c r="BB116" s="35">
        <v>38.17</v>
      </c>
      <c r="BC116" s="35">
        <v>38.049999999999997</v>
      </c>
      <c r="BD116" s="35">
        <v>38.08</v>
      </c>
      <c r="BF116" s="35">
        <v>92.72</v>
      </c>
      <c r="BG116" s="35">
        <v>92.56</v>
      </c>
      <c r="BH116" s="35">
        <v>92.88</v>
      </c>
      <c r="BJ116" t="s">
        <v>51</v>
      </c>
      <c r="BK116" t="s">
        <v>51</v>
      </c>
      <c r="BL116" t="s">
        <v>52</v>
      </c>
      <c r="BM116" t="s">
        <v>52</v>
      </c>
    </row>
    <row r="117" spans="1:72" x14ac:dyDescent="0.25">
      <c r="A117" s="235" t="s">
        <v>57</v>
      </c>
      <c r="B117" s="97" t="s">
        <v>1924</v>
      </c>
      <c r="C117" t="s">
        <v>49</v>
      </c>
      <c r="D117" t="s">
        <v>289</v>
      </c>
      <c r="E117">
        <v>1914</v>
      </c>
      <c r="G117" s="100">
        <v>43679</v>
      </c>
      <c r="H117" t="s">
        <v>1914</v>
      </c>
      <c r="I117" s="9" t="s">
        <v>1111</v>
      </c>
      <c r="J117" s="76" t="s">
        <v>320</v>
      </c>
      <c r="K117" s="10" t="s">
        <v>64</v>
      </c>
      <c r="L117">
        <v>979</v>
      </c>
      <c r="M117">
        <v>92</v>
      </c>
      <c r="O117">
        <v>215</v>
      </c>
      <c r="P117">
        <v>215</v>
      </c>
      <c r="Q117">
        <v>215</v>
      </c>
      <c r="S117">
        <v>153</v>
      </c>
      <c r="T117">
        <v>152</v>
      </c>
      <c r="U117">
        <v>152</v>
      </c>
      <c r="W117" s="36">
        <v>8.98</v>
      </c>
      <c r="X117">
        <v>8.86</v>
      </c>
      <c r="Y117">
        <v>8.9600000000000009</v>
      </c>
      <c r="AA117" s="37">
        <v>44.08</v>
      </c>
      <c r="AB117" s="37">
        <v>44.04</v>
      </c>
      <c r="AC117" s="37">
        <v>43.99</v>
      </c>
      <c r="AE117" s="37">
        <v>84.92</v>
      </c>
      <c r="AF117" s="37">
        <v>84.78</v>
      </c>
      <c r="AG117" s="37">
        <v>84.78</v>
      </c>
      <c r="AR117" t="s">
        <v>65</v>
      </c>
      <c r="AS117">
        <v>8</v>
      </c>
      <c r="AT117">
        <v>2</v>
      </c>
      <c r="AU117">
        <v>0</v>
      </c>
      <c r="AX117" s="35">
        <v>55.71</v>
      </c>
      <c r="AY117" s="35">
        <v>55.73</v>
      </c>
      <c r="AZ117" s="35">
        <v>55.41</v>
      </c>
      <c r="BB117" s="35">
        <v>33.450000000000003</v>
      </c>
      <c r="BC117" s="35">
        <v>33.08</v>
      </c>
      <c r="BD117" s="35">
        <v>33.36</v>
      </c>
      <c r="BF117" s="35">
        <v>85.72</v>
      </c>
      <c r="BG117" s="35">
        <v>85.62</v>
      </c>
      <c r="BH117" s="35">
        <v>85.66</v>
      </c>
      <c r="BJ117" t="s">
        <v>51</v>
      </c>
      <c r="BK117" t="s">
        <v>51</v>
      </c>
      <c r="BL117" t="s">
        <v>52</v>
      </c>
      <c r="BM117" t="s">
        <v>52</v>
      </c>
    </row>
  </sheetData>
  <mergeCells count="13">
    <mergeCell ref="BO1:BS1"/>
    <mergeCell ref="AI1:AP1"/>
    <mergeCell ref="AR1:AU1"/>
    <mergeCell ref="AX1:BA1"/>
    <mergeCell ref="BB1:BE1"/>
    <mergeCell ref="BF1:BI1"/>
    <mergeCell ref="BJ1:BN1"/>
    <mergeCell ref="AE1:AH1"/>
    <mergeCell ref="L1:N1"/>
    <mergeCell ref="O1:R1"/>
    <mergeCell ref="S1:V1"/>
    <mergeCell ref="W1:Z1"/>
    <mergeCell ref="AA1:AD1"/>
  </mergeCells>
  <pageMargins left="0.7" right="0.7" top="0.75" bottom="0.75" header="0.3" footer="0.3"/>
  <pageSetup paperSize="9"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39"/>
  <sheetViews>
    <sheetView topLeftCell="AE122" workbookViewId="0">
      <selection activeCell="AU140" sqref="AU140"/>
    </sheetView>
  </sheetViews>
  <sheetFormatPr defaultColWidth="11" defaultRowHeight="15.75" x14ac:dyDescent="0.25"/>
  <cols>
    <col min="1" max="1" width="10.875" bestFit="1" customWidth="1"/>
    <col min="2" max="2" width="10.125" customWidth="1"/>
    <col min="3" max="3" width="10.125" style="15" customWidth="1"/>
    <col min="4" max="4" width="6.5" customWidth="1"/>
    <col min="5" max="5" width="9.875" style="15" customWidth="1"/>
    <col min="6" max="6" width="11.125" bestFit="1" customWidth="1"/>
    <col min="7" max="7" width="8.625" customWidth="1"/>
    <col min="8" max="8" width="7" style="9" customWidth="1"/>
    <col min="9" max="9" width="8.5" style="10" customWidth="1"/>
    <col min="10" max="10" width="7" style="10" customWidth="1"/>
    <col min="11" max="11" width="13" customWidth="1"/>
    <col min="12" max="12" width="4.125" customWidth="1"/>
    <col min="13" max="13" width="5.375" style="9" customWidth="1"/>
    <col min="14" max="16" width="11.5" customWidth="1"/>
    <col min="17" max="17" width="13.5" style="24" customWidth="1"/>
    <col min="18" max="20" width="10" customWidth="1"/>
    <col min="21" max="21" width="10.875" style="24" customWidth="1"/>
    <col min="22" max="24" width="9" customWidth="1"/>
    <col min="25" max="25" width="10.875" style="24" customWidth="1"/>
    <col min="26" max="28" width="6.875" customWidth="1"/>
    <col min="29" max="29" width="8.875" style="24" customWidth="1"/>
    <col min="30" max="32" width="9.625" customWidth="1"/>
    <col min="33" max="33" width="11.5" style="24" customWidth="1"/>
    <col min="37" max="37" width="12.875" style="24" customWidth="1"/>
    <col min="38" max="40" width="7" customWidth="1"/>
    <col min="41" max="41" width="5.125" style="9" customWidth="1"/>
    <col min="42" max="44" width="6.125" customWidth="1"/>
    <col min="45" max="45" width="3.125" style="9" customWidth="1"/>
    <col min="46" max="46" width="11.625" style="10" customWidth="1"/>
    <col min="47" max="47" width="6.375" customWidth="1"/>
    <col min="48" max="48" width="13.125" style="9" customWidth="1"/>
    <col min="49" max="51" width="7.125" style="12" customWidth="1"/>
    <col min="52" max="52" width="9.125" style="24" customWidth="1"/>
    <col min="53" max="55" width="9.875" style="12" customWidth="1"/>
    <col min="56" max="56" width="11.875" style="24" customWidth="1"/>
    <col min="57" max="59" width="11.125" style="12" customWidth="1"/>
    <col min="60" max="60" width="13" style="24" customWidth="1"/>
    <col min="61" max="63" width="10.5" customWidth="1"/>
    <col min="64" max="64" width="12.375" style="24" customWidth="1"/>
    <col min="65" max="67" width="10.125" style="12" customWidth="1"/>
    <col min="68" max="68" width="12.125" style="24" customWidth="1"/>
    <col min="72" max="72" width="13" style="24" customWidth="1"/>
    <col min="73" max="75" width="11.5" customWidth="1"/>
    <col min="76" max="76" width="13.5" style="24" customWidth="1"/>
    <col min="77" max="77" width="4.875" customWidth="1"/>
    <col min="78" max="78" width="6.5" customWidth="1"/>
    <col min="79" max="79" width="4.375" customWidth="1"/>
    <col min="80" max="80" width="10.875" bestFit="1" customWidth="1"/>
    <col min="81" max="81" width="17.625" bestFit="1" customWidth="1"/>
    <col min="82" max="82" width="10.875" bestFit="1" customWidth="1"/>
    <col min="83" max="83" width="11.875" style="12" customWidth="1"/>
    <col min="84" max="84" width="7.375" style="12" customWidth="1"/>
    <col min="85" max="85" width="13.875" style="9" customWidth="1"/>
    <col min="86" max="86" width="116.875" bestFit="1" customWidth="1"/>
    <col min="87" max="88" width="60.875" customWidth="1"/>
  </cols>
  <sheetData>
    <row r="1" spans="1:86" s="22" customFormat="1" ht="16.5" thickBot="1" x14ac:dyDescent="0.3">
      <c r="A1" s="51" t="s">
        <v>1223</v>
      </c>
      <c r="B1" s="51" t="s">
        <v>3</v>
      </c>
      <c r="C1" s="51" t="s">
        <v>1224</v>
      </c>
      <c r="D1" s="51" t="s">
        <v>1225</v>
      </c>
      <c r="E1" s="154" t="s">
        <v>104</v>
      </c>
      <c r="F1" s="51" t="s">
        <v>6</v>
      </c>
      <c r="G1" s="51" t="s">
        <v>7</v>
      </c>
      <c r="H1" s="52" t="s">
        <v>8</v>
      </c>
      <c r="I1" s="54" t="s">
        <v>1226</v>
      </c>
      <c r="J1" s="54" t="s">
        <v>41</v>
      </c>
      <c r="K1" s="51" t="s">
        <v>9</v>
      </c>
      <c r="L1" s="51" t="s">
        <v>10</v>
      </c>
      <c r="M1" s="52" t="s">
        <v>11</v>
      </c>
      <c r="N1" s="51" t="s">
        <v>12</v>
      </c>
      <c r="O1" s="51" t="s">
        <v>13</v>
      </c>
      <c r="P1" s="51" t="s">
        <v>14</v>
      </c>
      <c r="Q1" s="23" t="s">
        <v>15</v>
      </c>
      <c r="R1" s="51" t="s">
        <v>16</v>
      </c>
      <c r="S1" s="51" t="s">
        <v>17</v>
      </c>
      <c r="T1" s="51" t="s">
        <v>18</v>
      </c>
      <c r="U1" s="23" t="s">
        <v>19</v>
      </c>
      <c r="V1" s="51" t="s">
        <v>20</v>
      </c>
      <c r="W1" s="51" t="s">
        <v>21</v>
      </c>
      <c r="X1" s="51" t="s">
        <v>22</v>
      </c>
      <c r="Y1" s="23" t="s">
        <v>23</v>
      </c>
      <c r="Z1" s="51" t="s">
        <v>28</v>
      </c>
      <c r="AA1" s="51" t="s">
        <v>29</v>
      </c>
      <c r="AB1" s="51" t="s">
        <v>30</v>
      </c>
      <c r="AC1" s="23" t="s">
        <v>31</v>
      </c>
      <c r="AD1" s="51" t="s">
        <v>673</v>
      </c>
      <c r="AE1" s="51" t="s">
        <v>674</v>
      </c>
      <c r="AF1" s="51" t="s">
        <v>676</v>
      </c>
      <c r="AG1" s="23" t="s">
        <v>677</v>
      </c>
      <c r="AH1" s="51" t="s">
        <v>675</v>
      </c>
      <c r="AI1" s="51" t="s">
        <v>25</v>
      </c>
      <c r="AJ1" s="51" t="s">
        <v>26</v>
      </c>
      <c r="AK1" s="23" t="s">
        <v>27</v>
      </c>
      <c r="AL1" s="51" t="s">
        <v>273</v>
      </c>
      <c r="AM1" s="51" t="s">
        <v>274</v>
      </c>
      <c r="AN1" s="51" t="s">
        <v>275</v>
      </c>
      <c r="AO1" s="52" t="s">
        <v>276</v>
      </c>
      <c r="AP1" s="51" t="s">
        <v>277</v>
      </c>
      <c r="AQ1" s="51" t="s">
        <v>278</v>
      </c>
      <c r="AR1" s="51" t="s">
        <v>279</v>
      </c>
      <c r="AS1" s="52" t="s">
        <v>276</v>
      </c>
      <c r="AT1" s="54" t="s">
        <v>42</v>
      </c>
      <c r="AU1" s="52" t="s">
        <v>43</v>
      </c>
      <c r="AV1" s="52" t="s">
        <v>44</v>
      </c>
      <c r="AW1" s="51" t="s">
        <v>1227</v>
      </c>
      <c r="AX1" s="51" t="s">
        <v>1228</v>
      </c>
      <c r="AY1" s="51" t="s">
        <v>1229</v>
      </c>
      <c r="AZ1" s="23" t="s">
        <v>1230</v>
      </c>
      <c r="BA1" s="51" t="s">
        <v>1231</v>
      </c>
      <c r="BB1" s="51" t="s">
        <v>1232</v>
      </c>
      <c r="BC1" s="51" t="s">
        <v>1233</v>
      </c>
      <c r="BD1" s="23" t="s">
        <v>1234</v>
      </c>
      <c r="BE1" s="51" t="s">
        <v>1235</v>
      </c>
      <c r="BF1" s="51" t="s">
        <v>1236</v>
      </c>
      <c r="BG1" s="51" t="s">
        <v>1237</v>
      </c>
      <c r="BH1" s="23" t="s">
        <v>1238</v>
      </c>
      <c r="BI1" s="51" t="s">
        <v>1239</v>
      </c>
      <c r="BJ1" s="51" t="s">
        <v>1240</v>
      </c>
      <c r="BK1" s="51" t="s">
        <v>1241</v>
      </c>
      <c r="BL1" s="23" t="s">
        <v>1242</v>
      </c>
      <c r="BM1" s="51" t="s">
        <v>115</v>
      </c>
      <c r="BN1" s="51" t="s">
        <v>116</v>
      </c>
      <c r="BO1" s="51" t="s">
        <v>117</v>
      </c>
      <c r="BP1" s="23" t="s">
        <v>118</v>
      </c>
      <c r="BQ1" s="51" t="s">
        <v>32</v>
      </c>
      <c r="BR1" s="51" t="s">
        <v>33</v>
      </c>
      <c r="BS1" s="51" t="s">
        <v>34</v>
      </c>
      <c r="BT1" s="23" t="s">
        <v>35</v>
      </c>
      <c r="BU1" s="51" t="s">
        <v>36</v>
      </c>
      <c r="BV1" s="51" t="s">
        <v>37</v>
      </c>
      <c r="BW1" s="51" t="s">
        <v>38</v>
      </c>
      <c r="BX1" s="23" t="s">
        <v>39</v>
      </c>
      <c r="BY1" s="51" t="s">
        <v>105</v>
      </c>
      <c r="BZ1" s="51" t="s">
        <v>114</v>
      </c>
      <c r="CA1" s="51" t="s">
        <v>110</v>
      </c>
      <c r="CB1" s="51" t="s">
        <v>106</v>
      </c>
      <c r="CC1" s="51" t="s">
        <v>1243</v>
      </c>
      <c r="CD1" s="51" t="s">
        <v>1244</v>
      </c>
      <c r="CE1" s="242" t="s">
        <v>1245</v>
      </c>
      <c r="CF1" s="242" t="s">
        <v>1246</v>
      </c>
      <c r="CG1" s="243" t="s">
        <v>1247</v>
      </c>
      <c r="CH1" s="92" t="s">
        <v>1248</v>
      </c>
    </row>
    <row r="2" spans="1:86" x14ac:dyDescent="0.25">
      <c r="A2" t="s">
        <v>1249</v>
      </c>
      <c r="B2" t="s">
        <v>49</v>
      </c>
      <c r="C2" s="15">
        <v>1</v>
      </c>
      <c r="D2">
        <v>1296</v>
      </c>
      <c r="E2" s="15" t="s">
        <v>379</v>
      </c>
      <c r="F2" s="100">
        <v>43225</v>
      </c>
      <c r="G2" t="s">
        <v>1250</v>
      </c>
      <c r="H2" s="9" t="s">
        <v>1108</v>
      </c>
      <c r="I2" s="10">
        <v>2</v>
      </c>
      <c r="J2" s="10" t="s">
        <v>64</v>
      </c>
      <c r="K2">
        <v>428</v>
      </c>
      <c r="L2">
        <v>91</v>
      </c>
      <c r="M2" s="9">
        <f t="shared" ref="M2:M65" si="0">K2-L2</f>
        <v>337</v>
      </c>
      <c r="N2">
        <v>172</v>
      </c>
      <c r="O2">
        <v>171</v>
      </c>
      <c r="P2">
        <v>171</v>
      </c>
      <c r="Q2" s="24">
        <f t="shared" ref="Q2:Q65" si="1">(N2+O2+P2)/3</f>
        <v>171.33333333333334</v>
      </c>
      <c r="R2" s="35">
        <v>242</v>
      </c>
      <c r="S2" s="35">
        <v>241</v>
      </c>
      <c r="T2" s="35">
        <v>241</v>
      </c>
      <c r="U2" s="24">
        <f t="shared" ref="U2:U54" si="2">(R2+S2+T2)/3</f>
        <v>241.33333333333334</v>
      </c>
      <c r="V2" s="35">
        <v>13.46</v>
      </c>
      <c r="W2" s="35">
        <v>13.43</v>
      </c>
      <c r="X2" s="35">
        <v>13.6</v>
      </c>
      <c r="Y2" s="24">
        <f t="shared" ref="Y2:Y65" si="3">(V2+W2+X2)/3</f>
        <v>13.496666666666668</v>
      </c>
      <c r="Z2" s="35">
        <v>30.45</v>
      </c>
      <c r="AA2" s="35">
        <v>30.64</v>
      </c>
      <c r="AB2" s="35">
        <v>30.63</v>
      </c>
      <c r="AC2" s="24">
        <f t="shared" ref="AC2:AC65" si="4">(Z2+AA2+AB2)/3</f>
        <v>30.573333333333334</v>
      </c>
      <c r="AD2" s="35">
        <v>39.18</v>
      </c>
      <c r="AE2" s="35">
        <v>39.200000000000003</v>
      </c>
      <c r="AF2" s="35">
        <v>39.17</v>
      </c>
      <c r="AG2" s="24">
        <f t="shared" ref="AG2:AG65" si="5">(AD2+AE2+AF2)/3</f>
        <v>39.18333333333333</v>
      </c>
      <c r="AH2" s="35">
        <v>61.35</v>
      </c>
      <c r="AI2" s="35">
        <v>61.52</v>
      </c>
      <c r="AJ2" s="35">
        <v>61.55</v>
      </c>
      <c r="AK2" s="24">
        <f t="shared" ref="AK2:AK65" si="6">(AH2+AI2+AJ2)/3</f>
        <v>61.473333333333336</v>
      </c>
      <c r="AT2" s="10" t="s">
        <v>1251</v>
      </c>
      <c r="AU2">
        <v>8</v>
      </c>
      <c r="AV2" s="9">
        <v>8</v>
      </c>
      <c r="AW2" s="35">
        <v>30.78</v>
      </c>
      <c r="AX2" s="35">
        <v>30.15</v>
      </c>
      <c r="AY2" s="35">
        <v>30.65</v>
      </c>
      <c r="AZ2" s="24">
        <f t="shared" ref="AZ2:AZ65" si="7">(AW2+AX2+AY2)/3</f>
        <v>30.526666666666667</v>
      </c>
      <c r="BA2" s="35">
        <v>39.21</v>
      </c>
      <c r="BB2" s="35">
        <v>39.200000000000003</v>
      </c>
      <c r="BC2" s="35">
        <v>39.020000000000003</v>
      </c>
      <c r="BD2" s="24">
        <f t="shared" ref="BD2:BD65" si="8">(BA2+BB2+BC2)/3</f>
        <v>39.143333333333338</v>
      </c>
      <c r="BE2" s="35">
        <v>62.3</v>
      </c>
      <c r="BF2" s="35">
        <v>62.3</v>
      </c>
      <c r="BG2" s="35">
        <v>62.5</v>
      </c>
      <c r="BH2" s="24">
        <f t="shared" ref="BH2:BH65" si="9">(BE2+BF2+BG2)/3</f>
        <v>62.366666666666667</v>
      </c>
      <c r="BI2" s="12">
        <v>48.13</v>
      </c>
      <c r="BJ2" s="12">
        <v>48.32</v>
      </c>
      <c r="BK2" s="12">
        <v>48.27</v>
      </c>
      <c r="BL2" s="24">
        <f t="shared" ref="BL2:BL65" si="10">(BI2+BJ2+BK2)/3</f>
        <v>48.24</v>
      </c>
      <c r="BM2">
        <v>48.95</v>
      </c>
      <c r="BN2">
        <v>48.92</v>
      </c>
      <c r="BO2">
        <v>48.97</v>
      </c>
      <c r="BP2" s="24">
        <f t="shared" ref="BP2:BP65" si="11">(BM2+BN2+BO2)/3</f>
        <v>48.946666666666665</v>
      </c>
      <c r="BQ2" s="35">
        <v>35.26</v>
      </c>
      <c r="BR2" s="35">
        <v>35.33</v>
      </c>
      <c r="BS2" s="35">
        <v>35.25</v>
      </c>
      <c r="BT2" s="24">
        <f t="shared" ref="BT2:BT65" si="12">(BQ2+BR2+BS2)/3</f>
        <v>35.28</v>
      </c>
      <c r="BU2" s="35">
        <v>65.27</v>
      </c>
      <c r="BV2" s="35">
        <v>65.28</v>
      </c>
      <c r="BW2" s="35">
        <v>65.34</v>
      </c>
      <c r="BX2" s="24">
        <f t="shared" ref="BX2:BX65" si="13">(BU2+BV2+BW2)/3</f>
        <v>65.296666666666667</v>
      </c>
      <c r="BY2" t="s">
        <v>1252</v>
      </c>
      <c r="BZ2" t="s">
        <v>1252</v>
      </c>
      <c r="CA2" t="s">
        <v>1252</v>
      </c>
      <c r="CB2" s="100">
        <v>43225</v>
      </c>
      <c r="CE2" s="12">
        <v>0.1</v>
      </c>
      <c r="CF2" s="35" t="s">
        <v>1253</v>
      </c>
      <c r="CG2" s="9" t="s">
        <v>1253</v>
      </c>
    </row>
    <row r="3" spans="1:86" x14ac:dyDescent="0.25">
      <c r="A3" t="s">
        <v>1254</v>
      </c>
      <c r="B3" t="s">
        <v>49</v>
      </c>
      <c r="C3" s="15">
        <v>2</v>
      </c>
      <c r="D3">
        <v>1292</v>
      </c>
      <c r="E3" s="15" t="s">
        <v>379</v>
      </c>
      <c r="F3" s="100">
        <v>43225</v>
      </c>
      <c r="G3" t="s">
        <v>1255</v>
      </c>
      <c r="H3" s="9" t="s">
        <v>1108</v>
      </c>
      <c r="I3" s="10">
        <v>1</v>
      </c>
      <c r="J3" s="10" t="s">
        <v>50</v>
      </c>
      <c r="K3">
        <v>358</v>
      </c>
      <c r="L3">
        <v>93</v>
      </c>
      <c r="M3" s="9">
        <f t="shared" si="0"/>
        <v>265</v>
      </c>
      <c r="N3">
        <v>160</v>
      </c>
      <c r="O3">
        <v>159</v>
      </c>
      <c r="P3">
        <v>159</v>
      </c>
      <c r="Q3" s="24">
        <f t="shared" si="1"/>
        <v>159.33333333333334</v>
      </c>
      <c r="R3" s="35">
        <v>155</v>
      </c>
      <c r="S3" s="35">
        <v>155</v>
      </c>
      <c r="T3" s="35">
        <v>155</v>
      </c>
      <c r="U3" s="24">
        <f t="shared" si="2"/>
        <v>155</v>
      </c>
      <c r="V3" s="35">
        <v>10.91</v>
      </c>
      <c r="W3" s="35">
        <v>10.7</v>
      </c>
      <c r="X3" s="35">
        <v>10.32</v>
      </c>
      <c r="Y3" s="24">
        <f t="shared" si="3"/>
        <v>10.643333333333333</v>
      </c>
      <c r="Z3" s="35">
        <v>30.26</v>
      </c>
      <c r="AA3" s="35">
        <v>30.27</v>
      </c>
      <c r="AB3" s="35">
        <v>30.38</v>
      </c>
      <c r="AC3" s="24">
        <f t="shared" si="4"/>
        <v>30.303333333333331</v>
      </c>
      <c r="AD3" s="35">
        <v>30.908999999999999</v>
      </c>
      <c r="AE3" s="35">
        <v>30.908999999999999</v>
      </c>
      <c r="AF3" s="35">
        <v>30.905999999999999</v>
      </c>
      <c r="AG3" s="24">
        <f t="shared" si="5"/>
        <v>30.907999999999998</v>
      </c>
      <c r="AH3" s="35">
        <v>60.56</v>
      </c>
      <c r="AI3" s="35">
        <v>60.33</v>
      </c>
      <c r="AJ3" s="35">
        <v>60.52</v>
      </c>
      <c r="AK3" s="24">
        <f t="shared" si="6"/>
        <v>60.47</v>
      </c>
      <c r="AL3">
        <v>13.77</v>
      </c>
      <c r="AM3">
        <v>13.55</v>
      </c>
      <c r="AN3">
        <v>13.25</v>
      </c>
      <c r="AO3" s="9">
        <f>(AL3+AM3+AN3)/3</f>
        <v>13.523333333333333</v>
      </c>
      <c r="AP3" s="35">
        <v>20.21</v>
      </c>
      <c r="AQ3" s="35">
        <v>20.45</v>
      </c>
      <c r="AR3" s="35">
        <v>20.84</v>
      </c>
      <c r="AS3" s="9">
        <f>(AP3+AR3+AQ3)/3</f>
        <v>20.5</v>
      </c>
      <c r="AW3" s="35">
        <v>31.52</v>
      </c>
      <c r="AX3" s="35">
        <v>30.82</v>
      </c>
      <c r="AY3" s="35">
        <v>31.17</v>
      </c>
      <c r="AZ3" s="24">
        <f t="shared" si="7"/>
        <v>31.17</v>
      </c>
      <c r="BA3" s="35">
        <v>39.71</v>
      </c>
      <c r="BB3" s="35">
        <v>39.56</v>
      </c>
      <c r="BC3" s="35">
        <v>39.450000000000003</v>
      </c>
      <c r="BD3" s="24">
        <f t="shared" si="8"/>
        <v>39.573333333333338</v>
      </c>
      <c r="BE3" s="35">
        <v>59.04</v>
      </c>
      <c r="BF3" s="35">
        <v>59.27</v>
      </c>
      <c r="BG3" s="35">
        <v>59.06</v>
      </c>
      <c r="BH3" s="24">
        <f t="shared" si="9"/>
        <v>59.123333333333335</v>
      </c>
      <c r="BI3">
        <v>48.29</v>
      </c>
      <c r="BJ3">
        <v>48.4</v>
      </c>
      <c r="BK3">
        <v>48.1</v>
      </c>
      <c r="BL3" s="24">
        <f t="shared" si="10"/>
        <v>48.263333333333328</v>
      </c>
      <c r="BM3" s="35">
        <v>47.29</v>
      </c>
      <c r="BN3" s="35">
        <v>47.4</v>
      </c>
      <c r="BO3" s="35">
        <v>47.4</v>
      </c>
      <c r="BP3" s="24">
        <f t="shared" si="11"/>
        <v>47.363333333333337</v>
      </c>
      <c r="BQ3" s="35">
        <v>34.49</v>
      </c>
      <c r="BR3" s="35">
        <v>34.68</v>
      </c>
      <c r="BS3" s="35">
        <v>34.4</v>
      </c>
      <c r="BT3" s="24">
        <f t="shared" si="12"/>
        <v>34.523333333333333</v>
      </c>
      <c r="BU3" s="35">
        <v>64.290000000000006</v>
      </c>
      <c r="BV3" s="35">
        <v>64.31</v>
      </c>
      <c r="BW3" s="35">
        <v>64.22</v>
      </c>
      <c r="BX3" s="24">
        <f t="shared" si="13"/>
        <v>64.273333333333341</v>
      </c>
      <c r="BY3" t="s">
        <v>1252</v>
      </c>
      <c r="BZ3" t="s">
        <v>1252</v>
      </c>
      <c r="CA3" t="s">
        <v>1252</v>
      </c>
      <c r="CB3" s="100">
        <v>43225</v>
      </c>
      <c r="CC3" s="100">
        <v>43226</v>
      </c>
      <c r="CE3" s="12">
        <v>0.25</v>
      </c>
      <c r="CF3" s="12">
        <v>50</v>
      </c>
      <c r="CG3" s="9">
        <v>400</v>
      </c>
    </row>
    <row r="4" spans="1:86" x14ac:dyDescent="0.25">
      <c r="A4" t="s">
        <v>1256</v>
      </c>
      <c r="B4" t="s">
        <v>49</v>
      </c>
      <c r="C4" s="15">
        <v>3</v>
      </c>
      <c r="D4">
        <v>1297</v>
      </c>
      <c r="E4" s="15" t="s">
        <v>379</v>
      </c>
      <c r="F4" s="100">
        <v>43225</v>
      </c>
      <c r="G4" t="s">
        <v>1257</v>
      </c>
      <c r="H4" s="9" t="s">
        <v>1108</v>
      </c>
      <c r="I4" s="10">
        <v>1</v>
      </c>
      <c r="J4" s="10" t="s">
        <v>64</v>
      </c>
      <c r="K4">
        <v>346</v>
      </c>
      <c r="L4">
        <v>93</v>
      </c>
      <c r="M4" s="9">
        <f t="shared" si="0"/>
        <v>253</v>
      </c>
      <c r="N4">
        <v>160</v>
      </c>
      <c r="O4">
        <v>159</v>
      </c>
      <c r="P4">
        <v>159</v>
      </c>
      <c r="Q4" s="24">
        <f t="shared" si="1"/>
        <v>159.33333333333334</v>
      </c>
      <c r="R4" s="35">
        <v>228</v>
      </c>
      <c r="S4" s="35">
        <v>228</v>
      </c>
      <c r="T4" s="35">
        <v>228</v>
      </c>
      <c r="U4" s="24">
        <f t="shared" si="2"/>
        <v>228</v>
      </c>
      <c r="V4" s="35">
        <v>10.39</v>
      </c>
      <c r="W4" s="35">
        <v>10.59</v>
      </c>
      <c r="X4" s="35">
        <v>10.17</v>
      </c>
      <c r="Y4" s="24">
        <f t="shared" si="3"/>
        <v>10.383333333333333</v>
      </c>
      <c r="Z4" s="35">
        <v>31.68</v>
      </c>
      <c r="AA4" s="35">
        <v>31.46</v>
      </c>
      <c r="AB4" s="35">
        <v>31.22</v>
      </c>
      <c r="AC4" s="24">
        <f t="shared" si="4"/>
        <v>31.453333333333333</v>
      </c>
      <c r="AD4" s="35">
        <v>40.020000000000003</v>
      </c>
      <c r="AE4" s="35">
        <v>40.270000000000003</v>
      </c>
      <c r="AF4" s="35">
        <v>40.17</v>
      </c>
      <c r="AG4" s="24">
        <f t="shared" si="5"/>
        <v>40.153333333333336</v>
      </c>
      <c r="AH4" s="35">
        <v>60.46</v>
      </c>
      <c r="AI4" s="35">
        <v>60.56</v>
      </c>
      <c r="AJ4" s="35">
        <v>60.4</v>
      </c>
      <c r="AK4" s="24">
        <f t="shared" si="6"/>
        <v>60.473333333333336</v>
      </c>
      <c r="AT4" s="10" t="s">
        <v>1258</v>
      </c>
      <c r="AU4">
        <v>8</v>
      </c>
      <c r="AV4" s="9">
        <v>0</v>
      </c>
      <c r="AW4" s="35">
        <v>31.85</v>
      </c>
      <c r="AX4" s="35">
        <v>31.32</v>
      </c>
      <c r="AY4" s="35">
        <v>31.14</v>
      </c>
      <c r="AZ4" s="24">
        <f t="shared" si="7"/>
        <v>31.436666666666667</v>
      </c>
      <c r="BA4" s="35">
        <v>40.29</v>
      </c>
      <c r="BB4" s="35">
        <v>40.47</v>
      </c>
      <c r="BC4" s="35">
        <v>40.42</v>
      </c>
      <c r="BD4" s="24">
        <f t="shared" si="8"/>
        <v>40.393333333333331</v>
      </c>
      <c r="BE4" s="35">
        <v>61.22</v>
      </c>
      <c r="BF4" s="35">
        <v>61.23</v>
      </c>
      <c r="BG4" s="35">
        <v>61.24</v>
      </c>
      <c r="BH4" s="24">
        <f t="shared" si="9"/>
        <v>61.23</v>
      </c>
      <c r="BI4">
        <v>46.97</v>
      </c>
      <c r="BJ4">
        <v>46.89</v>
      </c>
      <c r="BK4">
        <v>46.9</v>
      </c>
      <c r="BL4" s="24">
        <f t="shared" si="10"/>
        <v>46.919999999999995</v>
      </c>
      <c r="BM4" s="244">
        <v>46.6</v>
      </c>
      <c r="BN4" s="245">
        <v>46.72</v>
      </c>
      <c r="BO4" s="245">
        <v>46.7</v>
      </c>
      <c r="BP4" s="24">
        <f t="shared" si="11"/>
        <v>46.673333333333325</v>
      </c>
      <c r="BQ4" s="246">
        <v>31.84</v>
      </c>
      <c r="BR4" s="246">
        <v>32</v>
      </c>
      <c r="BS4" s="246">
        <v>31.9</v>
      </c>
      <c r="BT4" s="24">
        <f t="shared" si="12"/>
        <v>31.913333333333338</v>
      </c>
      <c r="BU4">
        <v>63.15</v>
      </c>
      <c r="BV4">
        <v>63.26</v>
      </c>
      <c r="BW4">
        <v>63.15</v>
      </c>
      <c r="BX4" s="24">
        <f t="shared" si="13"/>
        <v>63.186666666666667</v>
      </c>
      <c r="BY4" t="s">
        <v>1252</v>
      </c>
      <c r="BZ4" t="s">
        <v>1252</v>
      </c>
      <c r="CA4" t="s">
        <v>1252</v>
      </c>
      <c r="CB4" s="100">
        <v>43225</v>
      </c>
      <c r="CC4" s="100">
        <v>43226</v>
      </c>
      <c r="CE4" s="12">
        <v>0.5</v>
      </c>
      <c r="CF4" s="12">
        <v>50</v>
      </c>
      <c r="CG4" s="9">
        <v>300</v>
      </c>
    </row>
    <row r="5" spans="1:86" x14ac:dyDescent="0.25">
      <c r="A5" t="s">
        <v>1259</v>
      </c>
      <c r="B5" t="s">
        <v>49</v>
      </c>
      <c r="C5" s="15">
        <v>4</v>
      </c>
      <c r="D5">
        <v>1295</v>
      </c>
      <c r="E5" s="15" t="s">
        <v>379</v>
      </c>
      <c r="F5" s="100">
        <v>43225</v>
      </c>
      <c r="G5" t="s">
        <v>1260</v>
      </c>
      <c r="H5" s="9" t="s">
        <v>1108</v>
      </c>
      <c r="I5" s="10">
        <v>3</v>
      </c>
      <c r="J5" s="10" t="s">
        <v>64</v>
      </c>
      <c r="K5">
        <v>422</v>
      </c>
      <c r="L5">
        <v>92</v>
      </c>
      <c r="M5" s="9">
        <f t="shared" si="0"/>
        <v>330</v>
      </c>
      <c r="N5">
        <v>175</v>
      </c>
      <c r="O5">
        <v>174</v>
      </c>
      <c r="P5">
        <v>174</v>
      </c>
      <c r="Q5" s="24">
        <f t="shared" si="1"/>
        <v>174.33333333333334</v>
      </c>
      <c r="R5" s="35">
        <v>225</v>
      </c>
      <c r="S5" s="35">
        <v>224</v>
      </c>
      <c r="T5" s="35">
        <v>225</v>
      </c>
      <c r="U5" s="24">
        <f t="shared" si="2"/>
        <v>224.66666666666666</v>
      </c>
      <c r="V5" s="35">
        <v>12.27</v>
      </c>
      <c r="W5" s="35">
        <v>12.6</v>
      </c>
      <c r="X5" s="35">
        <v>12.72</v>
      </c>
      <c r="Y5" s="24">
        <f t="shared" si="3"/>
        <v>12.53</v>
      </c>
      <c r="Z5" s="35">
        <v>30.38</v>
      </c>
      <c r="AA5" s="35">
        <v>30.47</v>
      </c>
      <c r="AB5" s="35">
        <v>30.71</v>
      </c>
      <c r="AC5" s="24">
        <f t="shared" si="4"/>
        <v>30.52</v>
      </c>
      <c r="AD5" s="35">
        <v>39.299999999999997</v>
      </c>
      <c r="AE5" s="35">
        <v>39.15</v>
      </c>
      <c r="AF5" s="35">
        <v>39.24</v>
      </c>
      <c r="AG5" s="24">
        <f t="shared" si="5"/>
        <v>39.229999999999997</v>
      </c>
      <c r="AH5" s="35">
        <v>62.25</v>
      </c>
      <c r="AI5" s="35">
        <v>62.24</v>
      </c>
      <c r="AJ5" s="35">
        <v>62.55</v>
      </c>
      <c r="AK5" s="24">
        <f t="shared" si="6"/>
        <v>62.346666666666671</v>
      </c>
      <c r="AT5" s="10" t="s">
        <v>1251</v>
      </c>
      <c r="AU5">
        <v>8</v>
      </c>
      <c r="AV5" s="9">
        <v>8</v>
      </c>
      <c r="AW5" s="35">
        <v>30.33</v>
      </c>
      <c r="AX5" s="35">
        <v>30.23</v>
      </c>
      <c r="AY5" s="35">
        <v>30.5</v>
      </c>
      <c r="AZ5" s="24">
        <f t="shared" si="7"/>
        <v>30.353333333333335</v>
      </c>
      <c r="BA5" s="35">
        <v>39.26</v>
      </c>
      <c r="BB5" s="35">
        <v>39.46</v>
      </c>
      <c r="BC5" s="35">
        <v>39.840000000000003</v>
      </c>
      <c r="BD5" s="24">
        <f t="shared" si="8"/>
        <v>39.520000000000003</v>
      </c>
      <c r="BE5" s="35">
        <v>62.44</v>
      </c>
      <c r="BF5" s="35">
        <v>62.64</v>
      </c>
      <c r="BG5" s="35">
        <v>62.8</v>
      </c>
      <c r="BH5" s="24">
        <f t="shared" si="9"/>
        <v>62.626666666666665</v>
      </c>
      <c r="BI5">
        <v>47.53</v>
      </c>
      <c r="BJ5">
        <v>47.67</v>
      </c>
      <c r="BK5">
        <v>47.78</v>
      </c>
      <c r="BL5" s="24">
        <f t="shared" si="10"/>
        <v>47.660000000000004</v>
      </c>
      <c r="BM5" s="247">
        <v>47.74</v>
      </c>
      <c r="BN5" s="35">
        <v>47.88</v>
      </c>
      <c r="BO5" s="35">
        <v>47.86</v>
      </c>
      <c r="BP5" s="24">
        <f t="shared" si="11"/>
        <v>47.826666666666675</v>
      </c>
      <c r="BQ5" s="35">
        <v>36.26</v>
      </c>
      <c r="BR5" s="35">
        <v>36.479999999999997</v>
      </c>
      <c r="BS5" s="35">
        <v>36.200000000000003</v>
      </c>
      <c r="BT5" s="24">
        <f t="shared" si="12"/>
        <v>36.313333333333333</v>
      </c>
      <c r="BU5" s="35">
        <v>67.02</v>
      </c>
      <c r="BV5" s="35">
        <v>67.150000000000006</v>
      </c>
      <c r="BW5" s="35">
        <v>67.2</v>
      </c>
      <c r="BX5" s="24">
        <f t="shared" si="13"/>
        <v>67.123333333333335</v>
      </c>
      <c r="BY5" t="s">
        <v>1252</v>
      </c>
      <c r="BZ5" t="s">
        <v>1252</v>
      </c>
      <c r="CA5" t="s">
        <v>1252</v>
      </c>
      <c r="CB5" s="100">
        <v>43225</v>
      </c>
      <c r="CE5" s="12">
        <v>0</v>
      </c>
      <c r="CF5" s="35" t="s">
        <v>1253</v>
      </c>
      <c r="CG5" s="9" t="s">
        <v>1253</v>
      </c>
    </row>
    <row r="6" spans="1:86" x14ac:dyDescent="0.25">
      <c r="A6" t="s">
        <v>1261</v>
      </c>
      <c r="B6" t="s">
        <v>49</v>
      </c>
      <c r="C6" s="15">
        <v>5</v>
      </c>
      <c r="D6">
        <v>1291</v>
      </c>
      <c r="E6" s="15" t="s">
        <v>379</v>
      </c>
      <c r="F6" s="100">
        <v>43226</v>
      </c>
      <c r="G6" t="s">
        <v>1255</v>
      </c>
      <c r="H6" s="9" t="s">
        <v>1108</v>
      </c>
      <c r="I6" s="10">
        <v>1</v>
      </c>
      <c r="J6" s="10" t="s">
        <v>64</v>
      </c>
      <c r="K6">
        <v>281</v>
      </c>
      <c r="L6">
        <v>95</v>
      </c>
      <c r="M6" s="9">
        <f t="shared" si="0"/>
        <v>186</v>
      </c>
      <c r="N6">
        <v>143</v>
      </c>
      <c r="O6">
        <v>142</v>
      </c>
      <c r="P6">
        <v>142</v>
      </c>
      <c r="Q6" s="24">
        <f t="shared" si="1"/>
        <v>142.33333333333334</v>
      </c>
      <c r="R6" s="35">
        <v>218</v>
      </c>
      <c r="S6" s="35">
        <v>218</v>
      </c>
      <c r="T6" s="35">
        <v>218</v>
      </c>
      <c r="U6" s="24">
        <f t="shared" si="2"/>
        <v>218</v>
      </c>
      <c r="V6" s="35">
        <v>9.15</v>
      </c>
      <c r="W6" s="35">
        <v>8.92</v>
      </c>
      <c r="X6" s="35">
        <v>8.7799999999999994</v>
      </c>
      <c r="Y6" s="24">
        <f t="shared" si="3"/>
        <v>8.9500000000000011</v>
      </c>
      <c r="Z6" s="35">
        <v>28.43</v>
      </c>
      <c r="AA6" s="35">
        <v>28.59</v>
      </c>
      <c r="AB6" s="35">
        <v>28.58</v>
      </c>
      <c r="AC6" s="24">
        <f t="shared" si="4"/>
        <v>28.533333333333331</v>
      </c>
      <c r="AD6" s="35">
        <v>36.82</v>
      </c>
      <c r="AE6" s="35">
        <v>37.06</v>
      </c>
      <c r="AF6" s="35">
        <v>37.03</v>
      </c>
      <c r="AG6" s="24">
        <f t="shared" si="5"/>
        <v>36.97</v>
      </c>
      <c r="AH6" s="35">
        <v>56.44</v>
      </c>
      <c r="AI6" s="35">
        <v>56.31</v>
      </c>
      <c r="AJ6" s="35">
        <v>56.47</v>
      </c>
      <c r="AK6" s="24">
        <f t="shared" si="6"/>
        <v>56.406666666666666</v>
      </c>
      <c r="AT6" s="10" t="s">
        <v>1258</v>
      </c>
      <c r="AU6">
        <v>8</v>
      </c>
      <c r="AV6" s="9">
        <v>0</v>
      </c>
      <c r="AW6" s="35">
        <v>29.01</v>
      </c>
      <c r="AX6" s="35">
        <v>28.59</v>
      </c>
      <c r="AY6" s="35">
        <v>28.62</v>
      </c>
      <c r="AZ6" s="24">
        <f t="shared" si="7"/>
        <v>28.74</v>
      </c>
      <c r="BA6" s="35">
        <v>37.130000000000003</v>
      </c>
      <c r="BB6" s="35">
        <v>37.29</v>
      </c>
      <c r="BC6" s="35">
        <v>37.15</v>
      </c>
      <c r="BD6" s="24">
        <f t="shared" si="8"/>
        <v>37.19</v>
      </c>
      <c r="BE6" s="35">
        <v>55.02</v>
      </c>
      <c r="BF6" s="35">
        <v>56.07</v>
      </c>
      <c r="BG6" s="35">
        <v>55.77</v>
      </c>
      <c r="BH6" s="24">
        <f t="shared" si="9"/>
        <v>55.620000000000005</v>
      </c>
      <c r="BI6" s="35">
        <v>43.03</v>
      </c>
      <c r="BJ6" s="35">
        <v>43.03</v>
      </c>
      <c r="BK6" s="35">
        <v>43.04</v>
      </c>
      <c r="BL6" s="24">
        <f t="shared" si="10"/>
        <v>43.033333333333331</v>
      </c>
      <c r="BM6" s="35">
        <v>43.68</v>
      </c>
      <c r="BN6" s="35">
        <v>43.5</v>
      </c>
      <c r="BO6" s="35">
        <v>43.68</v>
      </c>
      <c r="BP6" s="24">
        <f t="shared" si="11"/>
        <v>43.620000000000005</v>
      </c>
      <c r="BQ6" s="35">
        <v>32.33</v>
      </c>
      <c r="BR6" s="35">
        <v>32.24</v>
      </c>
      <c r="BS6" s="35">
        <v>32.380000000000003</v>
      </c>
      <c r="BT6" s="24">
        <f t="shared" si="12"/>
        <v>32.316666666666663</v>
      </c>
      <c r="BU6" s="35">
        <v>60.56</v>
      </c>
      <c r="BV6" s="35">
        <v>60.46</v>
      </c>
      <c r="BW6" s="35">
        <v>60.55</v>
      </c>
      <c r="BX6" s="24">
        <f t="shared" si="13"/>
        <v>60.523333333333333</v>
      </c>
      <c r="BY6" t="s">
        <v>1252</v>
      </c>
      <c r="BZ6" t="s">
        <v>1252</v>
      </c>
      <c r="CA6" t="s">
        <v>1252</v>
      </c>
      <c r="CB6" s="100">
        <v>43226</v>
      </c>
      <c r="CE6" s="12">
        <v>0.05</v>
      </c>
      <c r="CF6" s="12">
        <v>0</v>
      </c>
      <c r="CG6" s="9">
        <v>0</v>
      </c>
    </row>
    <row r="7" spans="1:86" x14ac:dyDescent="0.25">
      <c r="A7" t="s">
        <v>1262</v>
      </c>
      <c r="B7" t="s">
        <v>49</v>
      </c>
      <c r="C7" s="15">
        <v>6</v>
      </c>
      <c r="D7">
        <v>1300</v>
      </c>
      <c r="E7" s="15" t="s">
        <v>379</v>
      </c>
      <c r="F7" s="100">
        <v>43226</v>
      </c>
      <c r="G7" t="s">
        <v>1263</v>
      </c>
      <c r="H7" s="9" t="s">
        <v>1108</v>
      </c>
      <c r="I7" s="10">
        <v>1</v>
      </c>
      <c r="J7" s="10" t="s">
        <v>50</v>
      </c>
      <c r="K7">
        <v>413</v>
      </c>
      <c r="L7">
        <v>94</v>
      </c>
      <c r="M7" s="9">
        <f t="shared" si="0"/>
        <v>319</v>
      </c>
      <c r="N7">
        <v>157</v>
      </c>
      <c r="O7">
        <v>157</v>
      </c>
      <c r="P7">
        <v>158</v>
      </c>
      <c r="Q7" s="24">
        <f t="shared" si="1"/>
        <v>157.33333333333334</v>
      </c>
      <c r="R7" s="35">
        <v>230</v>
      </c>
      <c r="S7" s="35">
        <v>230</v>
      </c>
      <c r="T7" s="35">
        <v>229</v>
      </c>
      <c r="U7" s="24">
        <f t="shared" si="2"/>
        <v>229.66666666666666</v>
      </c>
      <c r="V7" s="35">
        <v>10.06</v>
      </c>
      <c r="W7" s="35">
        <v>10.02</v>
      </c>
      <c r="X7" s="35">
        <v>9.92</v>
      </c>
      <c r="Y7" s="24">
        <f t="shared" si="3"/>
        <v>10</v>
      </c>
      <c r="Z7" s="35">
        <v>32.86</v>
      </c>
      <c r="AA7" s="35">
        <v>32.770000000000003</v>
      </c>
      <c r="AB7" s="35">
        <v>32.86</v>
      </c>
      <c r="AC7" s="24">
        <f t="shared" si="4"/>
        <v>32.83</v>
      </c>
      <c r="AD7" s="35">
        <v>40.42</v>
      </c>
      <c r="AE7" s="35">
        <v>40.06</v>
      </c>
      <c r="AF7" s="35">
        <v>40.17</v>
      </c>
      <c r="AG7" s="24">
        <f t="shared" si="5"/>
        <v>40.216666666666669</v>
      </c>
      <c r="AH7" s="35">
        <v>62.46</v>
      </c>
      <c r="AI7" s="35">
        <v>62.76</v>
      </c>
      <c r="AJ7" s="35">
        <v>62.83</v>
      </c>
      <c r="AK7" s="24">
        <f t="shared" si="6"/>
        <v>62.683333333333337</v>
      </c>
      <c r="AL7" s="35">
        <v>19.05</v>
      </c>
      <c r="AM7" s="35">
        <v>18.32</v>
      </c>
      <c r="AN7" s="35">
        <v>18.989999999999998</v>
      </c>
      <c r="AO7" s="9">
        <f>(AL7+AM7+AN7)/3</f>
        <v>18.786666666666665</v>
      </c>
      <c r="AP7" s="35">
        <v>25.52</v>
      </c>
      <c r="AQ7" s="35">
        <v>25.21</v>
      </c>
      <c r="AR7" s="35">
        <v>24.65</v>
      </c>
      <c r="AS7" s="9">
        <f>(AP7+AR7+AQ7)/3</f>
        <v>25.126666666666665</v>
      </c>
      <c r="AW7" s="35">
        <v>31.73</v>
      </c>
      <c r="AX7" s="35">
        <v>32.04</v>
      </c>
      <c r="AY7" s="35">
        <v>32.03</v>
      </c>
      <c r="AZ7" s="24">
        <f t="shared" si="7"/>
        <v>31.933333333333334</v>
      </c>
      <c r="BA7" s="35">
        <v>42.06</v>
      </c>
      <c r="BB7" s="35">
        <v>42.05</v>
      </c>
      <c r="BC7" s="35">
        <v>42.04</v>
      </c>
      <c r="BD7" s="24">
        <f t="shared" si="8"/>
        <v>42.050000000000004</v>
      </c>
      <c r="BE7" s="35">
        <v>62.19</v>
      </c>
      <c r="BF7" s="35">
        <v>62.02</v>
      </c>
      <c r="BG7" s="35">
        <v>62.2</v>
      </c>
      <c r="BH7" s="24">
        <f t="shared" si="9"/>
        <v>62.136666666666677</v>
      </c>
      <c r="BI7" s="35">
        <v>49.82</v>
      </c>
      <c r="BJ7" s="35">
        <v>49.86</v>
      </c>
      <c r="BK7" s="35">
        <v>49.95</v>
      </c>
      <c r="BL7" s="24">
        <f t="shared" si="10"/>
        <v>49.876666666666665</v>
      </c>
      <c r="BM7" s="35">
        <v>50.08</v>
      </c>
      <c r="BN7" s="35">
        <v>49.88</v>
      </c>
      <c r="BO7" s="35">
        <v>49.82</v>
      </c>
      <c r="BP7" s="24">
        <f t="shared" si="11"/>
        <v>49.926666666666669</v>
      </c>
      <c r="BQ7" s="35">
        <v>35.619999999999997</v>
      </c>
      <c r="BR7" s="35">
        <v>35.74</v>
      </c>
      <c r="BS7" s="35">
        <v>35.58</v>
      </c>
      <c r="BT7" s="24">
        <f t="shared" si="12"/>
        <v>35.646666666666668</v>
      </c>
      <c r="BU7" s="35">
        <v>65.08</v>
      </c>
      <c r="BV7" s="35">
        <v>65.819999999999993</v>
      </c>
      <c r="BW7" s="35">
        <v>65.760000000000005</v>
      </c>
      <c r="BX7" s="24">
        <f t="shared" si="13"/>
        <v>65.553333333333327</v>
      </c>
      <c r="BY7" t="s">
        <v>1252</v>
      </c>
      <c r="BZ7" t="s">
        <v>1252</v>
      </c>
      <c r="CA7" t="s">
        <v>1252</v>
      </c>
      <c r="CB7" t="s">
        <v>1264</v>
      </c>
      <c r="CE7" s="12">
        <v>0.1</v>
      </c>
      <c r="CF7" s="12">
        <v>30</v>
      </c>
      <c r="CG7" s="9">
        <v>200</v>
      </c>
    </row>
    <row r="8" spans="1:86" x14ac:dyDescent="0.25">
      <c r="A8" t="s">
        <v>1265</v>
      </c>
      <c r="B8" t="s">
        <v>49</v>
      </c>
      <c r="C8" s="15">
        <v>7</v>
      </c>
      <c r="D8">
        <v>1298</v>
      </c>
      <c r="E8" s="15" t="s">
        <v>379</v>
      </c>
      <c r="F8" s="100">
        <v>43226</v>
      </c>
      <c r="G8" t="s">
        <v>1266</v>
      </c>
      <c r="H8" s="9" t="s">
        <v>1108</v>
      </c>
      <c r="I8" s="10">
        <v>2</v>
      </c>
      <c r="J8" s="10" t="s">
        <v>64</v>
      </c>
      <c r="K8">
        <v>414</v>
      </c>
      <c r="L8">
        <v>92</v>
      </c>
      <c r="M8" s="9">
        <f t="shared" si="0"/>
        <v>322</v>
      </c>
      <c r="N8">
        <v>180</v>
      </c>
      <c r="O8">
        <v>180</v>
      </c>
      <c r="P8">
        <v>181</v>
      </c>
      <c r="Q8" s="24">
        <f t="shared" si="1"/>
        <v>180.33333333333334</v>
      </c>
      <c r="R8" s="35">
        <v>235</v>
      </c>
      <c r="S8" s="35">
        <v>235</v>
      </c>
      <c r="T8" s="35">
        <v>235</v>
      </c>
      <c r="U8" s="24">
        <f t="shared" si="2"/>
        <v>235</v>
      </c>
      <c r="V8" s="35">
        <v>12.54</v>
      </c>
      <c r="W8" s="35">
        <v>12.51</v>
      </c>
      <c r="X8" s="35">
        <v>12.34</v>
      </c>
      <c r="Y8" s="24">
        <f t="shared" si="3"/>
        <v>12.463333333333333</v>
      </c>
      <c r="Z8" s="35">
        <v>30.87</v>
      </c>
      <c r="AA8" s="35">
        <v>30.93</v>
      </c>
      <c r="AB8" s="35">
        <v>30.82</v>
      </c>
      <c r="AC8" s="24">
        <f t="shared" si="4"/>
        <v>30.873333333333335</v>
      </c>
      <c r="AD8" s="35">
        <v>38.75</v>
      </c>
      <c r="AE8" s="35">
        <v>38.81</v>
      </c>
      <c r="AF8" s="35">
        <v>38.72</v>
      </c>
      <c r="AG8" s="24">
        <f t="shared" si="5"/>
        <v>38.76</v>
      </c>
      <c r="AH8" s="35">
        <v>62.3</v>
      </c>
      <c r="AI8" s="35">
        <v>62.51</v>
      </c>
      <c r="AJ8" s="35">
        <v>62.24</v>
      </c>
      <c r="AK8" s="24">
        <f t="shared" si="6"/>
        <v>62.35</v>
      </c>
      <c r="AT8" s="10" t="s">
        <v>1251</v>
      </c>
      <c r="AU8">
        <v>8</v>
      </c>
      <c r="AV8" s="9">
        <v>7</v>
      </c>
      <c r="AW8" s="35">
        <v>30.14</v>
      </c>
      <c r="AX8" s="35">
        <v>30.36</v>
      </c>
      <c r="AY8" s="35">
        <v>30.32</v>
      </c>
      <c r="AZ8" s="24">
        <f t="shared" si="7"/>
        <v>30.27333333333333</v>
      </c>
      <c r="BA8" s="35">
        <v>39.85</v>
      </c>
      <c r="BB8" s="35">
        <v>39.94</v>
      </c>
      <c r="BC8" s="35">
        <v>39.909999999999997</v>
      </c>
      <c r="BD8" s="24">
        <f t="shared" si="8"/>
        <v>39.9</v>
      </c>
      <c r="BE8" s="35">
        <v>62.88</v>
      </c>
      <c r="BF8" s="35">
        <v>62.35</v>
      </c>
      <c r="BG8" s="35">
        <v>62.11</v>
      </c>
      <c r="BH8" s="24">
        <f t="shared" si="9"/>
        <v>62.446666666666665</v>
      </c>
      <c r="BI8" s="35">
        <v>48.85</v>
      </c>
      <c r="BJ8" s="35">
        <v>48.92</v>
      </c>
      <c r="BK8" s="35">
        <v>48.39</v>
      </c>
      <c r="BL8" s="24">
        <f t="shared" si="10"/>
        <v>48.720000000000006</v>
      </c>
      <c r="BM8" s="35">
        <v>49.05</v>
      </c>
      <c r="BN8" s="35">
        <v>49.09</v>
      </c>
      <c r="BO8" s="35">
        <v>49.11</v>
      </c>
      <c r="BP8" s="24">
        <f t="shared" si="11"/>
        <v>49.083333333333336</v>
      </c>
      <c r="BQ8" s="35">
        <v>35.909999999999997</v>
      </c>
      <c r="BR8" s="35">
        <v>35.99</v>
      </c>
      <c r="BS8" s="35">
        <v>35.97</v>
      </c>
      <c r="BT8" s="24">
        <f t="shared" si="12"/>
        <v>35.956666666666671</v>
      </c>
      <c r="BU8" s="35">
        <v>66.430000000000007</v>
      </c>
      <c r="BV8" s="35">
        <v>66.8</v>
      </c>
      <c r="BW8" s="35">
        <v>66.19</v>
      </c>
      <c r="BX8" s="24">
        <f t="shared" si="13"/>
        <v>66.473333333333343</v>
      </c>
      <c r="BY8" t="s">
        <v>1252</v>
      </c>
      <c r="BZ8" t="s">
        <v>1252</v>
      </c>
      <c r="CA8" t="s">
        <v>1252</v>
      </c>
      <c r="CB8" s="100">
        <v>43226</v>
      </c>
      <c r="CE8" s="12">
        <v>0</v>
      </c>
      <c r="CF8" s="35" t="s">
        <v>1253</v>
      </c>
      <c r="CG8" s="9" t="s">
        <v>1253</v>
      </c>
    </row>
    <row r="9" spans="1:86" x14ac:dyDescent="0.25">
      <c r="A9" t="s">
        <v>1267</v>
      </c>
      <c r="B9" t="s">
        <v>49</v>
      </c>
      <c r="C9" s="15">
        <v>8</v>
      </c>
      <c r="D9">
        <v>1299</v>
      </c>
      <c r="E9" s="15" t="s">
        <v>379</v>
      </c>
      <c r="F9" s="100">
        <v>43226</v>
      </c>
      <c r="G9" t="s">
        <v>1268</v>
      </c>
      <c r="H9" s="9" t="s">
        <v>1108</v>
      </c>
      <c r="I9" s="10">
        <v>1</v>
      </c>
      <c r="J9" s="10" t="s">
        <v>64</v>
      </c>
      <c r="K9">
        <v>306</v>
      </c>
      <c r="L9">
        <v>92</v>
      </c>
      <c r="M9" s="9">
        <f t="shared" si="0"/>
        <v>214</v>
      </c>
      <c r="N9">
        <v>140</v>
      </c>
      <c r="O9">
        <v>141</v>
      </c>
      <c r="P9">
        <v>141</v>
      </c>
      <c r="Q9" s="24">
        <f t="shared" si="1"/>
        <v>140.66666666666666</v>
      </c>
      <c r="R9" s="35">
        <v>20</v>
      </c>
      <c r="S9" s="35">
        <v>20</v>
      </c>
      <c r="T9" s="35">
        <v>20</v>
      </c>
      <c r="U9" s="24">
        <f t="shared" si="2"/>
        <v>20</v>
      </c>
      <c r="V9" s="35">
        <v>10.86</v>
      </c>
      <c r="W9" s="35">
        <v>10.74</v>
      </c>
      <c r="X9" s="35">
        <v>10.55</v>
      </c>
      <c r="Y9" s="24">
        <f t="shared" si="3"/>
        <v>10.716666666666669</v>
      </c>
      <c r="Z9" s="35">
        <v>30.14</v>
      </c>
      <c r="AA9" s="35">
        <v>30.09</v>
      </c>
      <c r="AB9" s="35">
        <v>30.24</v>
      </c>
      <c r="AC9" s="24">
        <f t="shared" si="4"/>
        <v>30.156666666666666</v>
      </c>
      <c r="AD9" s="35">
        <v>38.130000000000003</v>
      </c>
      <c r="AE9" s="35">
        <v>38.51</v>
      </c>
      <c r="AF9" s="35">
        <v>38.46</v>
      </c>
      <c r="AG9" s="24">
        <f t="shared" si="5"/>
        <v>38.366666666666667</v>
      </c>
      <c r="AH9" s="35">
        <v>59.21</v>
      </c>
      <c r="AI9" s="35">
        <v>59.23</v>
      </c>
      <c r="AJ9" s="35">
        <v>59.18</v>
      </c>
      <c r="AK9" s="24">
        <f t="shared" si="6"/>
        <v>59.206666666666671</v>
      </c>
      <c r="AT9" s="10" t="s">
        <v>1258</v>
      </c>
      <c r="AU9">
        <v>8</v>
      </c>
      <c r="AV9" s="9">
        <v>0</v>
      </c>
      <c r="AW9" s="35">
        <v>30.14</v>
      </c>
      <c r="AX9" s="35">
        <v>30.01</v>
      </c>
      <c r="AY9" s="35">
        <v>30.38</v>
      </c>
      <c r="AZ9" s="24">
        <f t="shared" si="7"/>
        <v>30.176666666666666</v>
      </c>
      <c r="BA9" s="35">
        <v>39.24</v>
      </c>
      <c r="BB9" s="35">
        <v>39.46</v>
      </c>
      <c r="BC9" s="35">
        <v>39.340000000000003</v>
      </c>
      <c r="BD9" s="24">
        <f t="shared" si="8"/>
        <v>39.346666666666671</v>
      </c>
      <c r="BE9" s="35">
        <v>58.55</v>
      </c>
      <c r="BF9" s="35">
        <v>58.48</v>
      </c>
      <c r="BG9" s="35">
        <v>58.76</v>
      </c>
      <c r="BH9" s="24">
        <f t="shared" si="9"/>
        <v>58.596666666666664</v>
      </c>
      <c r="BI9" s="35">
        <v>46.19</v>
      </c>
      <c r="BJ9" s="35">
        <v>46.85</v>
      </c>
      <c r="BK9" s="35">
        <v>46.54</v>
      </c>
      <c r="BL9" s="24">
        <f t="shared" si="10"/>
        <v>46.526666666666664</v>
      </c>
      <c r="BM9" s="35">
        <v>46.23</v>
      </c>
      <c r="BN9" s="35">
        <v>46.24</v>
      </c>
      <c r="BO9" s="35">
        <v>46.28</v>
      </c>
      <c r="BP9" s="24">
        <f t="shared" si="11"/>
        <v>46.25</v>
      </c>
      <c r="BQ9" s="35">
        <v>31.2</v>
      </c>
      <c r="BR9" s="35">
        <v>31.19</v>
      </c>
      <c r="BS9" s="35">
        <v>31.22</v>
      </c>
      <c r="BT9" s="24">
        <f t="shared" si="12"/>
        <v>31.203333333333333</v>
      </c>
      <c r="BU9" s="35">
        <v>64.72</v>
      </c>
      <c r="BV9" s="35">
        <v>64.239999999999995</v>
      </c>
      <c r="BW9" s="35">
        <v>64.239999999999995</v>
      </c>
      <c r="BX9" s="24">
        <f t="shared" si="13"/>
        <v>64.399999999999991</v>
      </c>
      <c r="BY9" t="s">
        <v>1252</v>
      </c>
      <c r="BZ9" t="s">
        <v>1252</v>
      </c>
      <c r="CA9" t="s">
        <v>1252</v>
      </c>
      <c r="CB9" s="100">
        <v>43226</v>
      </c>
      <c r="CE9" s="35">
        <v>0.15</v>
      </c>
      <c r="CF9" s="35">
        <v>0</v>
      </c>
      <c r="CG9" s="9">
        <v>0</v>
      </c>
      <c r="CH9" t="s">
        <v>1269</v>
      </c>
    </row>
    <row r="10" spans="1:86" x14ac:dyDescent="0.25">
      <c r="A10" t="s">
        <v>1270</v>
      </c>
      <c r="B10" t="s">
        <v>49</v>
      </c>
      <c r="C10" s="15">
        <v>9</v>
      </c>
      <c r="D10">
        <v>1676</v>
      </c>
      <c r="E10" s="15" t="s">
        <v>379</v>
      </c>
      <c r="F10" s="100">
        <v>43226</v>
      </c>
      <c r="G10" t="s">
        <v>1250</v>
      </c>
      <c r="H10" s="9" t="s">
        <v>1108</v>
      </c>
      <c r="I10" s="10">
        <v>2</v>
      </c>
      <c r="J10" s="10" t="s">
        <v>50</v>
      </c>
      <c r="K10">
        <v>552</v>
      </c>
      <c r="L10">
        <v>95</v>
      </c>
      <c r="M10" s="9">
        <f t="shared" si="0"/>
        <v>457</v>
      </c>
      <c r="N10">
        <v>211</v>
      </c>
      <c r="O10">
        <v>211</v>
      </c>
      <c r="P10">
        <v>211</v>
      </c>
      <c r="Q10" s="24">
        <f t="shared" si="1"/>
        <v>211</v>
      </c>
      <c r="R10" s="35">
        <v>265</v>
      </c>
      <c r="S10" s="35">
        <v>265</v>
      </c>
      <c r="T10" s="35">
        <v>265</v>
      </c>
      <c r="U10" s="24">
        <f t="shared" si="2"/>
        <v>265</v>
      </c>
      <c r="V10" s="35">
        <v>12.83</v>
      </c>
      <c r="W10" s="35">
        <v>12.82</v>
      </c>
      <c r="X10" s="35">
        <v>12.65</v>
      </c>
      <c r="Y10" s="24">
        <f t="shared" si="3"/>
        <v>12.766666666666666</v>
      </c>
      <c r="Z10" s="35">
        <v>35.11</v>
      </c>
      <c r="AA10" s="35">
        <v>35.450000000000003</v>
      </c>
      <c r="AB10" s="35">
        <v>35.700000000000003</v>
      </c>
      <c r="AC10" s="24">
        <f t="shared" si="4"/>
        <v>35.42</v>
      </c>
      <c r="AD10" s="35">
        <v>46.82</v>
      </c>
      <c r="AE10" s="35">
        <v>46.6</v>
      </c>
      <c r="AF10" s="35">
        <v>46.44</v>
      </c>
      <c r="AG10" s="24">
        <f t="shared" si="5"/>
        <v>46.620000000000005</v>
      </c>
      <c r="AH10" s="35">
        <v>71.150000000000006</v>
      </c>
      <c r="AI10" s="35">
        <v>71.27</v>
      </c>
      <c r="AJ10" s="35">
        <v>71.28</v>
      </c>
      <c r="AK10" s="24">
        <f t="shared" si="6"/>
        <v>71.233333333333334</v>
      </c>
      <c r="AL10" s="35">
        <v>17.7</v>
      </c>
      <c r="AM10" s="35">
        <v>17.440000000000001</v>
      </c>
      <c r="AN10" s="35">
        <v>17.809999999999999</v>
      </c>
      <c r="AO10" s="9">
        <f>(AL10+AM10+AN10)/3</f>
        <v>17.650000000000002</v>
      </c>
      <c r="AP10" s="35">
        <v>26.54</v>
      </c>
      <c r="AQ10" s="35">
        <v>26.99</v>
      </c>
      <c r="AR10" s="35">
        <v>26.94</v>
      </c>
      <c r="AS10" s="9">
        <f>(AP10+AR10+AQ10)/3</f>
        <v>26.823333333333334</v>
      </c>
      <c r="AW10" s="35">
        <v>35.93</v>
      </c>
      <c r="AX10" s="35">
        <v>35.99</v>
      </c>
      <c r="AY10" s="35">
        <v>35.9</v>
      </c>
      <c r="AZ10" s="24">
        <f t="shared" si="7"/>
        <v>35.94</v>
      </c>
      <c r="BA10" s="35">
        <v>46.34</v>
      </c>
      <c r="BB10" s="35">
        <v>46.36</v>
      </c>
      <c r="BC10" s="35">
        <v>46.37</v>
      </c>
      <c r="BD10" s="24">
        <f t="shared" si="8"/>
        <v>46.356666666666662</v>
      </c>
      <c r="BE10" s="35">
        <v>71.81</v>
      </c>
      <c r="BF10" s="35">
        <v>71.760000000000005</v>
      </c>
      <c r="BG10" s="35">
        <v>71.849999999999994</v>
      </c>
      <c r="BH10" s="24">
        <f t="shared" si="9"/>
        <v>71.806666666666658</v>
      </c>
      <c r="BI10" s="35">
        <v>57.22</v>
      </c>
      <c r="BJ10" s="35">
        <v>57.23</v>
      </c>
      <c r="BK10" s="35">
        <v>57.62</v>
      </c>
      <c r="BL10" s="24">
        <f t="shared" si="10"/>
        <v>57.356666666666662</v>
      </c>
      <c r="BM10" s="35">
        <v>56.95</v>
      </c>
      <c r="BN10" s="35">
        <v>56.98</v>
      </c>
      <c r="BO10" s="248">
        <v>56.96</v>
      </c>
      <c r="BP10" s="24">
        <f t="shared" si="11"/>
        <v>56.963333333333338</v>
      </c>
      <c r="BQ10" s="35">
        <v>38.85</v>
      </c>
      <c r="BR10" s="35">
        <v>38.799999999999997</v>
      </c>
      <c r="BS10" s="35">
        <v>38.75</v>
      </c>
      <c r="BT10" s="24">
        <f t="shared" si="12"/>
        <v>38.800000000000004</v>
      </c>
      <c r="BU10" s="35">
        <v>77.290000000000006</v>
      </c>
      <c r="BV10" s="35">
        <v>77.16</v>
      </c>
      <c r="BW10" s="35">
        <v>77.150000000000006</v>
      </c>
      <c r="BX10" s="24">
        <f t="shared" si="13"/>
        <v>77.2</v>
      </c>
      <c r="BY10" t="s">
        <v>1252</v>
      </c>
      <c r="BZ10" t="s">
        <v>1252</v>
      </c>
      <c r="CA10" t="s">
        <v>1252</v>
      </c>
      <c r="CB10" s="100">
        <v>43226</v>
      </c>
      <c r="CE10" s="12">
        <v>0</v>
      </c>
      <c r="CF10" s="35" t="s">
        <v>1253</v>
      </c>
      <c r="CG10" s="9" t="s">
        <v>1253</v>
      </c>
      <c r="CH10" t="s">
        <v>1271</v>
      </c>
    </row>
    <row r="11" spans="1:86" x14ac:dyDescent="0.25">
      <c r="A11" t="s">
        <v>1272</v>
      </c>
      <c r="B11" t="s">
        <v>207</v>
      </c>
      <c r="C11" s="15" t="s">
        <v>379</v>
      </c>
      <c r="D11">
        <v>1472</v>
      </c>
      <c r="E11" s="249" t="s">
        <v>1273</v>
      </c>
      <c r="F11" s="100">
        <v>43227</v>
      </c>
      <c r="G11" t="s">
        <v>669</v>
      </c>
      <c r="H11" s="9" t="s">
        <v>1108</v>
      </c>
      <c r="I11" s="10">
        <v>1</v>
      </c>
      <c r="J11" s="10" t="s">
        <v>64</v>
      </c>
      <c r="K11">
        <v>323</v>
      </c>
      <c r="L11">
        <v>91</v>
      </c>
      <c r="M11" s="9">
        <f t="shared" si="0"/>
        <v>232</v>
      </c>
      <c r="N11">
        <v>153</v>
      </c>
      <c r="O11">
        <v>153</v>
      </c>
      <c r="P11">
        <v>153</v>
      </c>
      <c r="Q11" s="24">
        <f t="shared" si="1"/>
        <v>153</v>
      </c>
      <c r="R11" s="35">
        <v>231</v>
      </c>
      <c r="S11" s="35">
        <v>230</v>
      </c>
      <c r="T11" s="35">
        <v>230</v>
      </c>
      <c r="U11" s="24">
        <f t="shared" si="2"/>
        <v>230.33333333333334</v>
      </c>
      <c r="V11" s="35">
        <v>11.12</v>
      </c>
      <c r="W11" s="35">
        <v>11.12</v>
      </c>
      <c r="X11" s="35">
        <v>11.37</v>
      </c>
      <c r="Y11" s="24">
        <f t="shared" si="3"/>
        <v>11.203333333333333</v>
      </c>
      <c r="Z11" s="35">
        <v>31.36</v>
      </c>
      <c r="AA11" s="35">
        <v>31.21</v>
      </c>
      <c r="AB11" s="35">
        <v>31.11</v>
      </c>
      <c r="AC11" s="24">
        <f t="shared" si="4"/>
        <v>31.22666666666667</v>
      </c>
      <c r="AD11" s="35">
        <v>40.18</v>
      </c>
      <c r="AE11" s="35">
        <v>40.14</v>
      </c>
      <c r="AF11" s="35">
        <v>40.130000000000003</v>
      </c>
      <c r="AG11" s="24">
        <f t="shared" si="5"/>
        <v>40.15</v>
      </c>
      <c r="AH11" s="35">
        <v>59.38</v>
      </c>
      <c r="AI11" s="35">
        <v>59.68</v>
      </c>
      <c r="AJ11" s="35">
        <v>59.67</v>
      </c>
      <c r="AK11" s="24">
        <f t="shared" si="6"/>
        <v>59.576666666666675</v>
      </c>
      <c r="AT11" s="10" t="s">
        <v>1258</v>
      </c>
      <c r="AU11">
        <v>8</v>
      </c>
      <c r="AV11" s="9">
        <v>0</v>
      </c>
      <c r="AW11" s="35">
        <v>30.95</v>
      </c>
      <c r="AX11" s="35">
        <v>30.94</v>
      </c>
      <c r="AY11" s="35">
        <v>31.01</v>
      </c>
      <c r="AZ11" s="24">
        <f t="shared" si="7"/>
        <v>30.966666666666669</v>
      </c>
      <c r="BA11" s="35">
        <v>39.21</v>
      </c>
      <c r="BB11" s="35">
        <v>39.090000000000003</v>
      </c>
      <c r="BC11" s="35">
        <v>39.04</v>
      </c>
      <c r="BD11" s="24">
        <f t="shared" si="8"/>
        <v>39.113333333333337</v>
      </c>
      <c r="BE11" s="35">
        <v>58.88</v>
      </c>
      <c r="BF11" s="35">
        <v>58.6</v>
      </c>
      <c r="BG11" s="35">
        <v>58.78</v>
      </c>
      <c r="BH11" s="24">
        <f t="shared" si="9"/>
        <v>58.75333333333333</v>
      </c>
      <c r="BI11" s="35">
        <v>45.72</v>
      </c>
      <c r="BJ11" s="35">
        <v>45.65</v>
      </c>
      <c r="BK11" s="35">
        <v>45.49</v>
      </c>
      <c r="BL11" s="24">
        <f t="shared" si="10"/>
        <v>45.620000000000005</v>
      </c>
      <c r="BM11" s="35">
        <v>46.07</v>
      </c>
      <c r="BN11" s="35">
        <v>45.99</v>
      </c>
      <c r="BO11" s="35">
        <v>45.95</v>
      </c>
      <c r="BP11" s="24">
        <f t="shared" si="11"/>
        <v>46.00333333333333</v>
      </c>
      <c r="BQ11" s="35">
        <v>31.44</v>
      </c>
      <c r="BR11" s="35">
        <v>31.74</v>
      </c>
      <c r="BS11" s="35">
        <v>31.6</v>
      </c>
      <c r="BT11" s="24">
        <f t="shared" si="12"/>
        <v>31.593333333333334</v>
      </c>
      <c r="BU11" s="35">
        <v>63</v>
      </c>
      <c r="BV11" s="35">
        <v>63.1</v>
      </c>
      <c r="BW11" s="35">
        <v>63.13</v>
      </c>
      <c r="BX11" s="24">
        <f t="shared" si="13"/>
        <v>63.076666666666661</v>
      </c>
      <c r="BY11" t="s">
        <v>1252</v>
      </c>
      <c r="BZ11" t="s">
        <v>1264</v>
      </c>
      <c r="CA11" t="s">
        <v>1252</v>
      </c>
      <c r="CB11" t="s">
        <v>1264</v>
      </c>
      <c r="CE11" s="12" t="s">
        <v>1253</v>
      </c>
      <c r="CF11" s="35" t="s">
        <v>1253</v>
      </c>
      <c r="CG11" s="9" t="s">
        <v>1253</v>
      </c>
      <c r="CH11" s="35" t="s">
        <v>1274</v>
      </c>
    </row>
    <row r="12" spans="1:86" x14ac:dyDescent="0.25">
      <c r="A12" t="s">
        <v>1275</v>
      </c>
      <c r="B12" t="s">
        <v>207</v>
      </c>
      <c r="C12" s="15" t="s">
        <v>379</v>
      </c>
      <c r="D12">
        <v>1333</v>
      </c>
      <c r="E12" s="250" t="s">
        <v>1276</v>
      </c>
      <c r="F12" s="100">
        <v>43227</v>
      </c>
      <c r="G12" t="s">
        <v>229</v>
      </c>
      <c r="H12" s="9" t="s">
        <v>1108</v>
      </c>
      <c r="I12" s="10">
        <v>1</v>
      </c>
      <c r="J12" s="10" t="s">
        <v>64</v>
      </c>
      <c r="K12">
        <v>423</v>
      </c>
      <c r="L12">
        <v>91</v>
      </c>
      <c r="M12" s="9">
        <f t="shared" si="0"/>
        <v>332</v>
      </c>
      <c r="N12">
        <v>175</v>
      </c>
      <c r="O12">
        <v>175</v>
      </c>
      <c r="P12">
        <v>175</v>
      </c>
      <c r="Q12" s="24">
        <f t="shared" si="1"/>
        <v>175</v>
      </c>
      <c r="R12" s="35">
        <v>239</v>
      </c>
      <c r="S12" s="35">
        <v>239</v>
      </c>
      <c r="T12" s="35">
        <v>238</v>
      </c>
      <c r="U12" s="24">
        <f t="shared" si="2"/>
        <v>238.66666666666666</v>
      </c>
      <c r="V12" s="35">
        <v>14.26</v>
      </c>
      <c r="W12" s="35">
        <v>14.34</v>
      </c>
      <c r="X12" s="35">
        <v>14.33</v>
      </c>
      <c r="Y12" s="24">
        <f t="shared" si="3"/>
        <v>14.31</v>
      </c>
      <c r="Z12" s="35">
        <v>31.86</v>
      </c>
      <c r="AA12" s="35">
        <v>31.61</v>
      </c>
      <c r="AB12" s="35">
        <v>31.5</v>
      </c>
      <c r="AC12" s="24">
        <f t="shared" si="4"/>
        <v>31.656666666666666</v>
      </c>
      <c r="AD12" s="35">
        <v>40.93</v>
      </c>
      <c r="AE12" s="35">
        <v>40.770000000000003</v>
      </c>
      <c r="AF12" s="35">
        <v>40.92</v>
      </c>
      <c r="AG12" s="24">
        <f t="shared" si="5"/>
        <v>40.873333333333335</v>
      </c>
      <c r="AH12" s="35">
        <v>62.39</v>
      </c>
      <c r="AI12" s="35">
        <v>62.25</v>
      </c>
      <c r="AJ12" s="35">
        <v>62.35</v>
      </c>
      <c r="AK12" s="24">
        <f t="shared" si="6"/>
        <v>62.330000000000005</v>
      </c>
      <c r="AT12" s="10" t="s">
        <v>1251</v>
      </c>
      <c r="AU12">
        <v>8</v>
      </c>
      <c r="AV12" s="9">
        <v>4</v>
      </c>
      <c r="AW12" s="35">
        <v>32.11</v>
      </c>
      <c r="AX12" s="35">
        <v>32.07</v>
      </c>
      <c r="AY12" s="35">
        <v>32.01</v>
      </c>
      <c r="AZ12" s="24">
        <f t="shared" si="7"/>
        <v>32.063333333333333</v>
      </c>
      <c r="BA12" s="35">
        <v>41.69</v>
      </c>
      <c r="BB12" s="35">
        <v>41.7</v>
      </c>
      <c r="BC12" s="35">
        <v>41.52</v>
      </c>
      <c r="BD12" s="24">
        <f t="shared" si="8"/>
        <v>41.636666666666663</v>
      </c>
      <c r="BE12" s="35">
        <v>64.05</v>
      </c>
      <c r="BF12" s="35">
        <v>64.06</v>
      </c>
      <c r="BG12" s="35">
        <v>64.290000000000006</v>
      </c>
      <c r="BH12" s="24">
        <f t="shared" si="9"/>
        <v>64.13333333333334</v>
      </c>
      <c r="BI12" s="35">
        <v>48.94</v>
      </c>
      <c r="BJ12" s="35">
        <v>48.93</v>
      </c>
      <c r="BK12" s="35">
        <v>48.9</v>
      </c>
      <c r="BL12" s="24">
        <f t="shared" si="10"/>
        <v>48.923333333333339</v>
      </c>
      <c r="BM12" s="35">
        <v>48.72</v>
      </c>
      <c r="BN12" s="35">
        <v>48.6</v>
      </c>
      <c r="BO12" s="35">
        <v>48.76</v>
      </c>
      <c r="BP12" s="24">
        <f t="shared" si="11"/>
        <v>48.693333333333328</v>
      </c>
      <c r="BQ12" s="35">
        <v>34.68</v>
      </c>
      <c r="BR12" s="35">
        <v>34.74</v>
      </c>
      <c r="BS12" s="35">
        <v>34.96</v>
      </c>
      <c r="BT12" s="24">
        <f t="shared" si="12"/>
        <v>34.793333333333329</v>
      </c>
      <c r="BU12" s="35">
        <v>63.54</v>
      </c>
      <c r="BV12" s="35">
        <v>63.56</v>
      </c>
      <c r="BW12" s="35">
        <v>63.63</v>
      </c>
      <c r="BX12" s="24">
        <f t="shared" si="13"/>
        <v>63.576666666666661</v>
      </c>
      <c r="BY12" t="s">
        <v>1252</v>
      </c>
      <c r="BZ12" t="s">
        <v>1264</v>
      </c>
      <c r="CA12" t="s">
        <v>1252</v>
      </c>
      <c r="CB12" t="s">
        <v>1264</v>
      </c>
      <c r="CE12" s="12" t="s">
        <v>1253</v>
      </c>
      <c r="CF12" s="35" t="s">
        <v>1253</v>
      </c>
      <c r="CG12" s="9" t="s">
        <v>1253</v>
      </c>
      <c r="CH12" s="35" t="s">
        <v>1274</v>
      </c>
    </row>
    <row r="13" spans="1:86" x14ac:dyDescent="0.25">
      <c r="A13" t="s">
        <v>1277</v>
      </c>
      <c r="B13" t="s">
        <v>49</v>
      </c>
      <c r="C13" s="15" t="s">
        <v>379</v>
      </c>
      <c r="D13">
        <v>1508</v>
      </c>
      <c r="E13" s="15" t="s">
        <v>1278</v>
      </c>
      <c r="F13" s="100">
        <v>43227</v>
      </c>
      <c r="G13" t="s">
        <v>1279</v>
      </c>
      <c r="H13" s="9" t="s">
        <v>1108</v>
      </c>
      <c r="I13" s="10">
        <v>1</v>
      </c>
      <c r="J13" s="10" t="s">
        <v>64</v>
      </c>
      <c r="K13">
        <v>276</v>
      </c>
      <c r="L13">
        <v>92</v>
      </c>
      <c r="M13" s="9">
        <f t="shared" si="0"/>
        <v>184</v>
      </c>
      <c r="N13">
        <v>138</v>
      </c>
      <c r="O13">
        <v>138</v>
      </c>
      <c r="P13">
        <v>138</v>
      </c>
      <c r="Q13" s="24">
        <f t="shared" si="1"/>
        <v>138</v>
      </c>
      <c r="R13" s="35">
        <v>177</v>
      </c>
      <c r="S13" s="35">
        <v>176</v>
      </c>
      <c r="T13" s="35">
        <v>176</v>
      </c>
      <c r="U13" s="24">
        <f t="shared" si="2"/>
        <v>176.33333333333334</v>
      </c>
      <c r="V13" s="35">
        <v>8.0299999999999994</v>
      </c>
      <c r="W13" s="35">
        <v>8.35</v>
      </c>
      <c r="X13" s="35">
        <v>8.16</v>
      </c>
      <c r="Y13" s="24">
        <f t="shared" si="3"/>
        <v>8.18</v>
      </c>
      <c r="Z13" s="35">
        <v>29.29</v>
      </c>
      <c r="AA13" s="35">
        <v>29.18</v>
      </c>
      <c r="AB13" s="35">
        <v>29.4</v>
      </c>
      <c r="AC13" s="24">
        <f t="shared" si="4"/>
        <v>29.290000000000003</v>
      </c>
      <c r="AD13" s="35">
        <v>35.799999999999997</v>
      </c>
      <c r="AE13" s="35">
        <v>35.659999999999997</v>
      </c>
      <c r="AF13" s="35">
        <v>35.64</v>
      </c>
      <c r="AG13" s="24">
        <f t="shared" si="5"/>
        <v>35.699999999999996</v>
      </c>
      <c r="AH13" s="35">
        <v>52.85</v>
      </c>
      <c r="AI13" s="35">
        <v>52.77</v>
      </c>
      <c r="AJ13" s="35">
        <v>52.91</v>
      </c>
      <c r="AK13" s="24">
        <f t="shared" si="6"/>
        <v>52.843333333333334</v>
      </c>
      <c r="AT13" s="10" t="s">
        <v>1258</v>
      </c>
      <c r="AU13">
        <v>8</v>
      </c>
      <c r="AV13" s="9">
        <v>0</v>
      </c>
      <c r="AW13" s="35">
        <v>28.31</v>
      </c>
      <c r="AX13" s="35">
        <v>28.11</v>
      </c>
      <c r="AY13" s="35">
        <v>28.18</v>
      </c>
      <c r="AZ13" s="24">
        <f t="shared" si="7"/>
        <v>28.2</v>
      </c>
      <c r="BA13" s="35">
        <v>34.49</v>
      </c>
      <c r="BB13" s="35">
        <v>34.450000000000003</v>
      </c>
      <c r="BC13" s="35">
        <v>34.619999999999997</v>
      </c>
      <c r="BD13" s="24">
        <f t="shared" si="8"/>
        <v>34.520000000000003</v>
      </c>
      <c r="BE13" s="35">
        <v>51.82</v>
      </c>
      <c r="BF13" s="35">
        <v>51.88</v>
      </c>
      <c r="BG13" s="35">
        <v>51.58</v>
      </c>
      <c r="BH13" s="24">
        <f t="shared" si="9"/>
        <v>51.76</v>
      </c>
      <c r="BI13" s="35">
        <v>41.26</v>
      </c>
      <c r="BJ13" s="35">
        <v>41.19</v>
      </c>
      <c r="BK13" s="35">
        <v>41.19</v>
      </c>
      <c r="BL13" s="24">
        <f t="shared" si="10"/>
        <v>41.213333333333331</v>
      </c>
      <c r="BM13" s="35">
        <v>41.08</v>
      </c>
      <c r="BN13" s="35">
        <v>41.21</v>
      </c>
      <c r="BO13" s="35">
        <v>41.13</v>
      </c>
      <c r="BP13" s="24">
        <f t="shared" si="11"/>
        <v>41.139999999999993</v>
      </c>
      <c r="BQ13" s="35">
        <v>31.22</v>
      </c>
      <c r="BR13" s="35">
        <v>31.28</v>
      </c>
      <c r="BS13" s="35">
        <v>31.87</v>
      </c>
      <c r="BT13" s="24">
        <f t="shared" si="12"/>
        <v>31.456666666666667</v>
      </c>
      <c r="BU13" s="35">
        <v>60.25</v>
      </c>
      <c r="BV13" s="35">
        <v>60.05</v>
      </c>
      <c r="BW13" s="35">
        <v>60.06</v>
      </c>
      <c r="BX13" s="24">
        <f t="shared" si="13"/>
        <v>60.120000000000005</v>
      </c>
      <c r="BY13" t="s">
        <v>1252</v>
      </c>
      <c r="BZ13" t="s">
        <v>1264</v>
      </c>
      <c r="CA13" t="s">
        <v>1252</v>
      </c>
      <c r="CB13" t="s">
        <v>1264</v>
      </c>
      <c r="CE13" s="12" t="s">
        <v>1253</v>
      </c>
      <c r="CF13" s="35" t="s">
        <v>1253</v>
      </c>
      <c r="CG13" s="9" t="s">
        <v>1253</v>
      </c>
      <c r="CH13" s="35" t="s">
        <v>1274</v>
      </c>
    </row>
    <row r="14" spans="1:86" x14ac:dyDescent="0.25">
      <c r="A14" t="s">
        <v>1280</v>
      </c>
      <c r="B14" t="s">
        <v>207</v>
      </c>
      <c r="C14" s="15" t="s">
        <v>379</v>
      </c>
      <c r="D14">
        <v>1091</v>
      </c>
      <c r="E14" s="250" t="s">
        <v>1281</v>
      </c>
      <c r="F14" s="100">
        <v>43227</v>
      </c>
      <c r="G14" t="s">
        <v>231</v>
      </c>
      <c r="H14" s="9" t="s">
        <v>1108</v>
      </c>
      <c r="I14" s="10">
        <v>2</v>
      </c>
      <c r="J14" s="10" t="s">
        <v>64</v>
      </c>
      <c r="K14">
        <v>425</v>
      </c>
      <c r="L14">
        <v>93</v>
      </c>
      <c r="M14" s="9">
        <f t="shared" si="0"/>
        <v>332</v>
      </c>
      <c r="N14">
        <v>174</v>
      </c>
      <c r="O14">
        <v>174</v>
      </c>
      <c r="P14">
        <v>174</v>
      </c>
      <c r="Q14" s="24">
        <f t="shared" si="1"/>
        <v>174</v>
      </c>
      <c r="R14" s="35">
        <v>192</v>
      </c>
      <c r="S14" s="35">
        <v>193</v>
      </c>
      <c r="T14" s="35">
        <v>192</v>
      </c>
      <c r="U14" s="24">
        <f t="shared" si="2"/>
        <v>192.33333333333334</v>
      </c>
      <c r="V14" s="35">
        <v>13.55</v>
      </c>
      <c r="W14" s="35">
        <v>13.56</v>
      </c>
      <c r="X14" s="35">
        <v>13.37</v>
      </c>
      <c r="Y14" s="24">
        <f t="shared" si="3"/>
        <v>13.493333333333332</v>
      </c>
      <c r="Z14" s="109">
        <v>13.98</v>
      </c>
      <c r="AA14" s="109">
        <v>13.78</v>
      </c>
      <c r="AB14" s="109">
        <v>13.73</v>
      </c>
      <c r="AC14" s="106">
        <f t="shared" si="4"/>
        <v>13.829999999999998</v>
      </c>
      <c r="AD14" s="35">
        <v>40.33</v>
      </c>
      <c r="AE14" s="35">
        <v>40.4</v>
      </c>
      <c r="AF14" s="35">
        <v>40.44</v>
      </c>
      <c r="AG14" s="24">
        <f t="shared" si="5"/>
        <v>40.389999999999993</v>
      </c>
      <c r="AH14" s="35">
        <v>61.95</v>
      </c>
      <c r="AI14" s="35">
        <v>61.94</v>
      </c>
      <c r="AJ14" s="35">
        <v>60.95</v>
      </c>
      <c r="AK14" s="24">
        <f t="shared" si="6"/>
        <v>61.613333333333337</v>
      </c>
      <c r="AT14" s="10" t="s">
        <v>1251</v>
      </c>
      <c r="AU14">
        <v>8</v>
      </c>
      <c r="AV14" s="9">
        <v>5</v>
      </c>
      <c r="AW14" s="35">
        <v>30.45</v>
      </c>
      <c r="AX14" s="35">
        <v>30.28</v>
      </c>
      <c r="AY14" s="35">
        <v>30.37</v>
      </c>
      <c r="AZ14" s="24">
        <f t="shared" si="7"/>
        <v>30.366666666666671</v>
      </c>
      <c r="BA14" s="35">
        <v>39.68</v>
      </c>
      <c r="BB14" s="35">
        <v>39.96</v>
      </c>
      <c r="BC14" s="35">
        <v>39.57</v>
      </c>
      <c r="BD14" s="24">
        <f t="shared" si="8"/>
        <v>39.736666666666672</v>
      </c>
      <c r="BE14" s="35">
        <v>63.49</v>
      </c>
      <c r="BF14" s="35">
        <v>63.27</v>
      </c>
      <c r="BG14" s="35">
        <v>63.59</v>
      </c>
      <c r="BH14" s="24">
        <f t="shared" si="9"/>
        <v>63.45000000000001</v>
      </c>
      <c r="BI14" s="35">
        <v>47.58</v>
      </c>
      <c r="BJ14" s="35">
        <v>47.61</v>
      </c>
      <c r="BK14" s="35">
        <v>47.66</v>
      </c>
      <c r="BL14" s="24">
        <f t="shared" si="10"/>
        <v>47.616666666666667</v>
      </c>
      <c r="BM14" s="35">
        <v>47.56</v>
      </c>
      <c r="BN14" s="35">
        <v>47.59</v>
      </c>
      <c r="BO14" s="35">
        <v>47.74</v>
      </c>
      <c r="BP14" s="24">
        <f t="shared" si="11"/>
        <v>47.63</v>
      </c>
      <c r="BQ14" s="35">
        <v>33.479999999999997</v>
      </c>
      <c r="BR14" s="35">
        <v>33.49</v>
      </c>
      <c r="BS14" s="35">
        <v>33.78</v>
      </c>
      <c r="BT14" s="24">
        <f t="shared" si="12"/>
        <v>33.583333333333336</v>
      </c>
      <c r="BU14" s="35">
        <v>64.75</v>
      </c>
      <c r="BV14" s="35">
        <v>64.290000000000006</v>
      </c>
      <c r="BW14" s="35">
        <v>64.45</v>
      </c>
      <c r="BX14" s="24">
        <f t="shared" si="13"/>
        <v>64.49666666666667</v>
      </c>
      <c r="BY14" t="s">
        <v>1252</v>
      </c>
      <c r="BZ14" t="s">
        <v>1264</v>
      </c>
      <c r="CA14" t="s">
        <v>1252</v>
      </c>
      <c r="CB14" t="s">
        <v>1264</v>
      </c>
      <c r="CE14" s="12" t="s">
        <v>1253</v>
      </c>
      <c r="CF14" s="35" t="s">
        <v>1253</v>
      </c>
      <c r="CG14" s="9" t="s">
        <v>1253</v>
      </c>
      <c r="CH14" s="35" t="s">
        <v>1274</v>
      </c>
    </row>
    <row r="15" spans="1:86" x14ac:dyDescent="0.25">
      <c r="A15" t="s">
        <v>1282</v>
      </c>
      <c r="B15" t="s">
        <v>207</v>
      </c>
      <c r="C15" s="15" t="s">
        <v>379</v>
      </c>
      <c r="D15">
        <v>940</v>
      </c>
      <c r="E15" s="249" t="s">
        <v>1283</v>
      </c>
      <c r="F15" s="100">
        <v>43227</v>
      </c>
      <c r="G15" t="s">
        <v>266</v>
      </c>
      <c r="H15" s="9" t="s">
        <v>1108</v>
      </c>
      <c r="I15" s="10">
        <v>2</v>
      </c>
      <c r="J15" s="10" t="s">
        <v>64</v>
      </c>
      <c r="K15">
        <v>412</v>
      </c>
      <c r="L15">
        <v>94</v>
      </c>
      <c r="M15" s="9">
        <f t="shared" si="0"/>
        <v>318</v>
      </c>
      <c r="N15">
        <v>174</v>
      </c>
      <c r="O15">
        <v>174</v>
      </c>
      <c r="P15">
        <v>174</v>
      </c>
      <c r="Q15" s="24">
        <f t="shared" si="1"/>
        <v>174</v>
      </c>
      <c r="R15">
        <v>211</v>
      </c>
      <c r="S15">
        <v>211</v>
      </c>
      <c r="T15">
        <v>211</v>
      </c>
      <c r="U15" s="24">
        <f t="shared" si="2"/>
        <v>211</v>
      </c>
      <c r="V15">
        <v>13.6</v>
      </c>
      <c r="W15">
        <v>13.69</v>
      </c>
      <c r="X15">
        <v>13.39</v>
      </c>
      <c r="Y15" s="24">
        <f t="shared" si="3"/>
        <v>13.56</v>
      </c>
      <c r="Z15">
        <v>30.71</v>
      </c>
      <c r="AA15">
        <v>30.68</v>
      </c>
      <c r="AB15">
        <v>30.68</v>
      </c>
      <c r="AC15" s="24">
        <f t="shared" si="4"/>
        <v>30.689999999999998</v>
      </c>
      <c r="AD15">
        <v>39.42</v>
      </c>
      <c r="AE15">
        <v>39.72</v>
      </c>
      <c r="AF15">
        <v>39.6</v>
      </c>
      <c r="AG15" s="24">
        <f t="shared" si="5"/>
        <v>39.580000000000005</v>
      </c>
      <c r="AH15">
        <v>60.64</v>
      </c>
      <c r="AI15">
        <v>60.86</v>
      </c>
      <c r="AJ15">
        <v>60.71</v>
      </c>
      <c r="AK15" s="24">
        <f t="shared" si="6"/>
        <v>60.736666666666672</v>
      </c>
      <c r="AT15" s="10" t="s">
        <v>1251</v>
      </c>
      <c r="AU15">
        <v>8</v>
      </c>
      <c r="AV15" s="9">
        <v>8</v>
      </c>
      <c r="AW15" s="35">
        <v>31.41</v>
      </c>
      <c r="AX15" s="35">
        <v>31.55</v>
      </c>
      <c r="AY15" s="35">
        <v>31.67</v>
      </c>
      <c r="AZ15" s="24">
        <f t="shared" si="7"/>
        <v>31.543333333333333</v>
      </c>
      <c r="BA15" s="35">
        <v>40.49</v>
      </c>
      <c r="BB15" s="35">
        <v>40.51</v>
      </c>
      <c r="BC15" s="35">
        <v>40.729999999999997</v>
      </c>
      <c r="BD15" s="24">
        <f t="shared" si="8"/>
        <v>40.576666666666661</v>
      </c>
      <c r="BE15" s="35">
        <v>60.93</v>
      </c>
      <c r="BF15" s="35">
        <v>60.92</v>
      </c>
      <c r="BG15" s="35">
        <v>60.89</v>
      </c>
      <c r="BH15" s="24">
        <f t="shared" si="9"/>
        <v>60.913333333333334</v>
      </c>
      <c r="BI15" s="35">
        <v>47.27</v>
      </c>
      <c r="BJ15" s="35">
        <v>47.31</v>
      </c>
      <c r="BK15" s="35">
        <v>47.62</v>
      </c>
      <c r="BL15" s="24">
        <f t="shared" si="10"/>
        <v>47.400000000000006</v>
      </c>
      <c r="BM15" s="35">
        <v>47.28</v>
      </c>
      <c r="BN15" s="35">
        <v>47.48</v>
      </c>
      <c r="BO15" s="35">
        <v>47.63</v>
      </c>
      <c r="BP15" s="24">
        <f t="shared" si="11"/>
        <v>47.463333333333331</v>
      </c>
      <c r="BQ15" s="35">
        <v>33.72</v>
      </c>
      <c r="BR15" s="35">
        <v>33.18</v>
      </c>
      <c r="BS15" s="35">
        <v>33.630000000000003</v>
      </c>
      <c r="BT15" s="24">
        <f t="shared" si="12"/>
        <v>33.51</v>
      </c>
      <c r="BU15" s="35">
        <v>65.25</v>
      </c>
      <c r="BV15" s="35">
        <v>65.63</v>
      </c>
      <c r="BW15" s="35">
        <v>65.790000000000006</v>
      </c>
      <c r="BX15" s="24">
        <f t="shared" si="13"/>
        <v>65.556666666666672</v>
      </c>
      <c r="BY15" t="s">
        <v>1252</v>
      </c>
      <c r="BZ15" t="s">
        <v>1264</v>
      </c>
      <c r="CA15" t="s">
        <v>1252</v>
      </c>
      <c r="CB15" t="s">
        <v>1264</v>
      </c>
      <c r="CE15" s="12" t="s">
        <v>1253</v>
      </c>
      <c r="CF15" s="35" t="s">
        <v>1253</v>
      </c>
      <c r="CG15" s="9" t="s">
        <v>1253</v>
      </c>
      <c r="CH15" s="35" t="s">
        <v>1274</v>
      </c>
    </row>
    <row r="16" spans="1:86" x14ac:dyDescent="0.25">
      <c r="A16" t="s">
        <v>1284</v>
      </c>
      <c r="B16" t="s">
        <v>207</v>
      </c>
      <c r="C16" s="15" t="s">
        <v>379</v>
      </c>
      <c r="D16">
        <v>1127</v>
      </c>
      <c r="E16" s="249">
        <v>7357591</v>
      </c>
      <c r="F16" s="100">
        <v>43227</v>
      </c>
      <c r="G16" t="s">
        <v>638</v>
      </c>
      <c r="H16" s="9" t="s">
        <v>1108</v>
      </c>
      <c r="I16" s="10">
        <v>3</v>
      </c>
      <c r="J16" s="10" t="s">
        <v>64</v>
      </c>
      <c r="K16">
        <v>466</v>
      </c>
      <c r="L16">
        <v>91</v>
      </c>
      <c r="M16" s="9">
        <f t="shared" si="0"/>
        <v>375</v>
      </c>
      <c r="N16">
        <v>172</v>
      </c>
      <c r="O16">
        <v>172</v>
      </c>
      <c r="P16">
        <v>173</v>
      </c>
      <c r="Q16" s="24">
        <f t="shared" si="1"/>
        <v>172.33333333333334</v>
      </c>
      <c r="R16">
        <v>195</v>
      </c>
      <c r="S16">
        <v>194</v>
      </c>
      <c r="T16">
        <v>194</v>
      </c>
      <c r="U16" s="24">
        <f t="shared" si="2"/>
        <v>194.33333333333334</v>
      </c>
      <c r="V16">
        <v>15.05</v>
      </c>
      <c r="W16">
        <v>14.95</v>
      </c>
      <c r="X16">
        <v>15.12</v>
      </c>
      <c r="Y16" s="24">
        <f t="shared" si="3"/>
        <v>15.04</v>
      </c>
      <c r="Z16">
        <v>31.27</v>
      </c>
      <c r="AA16">
        <v>31.14</v>
      </c>
      <c r="AB16">
        <v>31.17</v>
      </c>
      <c r="AC16" s="24">
        <f t="shared" si="4"/>
        <v>31.193333333333332</v>
      </c>
      <c r="AD16">
        <v>41.12</v>
      </c>
      <c r="AE16">
        <v>41.04</v>
      </c>
      <c r="AF16">
        <v>41.05</v>
      </c>
      <c r="AG16" s="24">
        <f t="shared" si="5"/>
        <v>41.07</v>
      </c>
      <c r="AH16">
        <v>63.94</v>
      </c>
      <c r="AI16">
        <v>63.38</v>
      </c>
      <c r="AJ16">
        <v>63.94</v>
      </c>
      <c r="AK16" s="24">
        <f t="shared" si="6"/>
        <v>63.75333333333333</v>
      </c>
      <c r="AT16" s="10" t="s">
        <v>1251</v>
      </c>
      <c r="AU16">
        <v>8</v>
      </c>
      <c r="AV16" s="9">
        <v>7</v>
      </c>
      <c r="AW16" s="35">
        <v>31.91</v>
      </c>
      <c r="AX16" s="35">
        <v>31.38</v>
      </c>
      <c r="AY16" s="35">
        <v>31.85</v>
      </c>
      <c r="AZ16" s="24">
        <f t="shared" si="7"/>
        <v>31.713333333333335</v>
      </c>
      <c r="BA16" s="35">
        <v>41.12</v>
      </c>
      <c r="BB16" s="35">
        <v>41.1</v>
      </c>
      <c r="BC16" s="35">
        <v>41.18</v>
      </c>
      <c r="BD16" s="24">
        <f t="shared" si="8"/>
        <v>41.133333333333333</v>
      </c>
      <c r="BE16" s="35">
        <v>63.47</v>
      </c>
      <c r="BF16" s="35">
        <v>63.24</v>
      </c>
      <c r="BG16" s="35">
        <v>63.48</v>
      </c>
      <c r="BH16" s="24">
        <f t="shared" si="9"/>
        <v>63.396666666666668</v>
      </c>
      <c r="BI16" s="35">
        <v>49.69</v>
      </c>
      <c r="BJ16" s="35">
        <v>49.14</v>
      </c>
      <c r="BK16" s="35">
        <v>49.48</v>
      </c>
      <c r="BL16" s="24">
        <f t="shared" si="10"/>
        <v>49.436666666666667</v>
      </c>
      <c r="BM16" s="35">
        <v>49.31</v>
      </c>
      <c r="BN16" s="35">
        <v>49.39</v>
      </c>
      <c r="BO16" s="35">
        <v>49.3</v>
      </c>
      <c r="BP16" s="24">
        <f t="shared" si="11"/>
        <v>49.333333333333336</v>
      </c>
      <c r="BQ16" s="35">
        <v>35.75</v>
      </c>
      <c r="BR16" s="35">
        <v>35.49</v>
      </c>
      <c r="BS16" s="35">
        <v>35.44</v>
      </c>
      <c r="BT16" s="24">
        <f t="shared" si="12"/>
        <v>35.56</v>
      </c>
      <c r="BU16" s="35">
        <v>68.150000000000006</v>
      </c>
      <c r="BV16" s="35">
        <v>68.02</v>
      </c>
      <c r="BW16" s="35">
        <v>68.349999999999994</v>
      </c>
      <c r="BX16" s="24">
        <f t="shared" si="13"/>
        <v>68.173333333333332</v>
      </c>
      <c r="BY16" t="s">
        <v>1252</v>
      </c>
      <c r="BZ16" t="s">
        <v>1264</v>
      </c>
      <c r="CA16" t="s">
        <v>1252</v>
      </c>
      <c r="CB16" t="s">
        <v>1264</v>
      </c>
      <c r="CE16" s="12" t="s">
        <v>1253</v>
      </c>
      <c r="CF16" s="35" t="s">
        <v>1253</v>
      </c>
      <c r="CG16" s="9" t="s">
        <v>1253</v>
      </c>
      <c r="CH16" s="35" t="s">
        <v>1274</v>
      </c>
    </row>
    <row r="17" spans="1:86" x14ac:dyDescent="0.25">
      <c r="A17" t="s">
        <v>1285</v>
      </c>
      <c r="B17" t="s">
        <v>207</v>
      </c>
      <c r="C17" s="15" t="s">
        <v>379</v>
      </c>
      <c r="D17">
        <v>1097</v>
      </c>
      <c r="E17" s="250" t="s">
        <v>1286</v>
      </c>
      <c r="F17" s="100">
        <v>43227</v>
      </c>
      <c r="G17" t="s">
        <v>668</v>
      </c>
      <c r="H17" s="9" t="s">
        <v>1108</v>
      </c>
      <c r="I17" s="10">
        <v>2</v>
      </c>
      <c r="J17" s="10" t="s">
        <v>64</v>
      </c>
      <c r="K17">
        <v>458</v>
      </c>
      <c r="L17">
        <v>95</v>
      </c>
      <c r="M17" s="9">
        <f t="shared" si="0"/>
        <v>363</v>
      </c>
      <c r="N17">
        <v>179</v>
      </c>
      <c r="O17">
        <v>180</v>
      </c>
      <c r="P17">
        <v>180</v>
      </c>
      <c r="Q17" s="24">
        <f t="shared" si="1"/>
        <v>179.66666666666666</v>
      </c>
      <c r="R17">
        <v>243</v>
      </c>
      <c r="S17">
        <v>243</v>
      </c>
      <c r="T17">
        <v>242</v>
      </c>
      <c r="U17" s="24">
        <f t="shared" si="2"/>
        <v>242.66666666666666</v>
      </c>
      <c r="V17">
        <v>13.59</v>
      </c>
      <c r="W17">
        <v>13.54</v>
      </c>
      <c r="X17">
        <v>13.32</v>
      </c>
      <c r="Y17" s="24">
        <f t="shared" si="3"/>
        <v>13.483333333333334</v>
      </c>
      <c r="Z17">
        <v>33.590000000000003</v>
      </c>
      <c r="AA17">
        <v>33.44</v>
      </c>
      <c r="AB17">
        <v>33.28</v>
      </c>
      <c r="AC17" s="24">
        <f t="shared" si="4"/>
        <v>33.436666666666667</v>
      </c>
      <c r="AD17">
        <v>41.8</v>
      </c>
      <c r="AE17">
        <v>41.9</v>
      </c>
      <c r="AF17">
        <v>41.75</v>
      </c>
      <c r="AG17" s="24">
        <f t="shared" si="5"/>
        <v>41.816666666666663</v>
      </c>
      <c r="AH17">
        <v>64.34</v>
      </c>
      <c r="AI17">
        <v>64.38</v>
      </c>
      <c r="AJ17">
        <v>64.5</v>
      </c>
      <c r="AK17" s="24">
        <f t="shared" si="6"/>
        <v>64.406666666666666</v>
      </c>
      <c r="AT17" s="10" t="s">
        <v>1251</v>
      </c>
      <c r="AU17">
        <v>8</v>
      </c>
      <c r="AV17" s="9">
        <v>8</v>
      </c>
      <c r="AW17" s="12">
        <v>33.01</v>
      </c>
      <c r="AX17" s="35">
        <v>33.04</v>
      </c>
      <c r="AY17" s="35">
        <v>33.07</v>
      </c>
      <c r="AZ17" s="24">
        <f t="shared" si="7"/>
        <v>33.04</v>
      </c>
      <c r="BA17" s="35">
        <v>41.67</v>
      </c>
      <c r="BB17" s="35">
        <v>41.45</v>
      </c>
      <c r="BC17" s="35">
        <v>41.52</v>
      </c>
      <c r="BD17" s="24">
        <f t="shared" si="8"/>
        <v>41.546666666666674</v>
      </c>
      <c r="BE17" s="35">
        <v>66.44</v>
      </c>
      <c r="BF17" s="35">
        <v>66.55</v>
      </c>
      <c r="BG17" s="35">
        <v>66.819999999999993</v>
      </c>
      <c r="BH17" s="24">
        <f t="shared" si="9"/>
        <v>66.603333333333339</v>
      </c>
      <c r="BI17" s="35">
        <v>51.39</v>
      </c>
      <c r="BJ17" s="35">
        <v>51.59</v>
      </c>
      <c r="BK17" s="35">
        <v>51.44</v>
      </c>
      <c r="BL17" s="24">
        <f t="shared" si="10"/>
        <v>51.473333333333336</v>
      </c>
      <c r="BM17" s="35">
        <v>50.99</v>
      </c>
      <c r="BN17" s="35">
        <v>51.09</v>
      </c>
      <c r="BO17" s="35">
        <v>51.22</v>
      </c>
      <c r="BP17" s="24">
        <f t="shared" si="11"/>
        <v>51.1</v>
      </c>
      <c r="BQ17" s="35">
        <v>38.340000000000003</v>
      </c>
      <c r="BR17" s="35">
        <v>38.68</v>
      </c>
      <c r="BS17" s="35">
        <v>38.36</v>
      </c>
      <c r="BT17" s="24">
        <f t="shared" si="12"/>
        <v>38.46</v>
      </c>
      <c r="BU17" s="35">
        <v>70.290000000000006</v>
      </c>
      <c r="BV17" s="35">
        <v>70.11</v>
      </c>
      <c r="BW17" s="35">
        <v>69.959999999999994</v>
      </c>
      <c r="BX17" s="24">
        <f t="shared" si="13"/>
        <v>70.12</v>
      </c>
      <c r="BY17" t="s">
        <v>1252</v>
      </c>
      <c r="BZ17" t="s">
        <v>1264</v>
      </c>
      <c r="CA17" t="s">
        <v>1252</v>
      </c>
      <c r="CB17" t="s">
        <v>1264</v>
      </c>
      <c r="CE17" s="12" t="s">
        <v>1253</v>
      </c>
      <c r="CF17" s="35" t="s">
        <v>1253</v>
      </c>
      <c r="CG17" s="9" t="s">
        <v>1253</v>
      </c>
      <c r="CH17" s="35" t="s">
        <v>1274</v>
      </c>
    </row>
    <row r="18" spans="1:86" x14ac:dyDescent="0.25">
      <c r="A18" t="s">
        <v>1287</v>
      </c>
      <c r="B18" t="s">
        <v>207</v>
      </c>
      <c r="C18" s="15" t="s">
        <v>379</v>
      </c>
      <c r="D18">
        <v>1439</v>
      </c>
      <c r="E18" s="251" t="s">
        <v>1288</v>
      </c>
      <c r="F18" s="100">
        <v>43227</v>
      </c>
      <c r="G18" t="s">
        <v>538</v>
      </c>
      <c r="H18" s="9" t="s">
        <v>1108</v>
      </c>
      <c r="I18" s="10">
        <v>1</v>
      </c>
      <c r="J18" s="10" t="s">
        <v>50</v>
      </c>
      <c r="K18">
        <v>536</v>
      </c>
      <c r="L18">
        <v>87</v>
      </c>
      <c r="M18" s="9">
        <f t="shared" si="0"/>
        <v>449</v>
      </c>
      <c r="N18">
        <v>192</v>
      </c>
      <c r="O18">
        <v>192</v>
      </c>
      <c r="P18">
        <v>192</v>
      </c>
      <c r="Q18" s="24">
        <f t="shared" si="1"/>
        <v>192</v>
      </c>
      <c r="R18">
        <v>251</v>
      </c>
      <c r="S18">
        <v>251</v>
      </c>
      <c r="T18">
        <v>250</v>
      </c>
      <c r="U18" s="24">
        <f t="shared" si="2"/>
        <v>250.66666666666666</v>
      </c>
      <c r="V18">
        <v>13.2</v>
      </c>
      <c r="W18">
        <v>13.17</v>
      </c>
      <c r="X18">
        <v>13.17</v>
      </c>
      <c r="Y18" s="24">
        <f t="shared" si="3"/>
        <v>13.18</v>
      </c>
      <c r="Z18">
        <v>35.9</v>
      </c>
      <c r="AA18">
        <v>35.299999999999997</v>
      </c>
      <c r="AB18">
        <v>35.51</v>
      </c>
      <c r="AC18" s="24">
        <f t="shared" si="4"/>
        <v>35.569999999999993</v>
      </c>
      <c r="AD18">
        <v>45.87</v>
      </c>
      <c r="AE18">
        <v>45.9</v>
      </c>
      <c r="AF18">
        <v>45.8</v>
      </c>
      <c r="AG18" s="24">
        <f t="shared" si="5"/>
        <v>45.856666666666662</v>
      </c>
      <c r="AH18">
        <v>69.930000000000007</v>
      </c>
      <c r="AI18">
        <v>69.88</v>
      </c>
      <c r="AJ18">
        <v>69.91</v>
      </c>
      <c r="AK18" s="24">
        <f t="shared" si="6"/>
        <v>69.906666666666666</v>
      </c>
      <c r="AL18">
        <v>17.53</v>
      </c>
      <c r="AM18">
        <v>17.760000000000002</v>
      </c>
      <c r="AN18">
        <v>17.97</v>
      </c>
      <c r="AO18" s="9">
        <f>(AL18+AM18+AN18)/3</f>
        <v>17.753333333333334</v>
      </c>
      <c r="AP18" s="35">
        <v>25.09</v>
      </c>
      <c r="AQ18" s="35">
        <v>25.27</v>
      </c>
      <c r="AR18" s="35">
        <v>25.32</v>
      </c>
      <c r="AS18" s="9">
        <f>(AP18+AR18+AQ18)/3</f>
        <v>25.226666666666663</v>
      </c>
      <c r="AW18" s="12">
        <v>36.43</v>
      </c>
      <c r="AX18" s="12">
        <v>36.68</v>
      </c>
      <c r="AY18" s="12">
        <v>36.17</v>
      </c>
      <c r="AZ18" s="24">
        <f t="shared" si="7"/>
        <v>36.426666666666669</v>
      </c>
      <c r="BA18" s="35">
        <v>45.86</v>
      </c>
      <c r="BB18" s="35">
        <v>45.94</v>
      </c>
      <c r="BC18" s="35">
        <v>45.95</v>
      </c>
      <c r="BD18" s="24">
        <f t="shared" si="8"/>
        <v>45.916666666666664</v>
      </c>
      <c r="BE18" s="35">
        <v>69.7</v>
      </c>
      <c r="BF18" s="35">
        <v>69.83</v>
      </c>
      <c r="BG18" s="35">
        <v>69.849999999999994</v>
      </c>
      <c r="BH18" s="24">
        <f t="shared" si="9"/>
        <v>69.793333333333337</v>
      </c>
      <c r="BI18" s="35">
        <v>55.51</v>
      </c>
      <c r="BJ18" s="35">
        <v>55.43</v>
      </c>
      <c r="BK18" s="35">
        <v>55.71</v>
      </c>
      <c r="BL18" s="24">
        <f t="shared" si="10"/>
        <v>55.550000000000004</v>
      </c>
      <c r="BM18" s="35">
        <v>55.3</v>
      </c>
      <c r="BN18" s="35">
        <v>55.42</v>
      </c>
      <c r="BO18" s="35">
        <v>55.75</v>
      </c>
      <c r="BP18" s="24">
        <f t="shared" si="11"/>
        <v>55.49</v>
      </c>
      <c r="BQ18" s="35">
        <v>37.24</v>
      </c>
      <c r="BR18" s="35">
        <v>37.11</v>
      </c>
      <c r="BS18" s="35">
        <v>37.32</v>
      </c>
      <c r="BT18" s="24">
        <f t="shared" si="12"/>
        <v>37.223333333333329</v>
      </c>
      <c r="BU18" s="35">
        <v>72.31</v>
      </c>
      <c r="BV18" s="35">
        <v>72.38</v>
      </c>
      <c r="BW18" s="35">
        <v>72.44</v>
      </c>
      <c r="BX18" s="24">
        <f t="shared" si="13"/>
        <v>72.376666666666665</v>
      </c>
      <c r="BY18" t="s">
        <v>1252</v>
      </c>
      <c r="BZ18" t="s">
        <v>1264</v>
      </c>
      <c r="CA18" t="s">
        <v>1252</v>
      </c>
      <c r="CB18" t="s">
        <v>1264</v>
      </c>
      <c r="CE18" s="12" t="s">
        <v>1253</v>
      </c>
      <c r="CF18" s="35" t="s">
        <v>1253</v>
      </c>
      <c r="CG18" s="9" t="s">
        <v>1253</v>
      </c>
      <c r="CH18" s="35" t="s">
        <v>1274</v>
      </c>
    </row>
    <row r="19" spans="1:86" x14ac:dyDescent="0.25">
      <c r="A19" t="s">
        <v>1289</v>
      </c>
      <c r="B19" t="s">
        <v>207</v>
      </c>
      <c r="C19" s="15" t="s">
        <v>379</v>
      </c>
      <c r="D19">
        <v>1493</v>
      </c>
      <c r="E19" s="251" t="s">
        <v>1290</v>
      </c>
      <c r="F19" s="100">
        <v>43227</v>
      </c>
      <c r="G19" t="s">
        <v>665</v>
      </c>
      <c r="H19" s="9" t="s">
        <v>1108</v>
      </c>
      <c r="I19" s="10">
        <v>1</v>
      </c>
      <c r="J19" s="10" t="s">
        <v>50</v>
      </c>
      <c r="K19">
        <v>346</v>
      </c>
      <c r="L19">
        <v>91</v>
      </c>
      <c r="M19" s="9">
        <f t="shared" si="0"/>
        <v>255</v>
      </c>
      <c r="N19">
        <v>150</v>
      </c>
      <c r="O19">
        <v>149</v>
      </c>
      <c r="P19">
        <v>149</v>
      </c>
      <c r="Q19" s="24">
        <f t="shared" si="1"/>
        <v>149.33333333333334</v>
      </c>
      <c r="R19">
        <v>202</v>
      </c>
      <c r="S19">
        <v>202</v>
      </c>
      <c r="T19">
        <v>202</v>
      </c>
      <c r="U19" s="24">
        <f t="shared" si="2"/>
        <v>202</v>
      </c>
      <c r="V19">
        <v>9.7899999999999991</v>
      </c>
      <c r="W19">
        <v>9.74</v>
      </c>
      <c r="X19">
        <v>9.94</v>
      </c>
      <c r="Y19" s="24">
        <f t="shared" si="3"/>
        <v>9.8233333333333324</v>
      </c>
      <c r="Z19">
        <v>30.95</v>
      </c>
      <c r="AA19">
        <v>30.78</v>
      </c>
      <c r="AB19">
        <v>30.64</v>
      </c>
      <c r="AC19" s="24">
        <f t="shared" si="4"/>
        <v>30.790000000000003</v>
      </c>
      <c r="AD19">
        <v>40.14</v>
      </c>
      <c r="AE19">
        <v>40.03</v>
      </c>
      <c r="AF19">
        <v>40.270000000000003</v>
      </c>
      <c r="AG19" s="24">
        <f t="shared" si="5"/>
        <v>40.146666666666668</v>
      </c>
      <c r="AH19">
        <v>58.59</v>
      </c>
      <c r="AI19">
        <v>58.49</v>
      </c>
      <c r="AJ19">
        <v>58.79</v>
      </c>
      <c r="AK19" s="24">
        <f t="shared" si="6"/>
        <v>58.623333333333335</v>
      </c>
      <c r="AL19">
        <v>14</v>
      </c>
      <c r="AM19">
        <v>13.4</v>
      </c>
      <c r="AN19">
        <v>13.93</v>
      </c>
      <c r="AO19" s="9">
        <f>(AL19+AM19+AN19)/3</f>
        <v>13.776666666666666</v>
      </c>
      <c r="AP19" s="35">
        <v>21.22</v>
      </c>
      <c r="AQ19" s="35">
        <v>21.18</v>
      </c>
      <c r="AR19" s="35">
        <v>21.45</v>
      </c>
      <c r="AS19" s="9">
        <f>(AP19+AR19+AQ19)/3</f>
        <v>21.283333333333335</v>
      </c>
      <c r="AW19" s="35">
        <v>30.86</v>
      </c>
      <c r="AX19" s="35">
        <v>30.66</v>
      </c>
      <c r="AY19" s="35">
        <v>30.44</v>
      </c>
      <c r="AZ19" s="24">
        <f t="shared" si="7"/>
        <v>30.653333333333332</v>
      </c>
      <c r="BA19" s="35">
        <v>40.270000000000003</v>
      </c>
      <c r="BB19" s="35">
        <v>40.409999999999997</v>
      </c>
      <c r="BC19" s="35">
        <v>40.15</v>
      </c>
      <c r="BD19" s="24">
        <f t="shared" si="8"/>
        <v>40.276666666666671</v>
      </c>
      <c r="BE19" s="35">
        <v>58.04</v>
      </c>
      <c r="BF19" s="35">
        <v>58.22</v>
      </c>
      <c r="BG19" s="35">
        <v>58.11</v>
      </c>
      <c r="BH19" s="24">
        <f t="shared" si="9"/>
        <v>58.123333333333335</v>
      </c>
      <c r="BI19" s="35">
        <v>45.29</v>
      </c>
      <c r="BJ19" s="35">
        <v>45.69</v>
      </c>
      <c r="BK19" s="35">
        <v>45.56</v>
      </c>
      <c r="BL19" s="24">
        <f t="shared" si="10"/>
        <v>45.513333333333328</v>
      </c>
      <c r="BM19" s="35">
        <v>45.68</v>
      </c>
      <c r="BN19" s="35">
        <v>45.81</v>
      </c>
      <c r="BO19" s="35">
        <v>45.59</v>
      </c>
      <c r="BP19" s="24">
        <f t="shared" si="11"/>
        <v>45.693333333333335</v>
      </c>
      <c r="BQ19" s="35">
        <v>34.06</v>
      </c>
      <c r="BR19" s="35">
        <v>34.020000000000003</v>
      </c>
      <c r="BS19" s="35">
        <v>34.35</v>
      </c>
      <c r="BT19" s="24">
        <f t="shared" si="12"/>
        <v>34.143333333333338</v>
      </c>
      <c r="BU19" s="35">
        <v>62.52</v>
      </c>
      <c r="BV19" s="35">
        <v>62.59</v>
      </c>
      <c r="BW19" s="35">
        <v>62.35</v>
      </c>
      <c r="BX19" s="24">
        <f t="shared" si="13"/>
        <v>62.486666666666672</v>
      </c>
      <c r="BY19" t="s">
        <v>1252</v>
      </c>
      <c r="BZ19" t="s">
        <v>1264</v>
      </c>
      <c r="CA19" t="s">
        <v>1252</v>
      </c>
      <c r="CB19" t="s">
        <v>1264</v>
      </c>
      <c r="CE19" s="12" t="s">
        <v>1253</v>
      </c>
      <c r="CF19" s="35" t="s">
        <v>1253</v>
      </c>
      <c r="CG19" s="9" t="s">
        <v>1253</v>
      </c>
      <c r="CH19" s="35" t="s">
        <v>1274</v>
      </c>
    </row>
    <row r="20" spans="1:86" x14ac:dyDescent="0.25">
      <c r="A20" t="s">
        <v>1291</v>
      </c>
      <c r="B20" t="s">
        <v>207</v>
      </c>
      <c r="C20" s="15" t="s">
        <v>379</v>
      </c>
      <c r="D20">
        <v>1469</v>
      </c>
      <c r="E20" s="251" t="s">
        <v>1292</v>
      </c>
      <c r="F20" s="100">
        <v>43227</v>
      </c>
      <c r="G20" t="s">
        <v>1293</v>
      </c>
      <c r="H20" s="9" t="s">
        <v>1108</v>
      </c>
      <c r="I20" s="10">
        <v>1</v>
      </c>
      <c r="J20" s="10" t="s">
        <v>64</v>
      </c>
      <c r="K20">
        <v>328</v>
      </c>
      <c r="L20">
        <v>93</v>
      </c>
      <c r="M20" s="9">
        <f t="shared" si="0"/>
        <v>235</v>
      </c>
      <c r="N20">
        <v>162</v>
      </c>
      <c r="O20">
        <v>162</v>
      </c>
      <c r="P20">
        <v>163</v>
      </c>
      <c r="Q20" s="24">
        <f t="shared" si="1"/>
        <v>162.33333333333334</v>
      </c>
      <c r="R20">
        <v>222</v>
      </c>
      <c r="S20">
        <v>222</v>
      </c>
      <c r="T20">
        <v>222</v>
      </c>
      <c r="U20" s="24">
        <f t="shared" si="2"/>
        <v>222</v>
      </c>
      <c r="V20">
        <v>10.63</v>
      </c>
      <c r="W20">
        <v>10.41</v>
      </c>
      <c r="X20">
        <v>10.94</v>
      </c>
      <c r="Y20" s="24">
        <f t="shared" si="3"/>
        <v>10.659999999999998</v>
      </c>
      <c r="Z20">
        <v>30.42</v>
      </c>
      <c r="AA20">
        <v>30.31</v>
      </c>
      <c r="AB20">
        <v>30.61</v>
      </c>
      <c r="AC20" s="24">
        <f t="shared" si="4"/>
        <v>30.446666666666669</v>
      </c>
      <c r="AD20">
        <v>39.83</v>
      </c>
      <c r="AE20">
        <v>39.93</v>
      </c>
      <c r="AF20">
        <v>39.78</v>
      </c>
      <c r="AG20" s="24">
        <f t="shared" si="5"/>
        <v>39.846666666666664</v>
      </c>
      <c r="AH20">
        <v>58.55</v>
      </c>
      <c r="AI20">
        <v>58.41</v>
      </c>
      <c r="AJ20">
        <v>58.41</v>
      </c>
      <c r="AK20" s="24">
        <f t="shared" si="6"/>
        <v>58.456666666666671</v>
      </c>
      <c r="AT20" s="10" t="s">
        <v>1258</v>
      </c>
      <c r="AU20">
        <v>8</v>
      </c>
      <c r="AV20" s="9">
        <v>0</v>
      </c>
      <c r="AW20" s="12">
        <v>30.77</v>
      </c>
      <c r="AX20" s="35">
        <v>30.87</v>
      </c>
      <c r="AY20" s="35">
        <v>30.82</v>
      </c>
      <c r="AZ20" s="24">
        <f t="shared" si="7"/>
        <v>30.820000000000004</v>
      </c>
      <c r="BA20" s="35">
        <v>40.479999999999997</v>
      </c>
      <c r="BB20" s="35">
        <v>40.86</v>
      </c>
      <c r="BC20" s="35">
        <v>40.86</v>
      </c>
      <c r="BD20" s="24">
        <f t="shared" si="8"/>
        <v>40.733333333333334</v>
      </c>
      <c r="BE20" s="35">
        <v>58.36</v>
      </c>
      <c r="BF20" s="35">
        <v>58.68</v>
      </c>
      <c r="BG20" s="35">
        <v>58.9</v>
      </c>
      <c r="BH20" s="24">
        <f t="shared" si="9"/>
        <v>58.646666666666668</v>
      </c>
      <c r="BI20" s="35">
        <v>44.69</v>
      </c>
      <c r="BJ20" s="35">
        <v>44.69</v>
      </c>
      <c r="BK20" s="35">
        <v>44.84</v>
      </c>
      <c r="BL20" s="24">
        <f t="shared" si="10"/>
        <v>44.74</v>
      </c>
      <c r="BM20" s="35">
        <v>44.67</v>
      </c>
      <c r="BN20" s="35">
        <v>44.68</v>
      </c>
      <c r="BO20" s="35">
        <v>44.75</v>
      </c>
      <c r="BP20" s="24">
        <f t="shared" si="11"/>
        <v>44.699999999999996</v>
      </c>
      <c r="BQ20" s="35">
        <v>31.49</v>
      </c>
      <c r="BR20" s="35">
        <v>31.8</v>
      </c>
      <c r="BS20" s="35">
        <v>31.4</v>
      </c>
      <c r="BT20" s="24">
        <f t="shared" si="12"/>
        <v>31.563333333333333</v>
      </c>
      <c r="BU20" s="35">
        <v>66.64</v>
      </c>
      <c r="BV20" s="35">
        <v>66.2</v>
      </c>
      <c r="BW20" s="35">
        <v>66.069999999999993</v>
      </c>
      <c r="BX20" s="24">
        <f t="shared" si="13"/>
        <v>66.303333333333327</v>
      </c>
      <c r="BY20" t="s">
        <v>1252</v>
      </c>
      <c r="BZ20" t="s">
        <v>1264</v>
      </c>
      <c r="CA20" t="s">
        <v>1252</v>
      </c>
      <c r="CB20" t="s">
        <v>1264</v>
      </c>
      <c r="CE20" s="12" t="s">
        <v>1253</v>
      </c>
      <c r="CF20" s="35" t="s">
        <v>1253</v>
      </c>
      <c r="CG20" s="9" t="s">
        <v>1253</v>
      </c>
      <c r="CH20" s="35" t="s">
        <v>1274</v>
      </c>
    </row>
    <row r="21" spans="1:86" x14ac:dyDescent="0.25">
      <c r="A21" t="s">
        <v>1294</v>
      </c>
      <c r="B21" t="s">
        <v>49</v>
      </c>
      <c r="C21" s="15">
        <v>10</v>
      </c>
      <c r="D21">
        <v>1696</v>
      </c>
      <c r="E21" s="15" t="s">
        <v>379</v>
      </c>
      <c r="F21" s="100">
        <v>43228</v>
      </c>
      <c r="G21" t="s">
        <v>1295</v>
      </c>
      <c r="H21" s="9" t="s">
        <v>1111</v>
      </c>
      <c r="I21" s="10">
        <v>1</v>
      </c>
      <c r="J21" s="10" t="s">
        <v>64</v>
      </c>
      <c r="K21">
        <v>407</v>
      </c>
      <c r="L21">
        <v>96</v>
      </c>
      <c r="M21" s="9">
        <f t="shared" si="0"/>
        <v>311</v>
      </c>
      <c r="N21" s="35">
        <v>158</v>
      </c>
      <c r="O21" s="35">
        <v>157</v>
      </c>
      <c r="P21" s="35">
        <v>158</v>
      </c>
      <c r="Q21" s="24">
        <f t="shared" si="1"/>
        <v>157.66666666666666</v>
      </c>
      <c r="R21" s="35">
        <v>230</v>
      </c>
      <c r="S21" s="35">
        <v>229</v>
      </c>
      <c r="T21" s="35">
        <v>229</v>
      </c>
      <c r="U21" s="24">
        <f t="shared" si="2"/>
        <v>229.33333333333334</v>
      </c>
      <c r="V21" s="35">
        <v>12.72</v>
      </c>
      <c r="W21" s="35">
        <v>12.2</v>
      </c>
      <c r="X21" s="35">
        <v>12.53</v>
      </c>
      <c r="Y21" s="24">
        <f t="shared" si="3"/>
        <v>12.483333333333334</v>
      </c>
      <c r="Z21" s="35">
        <v>31.07</v>
      </c>
      <c r="AA21" s="35">
        <v>31.11</v>
      </c>
      <c r="AB21" s="35">
        <v>31.22</v>
      </c>
      <c r="AC21" s="24">
        <f t="shared" si="4"/>
        <v>31.133333333333336</v>
      </c>
      <c r="AD21" s="35">
        <v>40.26</v>
      </c>
      <c r="AE21" s="35">
        <v>40.299999999999997</v>
      </c>
      <c r="AF21" s="35">
        <v>40.32</v>
      </c>
      <c r="AG21" s="24">
        <f t="shared" si="5"/>
        <v>40.293333333333329</v>
      </c>
      <c r="AH21" s="35">
        <v>62.47</v>
      </c>
      <c r="AI21" s="35">
        <v>62.32</v>
      </c>
      <c r="AJ21" s="35">
        <v>62.52</v>
      </c>
      <c r="AK21" s="24">
        <f t="shared" si="6"/>
        <v>62.436666666666667</v>
      </c>
      <c r="AT21" s="10" t="s">
        <v>1258</v>
      </c>
      <c r="AU21">
        <v>8</v>
      </c>
      <c r="AV21" s="9">
        <v>0</v>
      </c>
      <c r="AW21" s="35">
        <v>31.4</v>
      </c>
      <c r="AX21" s="35">
        <v>31.13</v>
      </c>
      <c r="AY21" s="35">
        <v>31.12</v>
      </c>
      <c r="AZ21" s="24">
        <f t="shared" si="7"/>
        <v>31.216666666666669</v>
      </c>
      <c r="BA21" s="35">
        <v>40.69</v>
      </c>
      <c r="BB21" s="35">
        <v>40.85</v>
      </c>
      <c r="BC21" s="35">
        <v>40.67</v>
      </c>
      <c r="BD21" s="24">
        <f t="shared" si="8"/>
        <v>40.736666666666665</v>
      </c>
      <c r="BE21" s="35">
        <v>63.42</v>
      </c>
      <c r="BF21" s="35">
        <v>63.28</v>
      </c>
      <c r="BG21" s="35">
        <v>63.27</v>
      </c>
      <c r="BH21" s="24">
        <f t="shared" si="9"/>
        <v>63.323333333333331</v>
      </c>
      <c r="BI21" s="35">
        <v>48.33</v>
      </c>
      <c r="BJ21" s="35">
        <v>48.26</v>
      </c>
      <c r="BK21" s="35">
        <v>48.29</v>
      </c>
      <c r="BL21" s="24">
        <f t="shared" si="10"/>
        <v>48.293333333333329</v>
      </c>
      <c r="BM21" s="35">
        <v>48.25</v>
      </c>
      <c r="BN21" s="35">
        <v>48.35</v>
      </c>
      <c r="BO21" s="35">
        <v>48.35</v>
      </c>
      <c r="BP21" s="24">
        <f t="shared" si="11"/>
        <v>48.316666666666663</v>
      </c>
      <c r="BQ21" s="35">
        <v>33.81</v>
      </c>
      <c r="BR21" s="35">
        <v>33.799999999999997</v>
      </c>
      <c r="BS21" s="35">
        <v>33.840000000000003</v>
      </c>
      <c r="BT21" s="24">
        <f t="shared" si="12"/>
        <v>33.81666666666667</v>
      </c>
      <c r="BU21" s="35">
        <v>65.05</v>
      </c>
      <c r="BV21" s="35">
        <v>65.78</v>
      </c>
      <c r="BW21" s="35">
        <v>65.22</v>
      </c>
      <c r="BX21" s="24">
        <f t="shared" si="13"/>
        <v>65.349999999999994</v>
      </c>
      <c r="BY21" t="s">
        <v>1252</v>
      </c>
      <c r="BZ21" t="s">
        <v>1252</v>
      </c>
      <c r="CA21" t="s">
        <v>1252</v>
      </c>
      <c r="CB21" s="100">
        <v>43228</v>
      </c>
      <c r="CC21" s="252" t="s">
        <v>1296</v>
      </c>
      <c r="CE21" s="12">
        <v>0.5</v>
      </c>
      <c r="CF21" s="35" t="s">
        <v>1253</v>
      </c>
      <c r="CG21" s="9" t="s">
        <v>1253</v>
      </c>
    </row>
    <row r="22" spans="1:86" x14ac:dyDescent="0.25">
      <c r="A22" t="s">
        <v>1297</v>
      </c>
      <c r="B22" t="s">
        <v>49</v>
      </c>
      <c r="C22" s="15">
        <v>11</v>
      </c>
      <c r="D22">
        <v>1678</v>
      </c>
      <c r="E22" s="15" t="s">
        <v>379</v>
      </c>
      <c r="F22" s="100">
        <v>43228</v>
      </c>
      <c r="G22" t="s">
        <v>1298</v>
      </c>
      <c r="H22" s="9" t="s">
        <v>1111</v>
      </c>
      <c r="I22" s="10">
        <v>1</v>
      </c>
      <c r="J22" s="10" t="s">
        <v>50</v>
      </c>
      <c r="K22">
        <v>473</v>
      </c>
      <c r="L22">
        <v>93</v>
      </c>
      <c r="M22" s="9">
        <f t="shared" si="0"/>
        <v>380</v>
      </c>
      <c r="N22" s="35">
        <v>185</v>
      </c>
      <c r="O22" s="35">
        <v>186</v>
      </c>
      <c r="P22" s="35">
        <v>186</v>
      </c>
      <c r="Q22" s="24">
        <f t="shared" si="1"/>
        <v>185.66666666666666</v>
      </c>
      <c r="R22" s="35">
        <v>230</v>
      </c>
      <c r="S22" s="35">
        <v>230</v>
      </c>
      <c r="T22" s="35">
        <v>230</v>
      </c>
      <c r="U22" s="24">
        <f t="shared" si="2"/>
        <v>230</v>
      </c>
      <c r="V22" s="35">
        <v>11.73</v>
      </c>
      <c r="W22" s="35">
        <v>11.65</v>
      </c>
      <c r="X22" s="35">
        <v>11.47</v>
      </c>
      <c r="Y22" s="24">
        <f t="shared" si="3"/>
        <v>11.616666666666667</v>
      </c>
      <c r="Z22" s="35">
        <v>32.950000000000003</v>
      </c>
      <c r="AA22" s="35">
        <v>32.729999999999997</v>
      </c>
      <c r="AB22" s="35">
        <v>32.44</v>
      </c>
      <c r="AC22" s="24">
        <f t="shared" si="4"/>
        <v>32.706666666666671</v>
      </c>
      <c r="AD22" s="35">
        <v>42.16</v>
      </c>
      <c r="AE22" s="35">
        <v>42.15</v>
      </c>
      <c r="AF22" s="35">
        <v>42.2</v>
      </c>
      <c r="AG22" s="24">
        <f t="shared" si="5"/>
        <v>42.17</v>
      </c>
      <c r="AH22" s="35">
        <v>64.78</v>
      </c>
      <c r="AI22" s="35">
        <v>64.81</v>
      </c>
      <c r="AJ22" s="35">
        <v>64.709999999999994</v>
      </c>
      <c r="AK22" s="24">
        <f t="shared" si="6"/>
        <v>64.766666666666666</v>
      </c>
      <c r="AL22" s="35">
        <v>17.41</v>
      </c>
      <c r="AM22" s="35">
        <v>17.48</v>
      </c>
      <c r="AN22" s="35">
        <v>17.38</v>
      </c>
      <c r="AO22" s="9">
        <f>(AL22+AM22+AN22)/3</f>
        <v>17.423333333333332</v>
      </c>
      <c r="AP22" s="35">
        <v>24.11</v>
      </c>
      <c r="AQ22" s="35">
        <v>24.6</v>
      </c>
      <c r="AR22" s="35">
        <v>24.68</v>
      </c>
      <c r="AS22" s="9">
        <f>(AP22+AR22+AQ22)/3</f>
        <v>24.463333333333335</v>
      </c>
      <c r="AW22" s="35">
        <v>33.1</v>
      </c>
      <c r="AX22" s="35">
        <v>32.950000000000003</v>
      </c>
      <c r="AY22" s="35">
        <v>33</v>
      </c>
      <c r="AZ22" s="24">
        <f t="shared" si="7"/>
        <v>33.016666666666673</v>
      </c>
      <c r="BA22" s="35">
        <v>42.42</v>
      </c>
      <c r="BB22" s="35">
        <v>42.38</v>
      </c>
      <c r="BC22" s="35">
        <v>42.48</v>
      </c>
      <c r="BD22" s="24">
        <f t="shared" si="8"/>
        <v>42.426666666666669</v>
      </c>
      <c r="BE22" s="35">
        <v>65.77</v>
      </c>
      <c r="BF22" s="35">
        <v>65.819999999999993</v>
      </c>
      <c r="BG22" s="35">
        <v>65.819999999999993</v>
      </c>
      <c r="BH22" s="24">
        <f t="shared" si="9"/>
        <v>65.803333333333327</v>
      </c>
      <c r="BI22" s="35">
        <v>50.76</v>
      </c>
      <c r="BJ22" s="35">
        <v>50.73</v>
      </c>
      <c r="BK22" s="35">
        <v>50.73</v>
      </c>
      <c r="BL22" s="24">
        <f t="shared" si="10"/>
        <v>50.74</v>
      </c>
      <c r="BM22" s="35">
        <v>51.52</v>
      </c>
      <c r="BN22" s="35">
        <v>51.82</v>
      </c>
      <c r="BO22" s="35">
        <v>51.88</v>
      </c>
      <c r="BP22" s="24">
        <f t="shared" si="11"/>
        <v>51.74</v>
      </c>
      <c r="BQ22" s="35">
        <v>37.659999999999997</v>
      </c>
      <c r="BR22" s="35">
        <v>37.72</v>
      </c>
      <c r="BS22" s="35">
        <v>37.72</v>
      </c>
      <c r="BT22" s="24">
        <f t="shared" si="12"/>
        <v>37.699999999999996</v>
      </c>
      <c r="BU22" s="35">
        <v>66.239999999999995</v>
      </c>
      <c r="BV22" s="35">
        <v>66.39</v>
      </c>
      <c r="BW22" s="35">
        <v>66.5</v>
      </c>
      <c r="BX22" s="24">
        <f t="shared" si="13"/>
        <v>66.376666666666665</v>
      </c>
      <c r="BY22" t="s">
        <v>1252</v>
      </c>
      <c r="BZ22" t="s">
        <v>1252</v>
      </c>
      <c r="CA22" t="s">
        <v>1252</v>
      </c>
      <c r="CB22" s="100">
        <v>43228</v>
      </c>
      <c r="CE22" s="12">
        <v>0.25</v>
      </c>
      <c r="CF22" s="35" t="s">
        <v>1253</v>
      </c>
      <c r="CG22" s="9" t="s">
        <v>1253</v>
      </c>
    </row>
    <row r="23" spans="1:86" x14ac:dyDescent="0.25">
      <c r="A23" t="s">
        <v>1299</v>
      </c>
      <c r="B23" t="s">
        <v>49</v>
      </c>
      <c r="C23" s="15">
        <v>12</v>
      </c>
      <c r="D23">
        <v>1679</v>
      </c>
      <c r="E23" s="15" t="s">
        <v>379</v>
      </c>
      <c r="F23" s="100">
        <v>43228</v>
      </c>
      <c r="G23" t="s">
        <v>1300</v>
      </c>
      <c r="H23" s="9" t="s">
        <v>1111</v>
      </c>
      <c r="I23" s="10">
        <v>1</v>
      </c>
      <c r="J23" s="10" t="s">
        <v>64</v>
      </c>
      <c r="K23">
        <v>395</v>
      </c>
      <c r="L23">
        <v>94</v>
      </c>
      <c r="M23" s="9">
        <f t="shared" si="0"/>
        <v>301</v>
      </c>
      <c r="N23" s="35">
        <v>170</v>
      </c>
      <c r="O23" s="35">
        <v>169</v>
      </c>
      <c r="P23" s="35">
        <v>170</v>
      </c>
      <c r="Q23" s="24">
        <f t="shared" si="1"/>
        <v>169.66666666666666</v>
      </c>
      <c r="R23" s="35">
        <v>236</v>
      </c>
      <c r="S23" s="35">
        <v>235</v>
      </c>
      <c r="T23" s="35">
        <v>235</v>
      </c>
      <c r="U23" s="24">
        <f t="shared" si="2"/>
        <v>235.33333333333334</v>
      </c>
      <c r="V23" s="35">
        <v>12.42</v>
      </c>
      <c r="W23" s="35">
        <v>12.26</v>
      </c>
      <c r="X23" s="35">
        <v>12.45</v>
      </c>
      <c r="Y23" s="24">
        <f t="shared" si="3"/>
        <v>12.376666666666665</v>
      </c>
      <c r="Z23" s="35">
        <v>32.14</v>
      </c>
      <c r="AA23" s="35">
        <v>32.25</v>
      </c>
      <c r="AB23" s="35">
        <v>32.369999999999997</v>
      </c>
      <c r="AC23" s="24">
        <f t="shared" si="4"/>
        <v>32.25333333333333</v>
      </c>
      <c r="AD23" s="35">
        <v>41.68</v>
      </c>
      <c r="AE23" s="35">
        <v>41.62</v>
      </c>
      <c r="AF23" s="35">
        <v>41.77</v>
      </c>
      <c r="AG23" s="24">
        <f t="shared" si="5"/>
        <v>41.69</v>
      </c>
      <c r="AH23" s="35">
        <v>62.28</v>
      </c>
      <c r="AI23" s="35">
        <v>62.24</v>
      </c>
      <c r="AJ23" s="35">
        <v>62.24</v>
      </c>
      <c r="AK23" s="24">
        <f t="shared" si="6"/>
        <v>62.253333333333337</v>
      </c>
      <c r="AT23" s="10" t="s">
        <v>1258</v>
      </c>
      <c r="AU23">
        <v>8</v>
      </c>
      <c r="AV23" s="9">
        <v>0</v>
      </c>
      <c r="AW23" s="35">
        <v>32.42</v>
      </c>
      <c r="AX23" s="35">
        <v>32.590000000000003</v>
      </c>
      <c r="AY23" s="35">
        <v>32.57</v>
      </c>
      <c r="AZ23" s="24">
        <f t="shared" si="7"/>
        <v>32.526666666666671</v>
      </c>
      <c r="BA23" s="35">
        <v>40.28</v>
      </c>
      <c r="BB23" s="35">
        <v>40.44</v>
      </c>
      <c r="BC23" s="35">
        <v>40.47</v>
      </c>
      <c r="BD23" s="24">
        <f t="shared" si="8"/>
        <v>40.396666666666668</v>
      </c>
      <c r="BE23" s="35">
        <v>63.08</v>
      </c>
      <c r="BF23" s="35">
        <v>63.19</v>
      </c>
      <c r="BG23" s="35">
        <v>63.15</v>
      </c>
      <c r="BH23" s="24">
        <f t="shared" si="9"/>
        <v>63.139999999999993</v>
      </c>
      <c r="BI23" s="35">
        <v>48.63</v>
      </c>
      <c r="BJ23" s="35">
        <v>48.65</v>
      </c>
      <c r="BK23" s="35">
        <v>48.47</v>
      </c>
      <c r="BL23" s="24">
        <f t="shared" si="10"/>
        <v>48.583333333333336</v>
      </c>
      <c r="BM23" s="35">
        <v>47.42</v>
      </c>
      <c r="BN23" s="35">
        <v>47.94</v>
      </c>
      <c r="BO23" s="35">
        <v>47.91</v>
      </c>
      <c r="BP23" s="24">
        <f t="shared" si="11"/>
        <v>47.756666666666661</v>
      </c>
      <c r="BQ23" s="35">
        <v>34.46</v>
      </c>
      <c r="BR23" s="35">
        <v>34.92</v>
      </c>
      <c r="BS23" s="35">
        <v>34.54</v>
      </c>
      <c r="BT23" s="24">
        <f t="shared" si="12"/>
        <v>34.639999999999993</v>
      </c>
      <c r="BU23" s="35">
        <v>68.400000000000006</v>
      </c>
      <c r="BV23" s="35">
        <v>68.19</v>
      </c>
      <c r="BW23" s="35">
        <v>68.3</v>
      </c>
      <c r="BX23" s="24">
        <f t="shared" si="13"/>
        <v>68.296666666666667</v>
      </c>
      <c r="BY23" t="s">
        <v>1252</v>
      </c>
      <c r="BZ23" t="s">
        <v>1252</v>
      </c>
      <c r="CA23" t="s">
        <v>1252</v>
      </c>
      <c r="CB23" s="100">
        <v>43228</v>
      </c>
      <c r="CE23" s="12">
        <v>0.1</v>
      </c>
      <c r="CF23" s="35" t="s">
        <v>1253</v>
      </c>
      <c r="CG23" s="9" t="s">
        <v>1253</v>
      </c>
    </row>
    <row r="24" spans="1:86" x14ac:dyDescent="0.25">
      <c r="A24" t="s">
        <v>1301</v>
      </c>
      <c r="B24" t="s">
        <v>49</v>
      </c>
      <c r="C24" s="15">
        <v>13</v>
      </c>
      <c r="D24">
        <v>1680</v>
      </c>
      <c r="E24" s="15" t="s">
        <v>379</v>
      </c>
      <c r="F24" s="100">
        <v>43228</v>
      </c>
      <c r="G24" t="s">
        <v>1302</v>
      </c>
      <c r="H24" s="9" t="s">
        <v>1111</v>
      </c>
      <c r="I24" s="10">
        <v>3</v>
      </c>
      <c r="J24" s="10" t="s">
        <v>64</v>
      </c>
      <c r="K24">
        <v>574</v>
      </c>
      <c r="L24">
        <v>93</v>
      </c>
      <c r="M24" s="9">
        <f t="shared" si="0"/>
        <v>481</v>
      </c>
      <c r="N24" s="35">
        <v>190</v>
      </c>
      <c r="O24" s="35">
        <v>190</v>
      </c>
      <c r="P24" s="35">
        <v>190</v>
      </c>
      <c r="Q24" s="24">
        <f t="shared" si="1"/>
        <v>190</v>
      </c>
      <c r="R24" s="35">
        <v>240</v>
      </c>
      <c r="S24" s="35">
        <v>240</v>
      </c>
      <c r="T24" s="35">
        <v>240</v>
      </c>
      <c r="U24" s="24">
        <f t="shared" si="2"/>
        <v>240</v>
      </c>
      <c r="V24" s="35">
        <v>15.66</v>
      </c>
      <c r="W24" s="35">
        <v>15.62</v>
      </c>
      <c r="X24" s="35">
        <v>15.55</v>
      </c>
      <c r="Y24" s="24">
        <f t="shared" si="3"/>
        <v>15.61</v>
      </c>
      <c r="Z24" s="35">
        <v>31.37</v>
      </c>
      <c r="AA24" s="35">
        <v>31.34</v>
      </c>
      <c r="AB24" s="35">
        <v>31.38</v>
      </c>
      <c r="AC24" s="24">
        <f t="shared" si="4"/>
        <v>31.363333333333333</v>
      </c>
      <c r="AD24" s="35">
        <v>41.21</v>
      </c>
      <c r="AE24" s="35">
        <v>41.62</v>
      </c>
      <c r="AF24" s="35">
        <v>41.34</v>
      </c>
      <c r="AG24" s="24">
        <f t="shared" si="5"/>
        <v>41.39</v>
      </c>
      <c r="AH24" s="35">
        <v>64.61</v>
      </c>
      <c r="AI24" s="35">
        <v>64.39</v>
      </c>
      <c r="AJ24" s="35">
        <v>64.290000000000006</v>
      </c>
      <c r="AK24" s="24">
        <f t="shared" si="6"/>
        <v>64.430000000000007</v>
      </c>
      <c r="AT24" s="10" t="s">
        <v>1251</v>
      </c>
      <c r="AU24">
        <v>8</v>
      </c>
      <c r="AV24" s="9">
        <v>8</v>
      </c>
      <c r="AW24" s="35">
        <v>31.84</v>
      </c>
      <c r="AX24" s="35">
        <v>31.96</v>
      </c>
      <c r="AY24" s="35">
        <v>31.96</v>
      </c>
      <c r="AZ24" s="24">
        <f t="shared" si="7"/>
        <v>31.919999999999998</v>
      </c>
      <c r="BA24" s="35">
        <v>40.619999999999997</v>
      </c>
      <c r="BB24" s="35">
        <v>40.54</v>
      </c>
      <c r="BC24" s="35">
        <v>40.81</v>
      </c>
      <c r="BD24" s="24">
        <f t="shared" si="8"/>
        <v>40.656666666666666</v>
      </c>
      <c r="BE24" s="35">
        <v>65</v>
      </c>
      <c r="BF24" s="35">
        <v>65.03</v>
      </c>
      <c r="BG24" s="35">
        <v>65.010000000000005</v>
      </c>
      <c r="BH24" s="24">
        <f t="shared" si="9"/>
        <v>65.013333333333335</v>
      </c>
      <c r="BI24" s="35">
        <v>49.92</v>
      </c>
      <c r="BJ24" s="35">
        <v>49.79</v>
      </c>
      <c r="BK24" s="35">
        <v>42.69</v>
      </c>
      <c r="BL24" s="24">
        <f t="shared" si="10"/>
        <v>47.466666666666669</v>
      </c>
      <c r="BM24" s="35">
        <v>49.26</v>
      </c>
      <c r="BN24" s="35">
        <v>49.27</v>
      </c>
      <c r="BO24" s="35">
        <v>49.31</v>
      </c>
      <c r="BP24" s="24">
        <f t="shared" si="11"/>
        <v>49.28</v>
      </c>
      <c r="BQ24" s="35">
        <v>37.99</v>
      </c>
      <c r="BR24" s="35">
        <v>38.119999999999997</v>
      </c>
      <c r="BS24" s="35">
        <v>38.1</v>
      </c>
      <c r="BT24" s="24">
        <f t="shared" si="12"/>
        <v>38.07</v>
      </c>
      <c r="BU24" s="35">
        <v>71.81</v>
      </c>
      <c r="BV24" s="35">
        <v>71.8</v>
      </c>
      <c r="BW24" s="35">
        <v>71.819999999999993</v>
      </c>
      <c r="BX24" s="24">
        <f t="shared" si="13"/>
        <v>71.81</v>
      </c>
      <c r="BY24" t="s">
        <v>1252</v>
      </c>
      <c r="BZ24" t="s">
        <v>1252</v>
      </c>
      <c r="CA24" t="s">
        <v>1252</v>
      </c>
      <c r="CB24" s="100">
        <v>43228</v>
      </c>
      <c r="CE24" s="35">
        <v>0.5</v>
      </c>
      <c r="CF24" s="35" t="s">
        <v>1253</v>
      </c>
      <c r="CG24" s="9" t="s">
        <v>1253</v>
      </c>
    </row>
    <row r="25" spans="1:86" x14ac:dyDescent="0.25">
      <c r="A25" t="s">
        <v>1303</v>
      </c>
      <c r="B25" t="s">
        <v>207</v>
      </c>
      <c r="C25" s="15" t="s">
        <v>379</v>
      </c>
      <c r="D25">
        <v>1474</v>
      </c>
      <c r="E25" s="250" t="s">
        <v>1304</v>
      </c>
      <c r="F25" s="100">
        <v>43228</v>
      </c>
      <c r="G25" t="s">
        <v>62</v>
      </c>
      <c r="H25" s="9" t="s">
        <v>1108</v>
      </c>
      <c r="I25" s="10">
        <v>1</v>
      </c>
      <c r="J25" s="10" t="s">
        <v>64</v>
      </c>
      <c r="K25">
        <v>321</v>
      </c>
      <c r="L25">
        <v>92</v>
      </c>
      <c r="M25" s="9">
        <f t="shared" si="0"/>
        <v>229</v>
      </c>
      <c r="N25" s="35">
        <v>158</v>
      </c>
      <c r="O25" s="35">
        <v>158</v>
      </c>
      <c r="P25" s="35">
        <v>158</v>
      </c>
      <c r="Q25" s="24">
        <f t="shared" si="1"/>
        <v>158</v>
      </c>
      <c r="R25" s="35">
        <v>205</v>
      </c>
      <c r="S25" s="35">
        <v>205</v>
      </c>
      <c r="T25" s="35">
        <v>205</v>
      </c>
      <c r="U25" s="24">
        <f t="shared" si="2"/>
        <v>205</v>
      </c>
      <c r="V25" s="35">
        <v>10.32</v>
      </c>
      <c r="W25" s="35">
        <v>10.16</v>
      </c>
      <c r="X25" s="35">
        <v>10.39</v>
      </c>
      <c r="Y25" s="24">
        <f t="shared" si="3"/>
        <v>10.290000000000001</v>
      </c>
      <c r="Z25" s="35">
        <v>31.47</v>
      </c>
      <c r="AA25" s="35">
        <v>31.52</v>
      </c>
      <c r="AB25" s="35">
        <v>31.47</v>
      </c>
      <c r="AC25" s="24">
        <f t="shared" si="4"/>
        <v>31.486666666666665</v>
      </c>
      <c r="AD25" s="35">
        <v>39.590000000000003</v>
      </c>
      <c r="AE25" s="35">
        <v>39.93</v>
      </c>
      <c r="AF25" s="35">
        <v>39.67</v>
      </c>
      <c r="AG25" s="24">
        <f t="shared" si="5"/>
        <v>39.730000000000004</v>
      </c>
      <c r="AH25" s="35">
        <v>58.56</v>
      </c>
      <c r="AI25" s="35">
        <v>58.53</v>
      </c>
      <c r="AJ25" s="35">
        <v>58.45</v>
      </c>
      <c r="AK25" s="24">
        <f t="shared" si="6"/>
        <v>58.513333333333343</v>
      </c>
      <c r="AT25" s="10" t="s">
        <v>1305</v>
      </c>
      <c r="AU25">
        <v>8</v>
      </c>
      <c r="AV25" s="9">
        <v>0</v>
      </c>
      <c r="AW25" s="35">
        <v>31.75</v>
      </c>
      <c r="AX25" s="35">
        <v>31.42</v>
      </c>
      <c r="AY25" s="35">
        <v>31.62</v>
      </c>
      <c r="AZ25" s="24">
        <f t="shared" si="7"/>
        <v>31.596666666666668</v>
      </c>
      <c r="BA25" s="35">
        <v>40.799999999999997</v>
      </c>
      <c r="BB25" s="35">
        <v>40.69</v>
      </c>
      <c r="BC25" s="35">
        <v>40.71</v>
      </c>
      <c r="BD25" s="24">
        <f t="shared" si="8"/>
        <v>40.733333333333327</v>
      </c>
      <c r="BE25" s="35">
        <v>60.32</v>
      </c>
      <c r="BF25" s="35">
        <v>60.48</v>
      </c>
      <c r="BG25" s="35">
        <v>60.41</v>
      </c>
      <c r="BH25" s="24">
        <f t="shared" si="9"/>
        <v>60.403333333333329</v>
      </c>
      <c r="BI25" s="35">
        <v>46.46</v>
      </c>
      <c r="BJ25" s="35">
        <v>46.21</v>
      </c>
      <c r="BK25" s="35">
        <v>46.34</v>
      </c>
      <c r="BL25" s="24">
        <f t="shared" si="10"/>
        <v>46.336666666666666</v>
      </c>
      <c r="BM25" s="35">
        <v>46.16</v>
      </c>
      <c r="BN25" s="35">
        <v>46.1</v>
      </c>
      <c r="BO25" s="35">
        <v>45.84</v>
      </c>
      <c r="BP25" s="24">
        <f t="shared" si="11"/>
        <v>46.033333333333331</v>
      </c>
      <c r="BQ25" s="35">
        <v>31.65</v>
      </c>
      <c r="BR25" s="35">
        <v>31.96</v>
      </c>
      <c r="BS25" s="35">
        <v>31.95</v>
      </c>
      <c r="BT25" s="24">
        <f t="shared" si="12"/>
        <v>31.853333333333335</v>
      </c>
      <c r="BU25" s="35">
        <v>63.45</v>
      </c>
      <c r="BV25" s="35">
        <v>63.4</v>
      </c>
      <c r="BW25" s="35">
        <v>63.95</v>
      </c>
      <c r="BX25" s="24">
        <f t="shared" si="13"/>
        <v>63.6</v>
      </c>
      <c r="BY25" t="s">
        <v>1252</v>
      </c>
      <c r="BZ25" t="s">
        <v>1264</v>
      </c>
      <c r="CA25" t="s">
        <v>1252</v>
      </c>
      <c r="CB25" t="s">
        <v>1264</v>
      </c>
      <c r="CE25" s="12" t="s">
        <v>1253</v>
      </c>
      <c r="CF25" s="35" t="s">
        <v>1253</v>
      </c>
      <c r="CG25" s="9" t="s">
        <v>1253</v>
      </c>
      <c r="CH25" s="35" t="s">
        <v>1274</v>
      </c>
    </row>
    <row r="26" spans="1:86" x14ac:dyDescent="0.25">
      <c r="A26" t="s">
        <v>1306</v>
      </c>
      <c r="B26" t="s">
        <v>207</v>
      </c>
      <c r="C26" s="15" t="s">
        <v>379</v>
      </c>
      <c r="D26">
        <v>1069</v>
      </c>
      <c r="E26" s="249" t="s">
        <v>1307</v>
      </c>
      <c r="F26" s="100">
        <v>43228</v>
      </c>
      <c r="G26" t="s">
        <v>1308</v>
      </c>
      <c r="H26" s="9" t="s">
        <v>1108</v>
      </c>
      <c r="I26" s="10">
        <v>2</v>
      </c>
      <c r="J26" s="10" t="s">
        <v>64</v>
      </c>
      <c r="K26">
        <v>432</v>
      </c>
      <c r="L26">
        <v>89</v>
      </c>
      <c r="M26" s="9">
        <f t="shared" si="0"/>
        <v>343</v>
      </c>
      <c r="N26" s="35">
        <v>185</v>
      </c>
      <c r="O26" s="35">
        <v>185</v>
      </c>
      <c r="P26" s="35">
        <v>185</v>
      </c>
      <c r="Q26" s="24">
        <f t="shared" si="1"/>
        <v>185</v>
      </c>
      <c r="R26" s="35">
        <v>215</v>
      </c>
      <c r="S26" s="35">
        <v>214</v>
      </c>
      <c r="T26" s="35">
        <v>214</v>
      </c>
      <c r="U26" s="24">
        <f t="shared" si="2"/>
        <v>214.33333333333334</v>
      </c>
      <c r="V26" s="35">
        <v>13.08</v>
      </c>
      <c r="W26" s="35">
        <v>13.12</v>
      </c>
      <c r="X26" s="35">
        <v>13.06</v>
      </c>
      <c r="Y26" s="24">
        <f t="shared" si="3"/>
        <v>13.086666666666666</v>
      </c>
      <c r="Z26" s="35">
        <v>31.98</v>
      </c>
      <c r="AA26" s="35">
        <v>31.82</v>
      </c>
      <c r="AB26" s="35">
        <v>31.82</v>
      </c>
      <c r="AC26" s="24">
        <f t="shared" si="4"/>
        <v>31.873333333333335</v>
      </c>
      <c r="AD26" s="35">
        <v>42.05</v>
      </c>
      <c r="AE26" s="35">
        <v>42</v>
      </c>
      <c r="AF26" s="35">
        <v>42.1</v>
      </c>
      <c r="AG26" s="24">
        <f t="shared" si="5"/>
        <v>42.050000000000004</v>
      </c>
      <c r="AH26" s="35">
        <v>64.09</v>
      </c>
      <c r="AI26" s="35">
        <v>64.19</v>
      </c>
      <c r="AJ26" s="35">
        <v>64.17</v>
      </c>
      <c r="AK26" s="24">
        <f t="shared" si="6"/>
        <v>64.149999999999991</v>
      </c>
      <c r="AT26" s="10" t="s">
        <v>1251</v>
      </c>
      <c r="AU26">
        <v>8</v>
      </c>
      <c r="AV26" s="9">
        <v>3</v>
      </c>
      <c r="AW26" s="35">
        <v>32.450000000000003</v>
      </c>
      <c r="AX26" s="35">
        <v>32.450000000000003</v>
      </c>
      <c r="AY26" s="35">
        <v>32.51</v>
      </c>
      <c r="AZ26" s="24">
        <f t="shared" si="7"/>
        <v>32.47</v>
      </c>
      <c r="BA26" s="35">
        <v>40.880000000000003</v>
      </c>
      <c r="BB26" s="35">
        <v>40.880000000000003</v>
      </c>
      <c r="BC26" s="35">
        <v>40.9</v>
      </c>
      <c r="BD26" s="253">
        <f t="shared" si="8"/>
        <v>40.886666666666663</v>
      </c>
      <c r="BE26" s="35">
        <v>65.62</v>
      </c>
      <c r="BF26" s="35">
        <v>65.89</v>
      </c>
      <c r="BG26" s="35">
        <v>65.63</v>
      </c>
      <c r="BH26" s="24">
        <f t="shared" si="9"/>
        <v>65.713333333333324</v>
      </c>
      <c r="BI26" s="35">
        <v>49.52</v>
      </c>
      <c r="BJ26" s="35">
        <v>49.58</v>
      </c>
      <c r="BK26" s="35">
        <v>49.52</v>
      </c>
      <c r="BL26" s="24">
        <f t="shared" si="10"/>
        <v>49.54</v>
      </c>
      <c r="BM26" s="35">
        <v>48.79</v>
      </c>
      <c r="BN26" s="35">
        <v>48.84</v>
      </c>
      <c r="BO26" s="35">
        <v>48.7</v>
      </c>
      <c r="BP26" s="24">
        <f t="shared" si="11"/>
        <v>48.776666666666664</v>
      </c>
      <c r="BQ26" s="35">
        <v>35.159999999999997</v>
      </c>
      <c r="BR26" s="35">
        <v>45.44</v>
      </c>
      <c r="BS26" s="35">
        <v>35.409999999999997</v>
      </c>
      <c r="BT26" s="24">
        <f t="shared" si="12"/>
        <v>38.669999999999995</v>
      </c>
      <c r="BU26" s="35">
        <v>64.12</v>
      </c>
      <c r="BV26" s="35">
        <v>64.39</v>
      </c>
      <c r="BW26" s="35">
        <v>64.400000000000006</v>
      </c>
      <c r="BX26" s="24">
        <f t="shared" si="13"/>
        <v>64.303333333333327</v>
      </c>
      <c r="BY26" t="s">
        <v>1252</v>
      </c>
      <c r="BZ26" t="s">
        <v>1264</v>
      </c>
      <c r="CA26" t="s">
        <v>1252</v>
      </c>
      <c r="CB26" t="s">
        <v>1264</v>
      </c>
      <c r="CE26" s="12" t="s">
        <v>1253</v>
      </c>
      <c r="CF26" s="35" t="s">
        <v>1253</v>
      </c>
      <c r="CG26" s="9" t="s">
        <v>1253</v>
      </c>
      <c r="CH26" s="35" t="s">
        <v>1274</v>
      </c>
    </row>
    <row r="27" spans="1:86" x14ac:dyDescent="0.25">
      <c r="A27" t="s">
        <v>1309</v>
      </c>
      <c r="B27" t="s">
        <v>49</v>
      </c>
      <c r="C27" s="15" t="s">
        <v>379</v>
      </c>
      <c r="D27">
        <v>1682</v>
      </c>
      <c r="E27" s="15" t="s">
        <v>1310</v>
      </c>
      <c r="F27" s="100">
        <v>43228</v>
      </c>
      <c r="G27" t="s">
        <v>1311</v>
      </c>
      <c r="H27" s="9" t="s">
        <v>1108</v>
      </c>
      <c r="I27" s="10">
        <v>1</v>
      </c>
      <c r="J27" s="10" t="s">
        <v>50</v>
      </c>
      <c r="K27">
        <v>390</v>
      </c>
      <c r="L27">
        <v>91</v>
      </c>
      <c r="M27" s="9">
        <f t="shared" si="0"/>
        <v>299</v>
      </c>
      <c r="N27" s="35">
        <v>173</v>
      </c>
      <c r="O27" s="35">
        <v>172</v>
      </c>
      <c r="P27" s="35">
        <v>173</v>
      </c>
      <c r="Q27" s="24">
        <f t="shared" si="1"/>
        <v>172.66666666666666</v>
      </c>
      <c r="R27" s="35">
        <v>248</v>
      </c>
      <c r="S27" s="35">
        <v>248</v>
      </c>
      <c r="T27" s="35">
        <v>248</v>
      </c>
      <c r="U27" s="24">
        <f t="shared" si="2"/>
        <v>248</v>
      </c>
      <c r="V27" s="35">
        <v>11.67</v>
      </c>
      <c r="W27" s="35">
        <v>11.24</v>
      </c>
      <c r="X27" s="35">
        <v>11.76</v>
      </c>
      <c r="Y27" s="24">
        <f t="shared" si="3"/>
        <v>11.556666666666667</v>
      </c>
      <c r="Z27" s="35">
        <v>33.22</v>
      </c>
      <c r="AA27" s="35">
        <v>33.03</v>
      </c>
      <c r="AB27" s="35">
        <v>33.14</v>
      </c>
      <c r="AC27" s="24">
        <f t="shared" si="4"/>
        <v>33.130000000000003</v>
      </c>
      <c r="AD27" s="35">
        <v>42.8</v>
      </c>
      <c r="AE27" s="35">
        <v>42.84</v>
      </c>
      <c r="AF27" s="35">
        <v>42.82</v>
      </c>
      <c r="AG27" s="24">
        <f t="shared" si="5"/>
        <v>42.82</v>
      </c>
      <c r="AH27" s="35">
        <v>64.650000000000006</v>
      </c>
      <c r="AI27" s="35">
        <v>64.790000000000006</v>
      </c>
      <c r="AJ27" s="35">
        <v>64.790000000000006</v>
      </c>
      <c r="AK27" s="24">
        <f t="shared" si="6"/>
        <v>64.743333333333339</v>
      </c>
      <c r="AL27" s="35">
        <v>15.13</v>
      </c>
      <c r="AM27" s="35">
        <v>14.96</v>
      </c>
      <c r="AN27" s="35">
        <v>14.39</v>
      </c>
      <c r="AO27" s="9">
        <f>(AL27+AM27+AN27)/3</f>
        <v>14.826666666666668</v>
      </c>
      <c r="AP27" s="35">
        <v>21.46</v>
      </c>
      <c r="AQ27" s="35">
        <v>21.93</v>
      </c>
      <c r="AR27" s="35">
        <v>21.54</v>
      </c>
      <c r="AS27" s="9">
        <f>(AP27+AR27+AQ27)/3</f>
        <v>21.643333333333334</v>
      </c>
      <c r="AW27" s="250" t="s">
        <v>1312</v>
      </c>
      <c r="AX27" s="35">
        <v>32.42</v>
      </c>
      <c r="AY27" s="35">
        <v>32.229999999999997</v>
      </c>
      <c r="AZ27" s="24">
        <f t="shared" si="7"/>
        <v>32.446666666666665</v>
      </c>
      <c r="BA27" s="35">
        <v>42.75</v>
      </c>
      <c r="BB27" s="35">
        <v>42.56</v>
      </c>
      <c r="BC27" s="35">
        <v>42.69</v>
      </c>
      <c r="BD27" s="24">
        <f t="shared" si="8"/>
        <v>42.666666666666664</v>
      </c>
      <c r="BE27" s="35">
        <v>67.290000000000006</v>
      </c>
      <c r="BF27" s="35">
        <v>67.69</v>
      </c>
      <c r="BG27" s="35">
        <v>67.66</v>
      </c>
      <c r="BH27" s="24">
        <f t="shared" si="9"/>
        <v>67.546666666666667</v>
      </c>
      <c r="BI27" s="35">
        <v>51.36</v>
      </c>
      <c r="BJ27" s="35">
        <v>51.27</v>
      </c>
      <c r="BK27" s="35">
        <v>51.92</v>
      </c>
      <c r="BL27" s="24">
        <f t="shared" si="10"/>
        <v>51.516666666666673</v>
      </c>
      <c r="BM27" s="35">
        <v>51.69</v>
      </c>
      <c r="BN27" s="35">
        <v>51.63</v>
      </c>
      <c r="BO27" s="35">
        <v>51.47</v>
      </c>
      <c r="BP27" s="24">
        <f t="shared" si="11"/>
        <v>51.596666666666664</v>
      </c>
      <c r="BQ27" s="35">
        <v>35.58</v>
      </c>
      <c r="BR27" s="35">
        <v>35.869999999999997</v>
      </c>
      <c r="BS27" s="35">
        <v>35.71</v>
      </c>
      <c r="BT27" s="24">
        <f t="shared" si="12"/>
        <v>35.72</v>
      </c>
      <c r="BU27" s="35">
        <v>69.8</v>
      </c>
      <c r="BV27" s="35">
        <v>69.33</v>
      </c>
      <c r="BW27" s="35">
        <v>69.16</v>
      </c>
      <c r="BX27" s="24">
        <f t="shared" si="13"/>
        <v>69.429999999999993</v>
      </c>
      <c r="BY27" t="s">
        <v>1252</v>
      </c>
      <c r="BZ27" t="s">
        <v>1264</v>
      </c>
      <c r="CA27" t="s">
        <v>1252</v>
      </c>
      <c r="CB27" t="s">
        <v>1264</v>
      </c>
      <c r="CE27" s="12" t="s">
        <v>1253</v>
      </c>
      <c r="CF27" s="35" t="s">
        <v>1253</v>
      </c>
      <c r="CG27" s="9" t="s">
        <v>1253</v>
      </c>
      <c r="CH27" s="35" t="s">
        <v>1274</v>
      </c>
    </row>
    <row r="28" spans="1:86" x14ac:dyDescent="0.25">
      <c r="A28" t="s">
        <v>1313</v>
      </c>
      <c r="B28" t="s">
        <v>207</v>
      </c>
      <c r="C28" s="15" t="s">
        <v>379</v>
      </c>
      <c r="D28">
        <v>1473</v>
      </c>
      <c r="E28" s="249" t="s">
        <v>1314</v>
      </c>
      <c r="F28" s="100">
        <v>43228</v>
      </c>
      <c r="G28" t="s">
        <v>229</v>
      </c>
      <c r="H28" s="9" t="s">
        <v>1108</v>
      </c>
      <c r="I28" s="10">
        <v>1</v>
      </c>
      <c r="J28" s="10" t="s">
        <v>50</v>
      </c>
      <c r="K28">
        <v>366</v>
      </c>
      <c r="L28">
        <v>91</v>
      </c>
      <c r="M28" s="9">
        <f t="shared" si="0"/>
        <v>275</v>
      </c>
      <c r="N28" s="35">
        <v>150</v>
      </c>
      <c r="O28" s="35">
        <v>149</v>
      </c>
      <c r="P28" s="35">
        <v>150</v>
      </c>
      <c r="Q28" s="24">
        <f t="shared" si="1"/>
        <v>149.66666666666666</v>
      </c>
      <c r="R28" s="35">
        <v>230</v>
      </c>
      <c r="S28" s="35">
        <v>232</v>
      </c>
      <c r="T28" s="35">
        <v>231</v>
      </c>
      <c r="U28" s="24">
        <f t="shared" si="2"/>
        <v>231</v>
      </c>
      <c r="V28" s="35">
        <v>11.57</v>
      </c>
      <c r="W28" s="35">
        <v>11.23</v>
      </c>
      <c r="X28" s="35">
        <v>11.24</v>
      </c>
      <c r="Y28" s="24">
        <f t="shared" si="3"/>
        <v>11.346666666666666</v>
      </c>
      <c r="Z28" s="35">
        <v>30.8</v>
      </c>
      <c r="AA28" s="35">
        <v>30.75</v>
      </c>
      <c r="AB28" s="35">
        <v>30.97</v>
      </c>
      <c r="AC28" s="24">
        <f t="shared" si="4"/>
        <v>30.84</v>
      </c>
      <c r="AD28" s="35">
        <v>39.03</v>
      </c>
      <c r="AE28" s="35">
        <v>39.19</v>
      </c>
      <c r="AF28" s="35">
        <v>39.200000000000003</v>
      </c>
      <c r="AG28" s="24">
        <f t="shared" si="5"/>
        <v>39.14</v>
      </c>
      <c r="AH28" s="35">
        <v>60.65</v>
      </c>
      <c r="AI28" s="35">
        <v>60.32</v>
      </c>
      <c r="AJ28" s="35">
        <v>60.41</v>
      </c>
      <c r="AK28" s="24">
        <f t="shared" si="6"/>
        <v>60.46</v>
      </c>
      <c r="AL28" s="35">
        <v>14.92</v>
      </c>
      <c r="AM28" s="35">
        <v>14.4</v>
      </c>
      <c r="AN28" s="35">
        <v>14.44</v>
      </c>
      <c r="AO28" s="9">
        <f>(AL28+AM28+AN28)/3</f>
        <v>14.586666666666666</v>
      </c>
      <c r="AP28" s="35">
        <v>22.22</v>
      </c>
      <c r="AQ28" s="35">
        <v>22.22</v>
      </c>
      <c r="AR28" s="35">
        <v>22.1</v>
      </c>
      <c r="AS28" s="9">
        <f>(AP28+AR28+AQ28)/3</f>
        <v>22.179999999999996</v>
      </c>
      <c r="AW28" s="35">
        <v>31.1</v>
      </c>
      <c r="AX28" s="35">
        <v>31.25</v>
      </c>
      <c r="AY28" s="35">
        <v>31.22</v>
      </c>
      <c r="AZ28" s="24">
        <f t="shared" si="7"/>
        <v>31.189999999999998</v>
      </c>
      <c r="BA28" s="35">
        <v>40.159999999999997</v>
      </c>
      <c r="BB28" s="35">
        <v>40.020000000000003</v>
      </c>
      <c r="BC28" s="35">
        <v>40.299999999999997</v>
      </c>
      <c r="BD28" s="24">
        <f t="shared" si="8"/>
        <v>40.160000000000004</v>
      </c>
      <c r="BE28" s="35">
        <v>59.39</v>
      </c>
      <c r="BF28" s="35">
        <v>59.36</v>
      </c>
      <c r="BG28" s="35">
        <v>59.35</v>
      </c>
      <c r="BH28" s="24">
        <f t="shared" si="9"/>
        <v>59.366666666666667</v>
      </c>
      <c r="BI28" s="144">
        <v>48.81</v>
      </c>
      <c r="BJ28" s="144">
        <v>48.98</v>
      </c>
      <c r="BK28" s="144">
        <v>48.93</v>
      </c>
      <c r="BL28" s="24">
        <f t="shared" si="10"/>
        <v>48.906666666666666</v>
      </c>
      <c r="BM28" s="225">
        <v>48.74</v>
      </c>
      <c r="BN28" s="225">
        <v>48.47</v>
      </c>
      <c r="BO28" s="225">
        <v>48.3</v>
      </c>
      <c r="BP28" s="24">
        <f t="shared" si="11"/>
        <v>48.50333333333333</v>
      </c>
      <c r="BQ28" s="225">
        <v>33.82</v>
      </c>
      <c r="BR28" s="225">
        <v>33.630000000000003</v>
      </c>
      <c r="BS28" s="225">
        <v>33.31</v>
      </c>
      <c r="BT28" s="24">
        <f t="shared" si="12"/>
        <v>33.586666666666666</v>
      </c>
      <c r="BU28" s="225">
        <v>66.16</v>
      </c>
      <c r="BV28" s="225">
        <v>66.09</v>
      </c>
      <c r="BW28" s="225">
        <v>66.180000000000007</v>
      </c>
      <c r="BX28" s="24">
        <f t="shared" si="13"/>
        <v>66.143333333333331</v>
      </c>
      <c r="BY28" t="s">
        <v>1252</v>
      </c>
      <c r="BZ28" t="s">
        <v>1264</v>
      </c>
      <c r="CA28" t="s">
        <v>1252</v>
      </c>
      <c r="CB28" t="s">
        <v>1264</v>
      </c>
      <c r="CE28" s="12" t="s">
        <v>1253</v>
      </c>
      <c r="CF28" s="35" t="s">
        <v>1253</v>
      </c>
      <c r="CG28" s="9" t="s">
        <v>1253</v>
      </c>
      <c r="CH28" s="35" t="s">
        <v>1274</v>
      </c>
    </row>
    <row r="29" spans="1:86" x14ac:dyDescent="0.25">
      <c r="A29" t="s">
        <v>1315</v>
      </c>
      <c r="B29" t="s">
        <v>207</v>
      </c>
      <c r="C29" s="15" t="s">
        <v>379</v>
      </c>
      <c r="D29">
        <v>1475</v>
      </c>
      <c r="E29" s="249" t="s">
        <v>1316</v>
      </c>
      <c r="F29" s="100">
        <v>43228</v>
      </c>
      <c r="G29" t="s">
        <v>1317</v>
      </c>
      <c r="H29" s="9" t="s">
        <v>1108</v>
      </c>
      <c r="I29" s="10">
        <v>1</v>
      </c>
      <c r="J29" s="10" t="s">
        <v>64</v>
      </c>
      <c r="K29">
        <v>326</v>
      </c>
      <c r="L29">
        <v>92</v>
      </c>
      <c r="M29" s="9">
        <f t="shared" si="0"/>
        <v>234</v>
      </c>
      <c r="N29" s="35">
        <v>148</v>
      </c>
      <c r="O29" s="35">
        <v>147</v>
      </c>
      <c r="P29" s="35">
        <v>147</v>
      </c>
      <c r="Q29" s="24">
        <f t="shared" si="1"/>
        <v>147.33333333333334</v>
      </c>
      <c r="R29" s="35">
        <v>220</v>
      </c>
      <c r="S29" s="35">
        <v>221</v>
      </c>
      <c r="T29" s="35">
        <v>221</v>
      </c>
      <c r="U29" s="24">
        <f t="shared" si="2"/>
        <v>220.66666666666666</v>
      </c>
      <c r="V29" s="35">
        <v>11.69</v>
      </c>
      <c r="W29" s="35">
        <v>11.74</v>
      </c>
      <c r="X29" s="35">
        <v>11.77</v>
      </c>
      <c r="Y29" s="24">
        <f t="shared" si="3"/>
        <v>11.733333333333334</v>
      </c>
      <c r="Z29" s="35">
        <v>30.04</v>
      </c>
      <c r="AA29" s="35">
        <v>30.2</v>
      </c>
      <c r="AB29" s="35">
        <v>30.44</v>
      </c>
      <c r="AC29" s="24">
        <f t="shared" si="4"/>
        <v>30.226666666666663</v>
      </c>
      <c r="AD29" s="35">
        <v>39.619999999999997</v>
      </c>
      <c r="AE29" s="35">
        <v>39.53</v>
      </c>
      <c r="AF29" s="35">
        <v>39.99</v>
      </c>
      <c r="AG29" s="24">
        <f t="shared" si="5"/>
        <v>39.713333333333338</v>
      </c>
      <c r="AH29" s="35">
        <v>59.17</v>
      </c>
      <c r="AI29" s="35">
        <v>59.56</v>
      </c>
      <c r="AJ29" s="35">
        <v>59.25</v>
      </c>
      <c r="AK29" s="24">
        <f t="shared" si="6"/>
        <v>59.326666666666675</v>
      </c>
      <c r="AT29" s="10" t="s">
        <v>1258</v>
      </c>
      <c r="AU29">
        <v>8</v>
      </c>
      <c r="AV29" s="9">
        <v>0</v>
      </c>
      <c r="AW29" s="35">
        <v>31.26</v>
      </c>
      <c r="AX29" s="35">
        <v>31.43</v>
      </c>
      <c r="AY29" s="35">
        <v>31.25</v>
      </c>
      <c r="AZ29" s="24">
        <f t="shared" si="7"/>
        <v>31.313333333333333</v>
      </c>
      <c r="BA29" s="35">
        <v>40.479999999999997</v>
      </c>
      <c r="BB29" s="35">
        <v>40.15</v>
      </c>
      <c r="BC29" s="35">
        <v>40.020000000000003</v>
      </c>
      <c r="BD29" s="24">
        <f t="shared" si="8"/>
        <v>40.216666666666669</v>
      </c>
      <c r="BE29" s="35">
        <v>60.46</v>
      </c>
      <c r="BF29" s="35">
        <v>60.67</v>
      </c>
      <c r="BG29" s="35">
        <v>60.46</v>
      </c>
      <c r="BH29" s="24">
        <f t="shared" si="9"/>
        <v>60.53</v>
      </c>
      <c r="BI29" s="35">
        <v>45.65</v>
      </c>
      <c r="BJ29" s="35">
        <v>45.72</v>
      </c>
      <c r="BK29" s="35">
        <v>45.69</v>
      </c>
      <c r="BL29" s="24">
        <f t="shared" si="10"/>
        <v>45.686666666666667</v>
      </c>
      <c r="BM29" s="35">
        <v>46.19</v>
      </c>
      <c r="BN29" s="35">
        <v>46.14</v>
      </c>
      <c r="BO29" s="35">
        <v>46.27</v>
      </c>
      <c r="BP29" s="24">
        <f t="shared" si="11"/>
        <v>46.199999999999996</v>
      </c>
      <c r="BQ29" s="35">
        <v>33.159999999999997</v>
      </c>
      <c r="BR29" s="35">
        <v>33.619999999999997</v>
      </c>
      <c r="BS29" s="35">
        <v>33.22</v>
      </c>
      <c r="BT29" s="24">
        <f t="shared" si="12"/>
        <v>33.333333333333336</v>
      </c>
      <c r="BU29" s="35">
        <v>63.84</v>
      </c>
      <c r="BV29" s="35">
        <v>63.51</v>
      </c>
      <c r="BW29" s="35">
        <v>63.74</v>
      </c>
      <c r="BX29" s="24">
        <f t="shared" si="13"/>
        <v>63.696666666666665</v>
      </c>
      <c r="BY29" t="s">
        <v>1252</v>
      </c>
      <c r="BZ29" t="s">
        <v>1264</v>
      </c>
      <c r="CA29" t="s">
        <v>1252</v>
      </c>
      <c r="CB29" t="s">
        <v>1264</v>
      </c>
      <c r="CE29" s="12" t="s">
        <v>1253</v>
      </c>
      <c r="CF29" s="35" t="s">
        <v>1253</v>
      </c>
      <c r="CG29" s="9" t="s">
        <v>1253</v>
      </c>
      <c r="CH29" s="35" t="s">
        <v>1274</v>
      </c>
    </row>
    <row r="30" spans="1:86" x14ac:dyDescent="0.25">
      <c r="A30" t="s">
        <v>1318</v>
      </c>
      <c r="B30" t="s">
        <v>207</v>
      </c>
      <c r="C30" s="15" t="s">
        <v>379</v>
      </c>
      <c r="D30">
        <v>1468</v>
      </c>
      <c r="E30" s="15" t="s">
        <v>1319</v>
      </c>
      <c r="F30" s="100">
        <v>43228</v>
      </c>
      <c r="G30" t="s">
        <v>266</v>
      </c>
      <c r="H30" s="9" t="s">
        <v>1108</v>
      </c>
      <c r="I30" s="10">
        <v>1</v>
      </c>
      <c r="J30" s="10" t="s">
        <v>50</v>
      </c>
      <c r="K30">
        <v>368</v>
      </c>
      <c r="L30">
        <v>95</v>
      </c>
      <c r="M30" s="9">
        <f t="shared" si="0"/>
        <v>273</v>
      </c>
      <c r="N30" s="35">
        <v>156</v>
      </c>
      <c r="O30" s="35">
        <v>156</v>
      </c>
      <c r="P30" s="35">
        <v>157</v>
      </c>
      <c r="Q30" s="24">
        <f t="shared" si="1"/>
        <v>156.33333333333334</v>
      </c>
      <c r="R30" s="35">
        <v>210</v>
      </c>
      <c r="S30" s="35">
        <v>210</v>
      </c>
      <c r="T30" s="35">
        <v>210</v>
      </c>
      <c r="U30" s="24">
        <f t="shared" si="2"/>
        <v>210</v>
      </c>
      <c r="V30" s="35">
        <v>9.9499999999999993</v>
      </c>
      <c r="W30" s="35">
        <v>9.93</v>
      </c>
      <c r="X30" s="35">
        <v>9.8699999999999992</v>
      </c>
      <c r="Y30" s="24">
        <f t="shared" si="3"/>
        <v>9.9166666666666661</v>
      </c>
      <c r="Z30" s="35">
        <v>32.25</v>
      </c>
      <c r="AA30" s="35">
        <v>32.229999999999997</v>
      </c>
      <c r="AB30" s="35">
        <v>32.299999999999997</v>
      </c>
      <c r="AC30" s="24">
        <f t="shared" si="4"/>
        <v>32.26</v>
      </c>
      <c r="AD30" s="35">
        <v>42.46</v>
      </c>
      <c r="AE30" s="35">
        <v>42.49</v>
      </c>
      <c r="AF30" s="35">
        <v>42.51</v>
      </c>
      <c r="AG30" s="24">
        <f t="shared" si="5"/>
        <v>42.486666666666672</v>
      </c>
      <c r="AH30" s="35">
        <v>62.33</v>
      </c>
      <c r="AI30" s="35">
        <v>62.24</v>
      </c>
      <c r="AJ30" s="35">
        <v>62.27</v>
      </c>
      <c r="AK30" s="24">
        <f t="shared" si="6"/>
        <v>62.28</v>
      </c>
      <c r="AL30" s="35">
        <v>15.95</v>
      </c>
      <c r="AM30" s="35">
        <v>15.98</v>
      </c>
      <c r="AN30" s="35">
        <v>16.04</v>
      </c>
      <c r="AO30" s="9">
        <f>(AL30+AM30+AN30)/3</f>
        <v>15.99</v>
      </c>
      <c r="AP30" s="35">
        <v>21.83</v>
      </c>
      <c r="AQ30" s="35">
        <v>21.7</v>
      </c>
      <c r="AR30" s="35">
        <v>21.26</v>
      </c>
      <c r="AS30" s="9">
        <f>(AP30+AR30+AQ30)/3</f>
        <v>21.596666666666668</v>
      </c>
      <c r="AW30" s="35">
        <v>32.19</v>
      </c>
      <c r="AX30" s="35">
        <v>32.01</v>
      </c>
      <c r="AY30" s="35">
        <v>32.01</v>
      </c>
      <c r="AZ30" s="24">
        <f t="shared" si="7"/>
        <v>32.069999999999993</v>
      </c>
      <c r="BA30" s="35">
        <v>41.95</v>
      </c>
      <c r="BB30" s="35">
        <v>41.99</v>
      </c>
      <c r="BC30" s="35">
        <v>42.02</v>
      </c>
      <c r="BD30" s="24">
        <f t="shared" si="8"/>
        <v>41.986666666666672</v>
      </c>
      <c r="BE30" s="35">
        <v>61.37</v>
      </c>
      <c r="BF30" s="35">
        <v>61.68</v>
      </c>
      <c r="BG30" s="35">
        <v>61.76</v>
      </c>
      <c r="BH30" s="24">
        <f t="shared" si="9"/>
        <v>61.603333333333332</v>
      </c>
      <c r="BI30" s="35">
        <v>48.76</v>
      </c>
      <c r="BJ30" s="35">
        <v>48.67</v>
      </c>
      <c r="BK30" s="35">
        <v>48.67</v>
      </c>
      <c r="BL30" s="24">
        <f t="shared" si="10"/>
        <v>48.70000000000001</v>
      </c>
      <c r="BM30" s="35">
        <v>49.11</v>
      </c>
      <c r="BN30" s="35">
        <v>49.33</v>
      </c>
      <c r="BO30" s="35">
        <v>49.4</v>
      </c>
      <c r="BP30" s="24">
        <f t="shared" si="11"/>
        <v>49.28</v>
      </c>
      <c r="BQ30" s="35">
        <v>34.65</v>
      </c>
      <c r="BR30" s="35">
        <v>34.409999999999997</v>
      </c>
      <c r="BS30" s="35">
        <v>34.54</v>
      </c>
      <c r="BT30" s="24">
        <f t="shared" si="12"/>
        <v>34.533333333333331</v>
      </c>
      <c r="BU30" s="35">
        <v>67.27</v>
      </c>
      <c r="BV30" s="35">
        <v>67.099999999999994</v>
      </c>
      <c r="BW30" s="35">
        <v>67.55</v>
      </c>
      <c r="BX30" s="24">
        <f t="shared" si="13"/>
        <v>67.306666666666672</v>
      </c>
      <c r="BY30" t="s">
        <v>1252</v>
      </c>
      <c r="BZ30" t="s">
        <v>1264</v>
      </c>
      <c r="CA30" t="s">
        <v>1252</v>
      </c>
      <c r="CB30" t="s">
        <v>1264</v>
      </c>
      <c r="CE30" s="12" t="s">
        <v>1253</v>
      </c>
      <c r="CF30" s="35" t="s">
        <v>1253</v>
      </c>
      <c r="CG30" s="9" t="s">
        <v>1253</v>
      </c>
      <c r="CH30" s="35" t="s">
        <v>1274</v>
      </c>
    </row>
    <row r="31" spans="1:86" x14ac:dyDescent="0.25">
      <c r="A31" t="s">
        <v>1320</v>
      </c>
      <c r="B31" t="s">
        <v>207</v>
      </c>
      <c r="C31" s="15" t="s">
        <v>379</v>
      </c>
      <c r="D31" s="97">
        <v>1471</v>
      </c>
      <c r="E31" s="250" t="s">
        <v>1321</v>
      </c>
      <c r="F31" s="100">
        <v>43228</v>
      </c>
      <c r="G31" t="s">
        <v>666</v>
      </c>
      <c r="H31" s="9" t="s">
        <v>1108</v>
      </c>
      <c r="I31" s="10">
        <v>1</v>
      </c>
      <c r="J31" s="10" t="s">
        <v>64</v>
      </c>
      <c r="K31">
        <v>327</v>
      </c>
      <c r="L31">
        <v>94</v>
      </c>
      <c r="M31" s="9">
        <f t="shared" si="0"/>
        <v>233</v>
      </c>
      <c r="N31" s="35">
        <v>150</v>
      </c>
      <c r="O31" s="35">
        <v>150</v>
      </c>
      <c r="P31" s="35">
        <v>150</v>
      </c>
      <c r="Q31" s="24">
        <f t="shared" si="1"/>
        <v>150</v>
      </c>
      <c r="R31" s="35">
        <v>210</v>
      </c>
      <c r="S31" s="35">
        <v>210</v>
      </c>
      <c r="T31" s="35">
        <v>210</v>
      </c>
      <c r="U31" s="24">
        <f t="shared" si="2"/>
        <v>210</v>
      </c>
      <c r="V31" s="35">
        <v>10.53</v>
      </c>
      <c r="W31" s="35">
        <v>10.69</v>
      </c>
      <c r="X31" s="35">
        <v>10.73</v>
      </c>
      <c r="Y31" s="24">
        <f t="shared" si="3"/>
        <v>10.65</v>
      </c>
      <c r="Z31" s="35">
        <v>30.41</v>
      </c>
      <c r="AA31" s="35">
        <v>30.23</v>
      </c>
      <c r="AB31" s="35">
        <v>30.31</v>
      </c>
      <c r="AC31" s="24">
        <f t="shared" si="4"/>
        <v>30.316666666666666</v>
      </c>
      <c r="AD31" s="35">
        <v>40.72</v>
      </c>
      <c r="AE31" s="35">
        <v>40.74</v>
      </c>
      <c r="AF31" s="35">
        <v>40.81</v>
      </c>
      <c r="AG31" s="24">
        <f t="shared" si="5"/>
        <v>40.756666666666668</v>
      </c>
      <c r="AH31" s="35">
        <v>58.84</v>
      </c>
      <c r="AI31" s="35">
        <v>58.87</v>
      </c>
      <c r="AJ31" s="35">
        <v>58.75</v>
      </c>
      <c r="AK31" s="24">
        <f t="shared" si="6"/>
        <v>58.82</v>
      </c>
      <c r="AT31" s="10" t="s">
        <v>1258</v>
      </c>
      <c r="AU31">
        <v>8</v>
      </c>
      <c r="AV31" s="9">
        <v>0</v>
      </c>
      <c r="AW31" s="35">
        <v>30.67</v>
      </c>
      <c r="AX31" s="35">
        <v>30.4</v>
      </c>
      <c r="AY31" s="35">
        <v>30.4</v>
      </c>
      <c r="AZ31" s="24">
        <f t="shared" si="7"/>
        <v>30.49</v>
      </c>
      <c r="BA31" s="35">
        <v>40.159999999999997</v>
      </c>
      <c r="BB31" s="35">
        <v>40.159999999999997</v>
      </c>
      <c r="BC31" s="35">
        <v>40.25</v>
      </c>
      <c r="BD31" s="24">
        <f t="shared" si="8"/>
        <v>40.19</v>
      </c>
      <c r="BE31" s="35">
        <v>59.1</v>
      </c>
      <c r="BF31" s="35">
        <v>59.65</v>
      </c>
      <c r="BG31" s="35">
        <v>59.47</v>
      </c>
      <c r="BH31" s="24">
        <f t="shared" si="9"/>
        <v>59.406666666666666</v>
      </c>
      <c r="BI31" s="35">
        <v>45.54</v>
      </c>
      <c r="BJ31" s="35">
        <v>45.65</v>
      </c>
      <c r="BK31" s="35">
        <v>45.39</v>
      </c>
      <c r="BL31" s="24">
        <f t="shared" si="10"/>
        <v>45.526666666666664</v>
      </c>
      <c r="BM31" s="35">
        <v>45.85</v>
      </c>
      <c r="BN31" s="35">
        <v>45.56</v>
      </c>
      <c r="BO31" s="35">
        <v>45.79</v>
      </c>
      <c r="BP31" s="24">
        <f t="shared" si="11"/>
        <v>45.733333333333327</v>
      </c>
      <c r="BQ31" s="35">
        <v>31.75</v>
      </c>
      <c r="BR31" s="35">
        <v>31.85</v>
      </c>
      <c r="BS31" s="35">
        <v>31.88</v>
      </c>
      <c r="BT31" s="24">
        <f t="shared" si="12"/>
        <v>31.826666666666668</v>
      </c>
      <c r="BU31" s="35">
        <v>65.260000000000005</v>
      </c>
      <c r="BV31" s="35">
        <v>65.69</v>
      </c>
      <c r="BW31" s="35">
        <v>65.62</v>
      </c>
      <c r="BX31" s="24">
        <f t="shared" si="13"/>
        <v>65.523333333333326</v>
      </c>
      <c r="BY31" t="s">
        <v>1252</v>
      </c>
      <c r="BZ31" t="s">
        <v>1264</v>
      </c>
      <c r="CA31" t="s">
        <v>1252</v>
      </c>
      <c r="CB31" t="s">
        <v>1264</v>
      </c>
      <c r="CE31" s="12" t="s">
        <v>1253</v>
      </c>
      <c r="CF31" s="35" t="s">
        <v>1253</v>
      </c>
      <c r="CG31" s="9" t="s">
        <v>1253</v>
      </c>
      <c r="CH31" s="35" t="s">
        <v>1274</v>
      </c>
    </row>
    <row r="32" spans="1:86" x14ac:dyDescent="0.25">
      <c r="A32" t="s">
        <v>1322</v>
      </c>
      <c r="B32" t="s">
        <v>49</v>
      </c>
      <c r="C32" s="15">
        <v>14</v>
      </c>
      <c r="D32">
        <v>1698</v>
      </c>
      <c r="E32" s="15" t="s">
        <v>379</v>
      </c>
      <c r="F32" s="100">
        <v>43229</v>
      </c>
      <c r="G32" t="s">
        <v>1323</v>
      </c>
      <c r="H32" s="9" t="s">
        <v>1111</v>
      </c>
      <c r="I32" s="10">
        <v>1</v>
      </c>
      <c r="J32" s="10" t="s">
        <v>50</v>
      </c>
      <c r="K32">
        <v>566</v>
      </c>
      <c r="L32">
        <v>95</v>
      </c>
      <c r="M32" s="9">
        <f t="shared" si="0"/>
        <v>471</v>
      </c>
      <c r="N32" s="35">
        <v>200</v>
      </c>
      <c r="O32" s="35">
        <v>199</v>
      </c>
      <c r="P32" s="35">
        <v>199</v>
      </c>
      <c r="Q32" s="24">
        <f t="shared" si="1"/>
        <v>199.33333333333334</v>
      </c>
      <c r="R32" s="35">
        <v>265</v>
      </c>
      <c r="S32" s="35">
        <v>265</v>
      </c>
      <c r="T32" s="35">
        <v>265</v>
      </c>
      <c r="U32" s="24">
        <f t="shared" si="2"/>
        <v>265</v>
      </c>
      <c r="V32" s="35">
        <v>15.25</v>
      </c>
      <c r="W32">
        <v>15.58</v>
      </c>
      <c r="X32" s="35">
        <v>15.69</v>
      </c>
      <c r="Y32" s="24">
        <f t="shared" si="3"/>
        <v>15.506666666666666</v>
      </c>
      <c r="Z32" s="35">
        <v>35.58</v>
      </c>
      <c r="AA32" s="35">
        <v>35.799999999999997</v>
      </c>
      <c r="AB32" s="35">
        <v>35.69</v>
      </c>
      <c r="AC32" s="24">
        <f t="shared" si="4"/>
        <v>35.69</v>
      </c>
      <c r="AD32" s="35">
        <v>44.31</v>
      </c>
      <c r="AE32" s="35">
        <v>44.36</v>
      </c>
      <c r="AF32" s="35">
        <v>44.8</v>
      </c>
      <c r="AG32" s="24">
        <f t="shared" si="5"/>
        <v>44.49</v>
      </c>
      <c r="AH32" s="35">
        <v>68.45</v>
      </c>
      <c r="AI32" s="35">
        <v>68.44</v>
      </c>
      <c r="AJ32" s="35">
        <v>68.44</v>
      </c>
      <c r="AK32" s="24">
        <f t="shared" si="6"/>
        <v>68.443333333333328</v>
      </c>
      <c r="AL32" s="35">
        <v>16.66</v>
      </c>
      <c r="AM32" s="35">
        <v>16.38</v>
      </c>
      <c r="AN32" s="35">
        <v>16.77</v>
      </c>
      <c r="AO32" s="9">
        <f>(AL32+AM32+AN32)/3</f>
        <v>16.603333333333335</v>
      </c>
      <c r="AP32" s="35">
        <v>22.75</v>
      </c>
      <c r="AQ32" s="35">
        <v>22.97</v>
      </c>
      <c r="AR32" s="35">
        <v>22.86</v>
      </c>
      <c r="AS32" s="9">
        <f>(AP32+AR32+AQ32)/3</f>
        <v>22.86</v>
      </c>
      <c r="AW32" s="35">
        <v>35.86</v>
      </c>
      <c r="AX32" s="35">
        <v>35.409999999999997</v>
      </c>
      <c r="AY32" s="35">
        <v>35.35</v>
      </c>
      <c r="AZ32" s="24">
        <f t="shared" si="7"/>
        <v>35.54</v>
      </c>
      <c r="BA32" s="35">
        <v>44.19</v>
      </c>
      <c r="BB32" s="35">
        <v>44.17</v>
      </c>
      <c r="BC32" s="35">
        <v>44.1</v>
      </c>
      <c r="BD32" s="24">
        <f t="shared" si="8"/>
        <v>44.153333333333336</v>
      </c>
      <c r="BE32" s="35">
        <v>69.48</v>
      </c>
      <c r="BF32" s="35">
        <v>69.52</v>
      </c>
      <c r="BG32" s="35">
        <v>69.3</v>
      </c>
      <c r="BH32" s="24">
        <f t="shared" si="9"/>
        <v>69.433333333333337</v>
      </c>
      <c r="BI32" s="35">
        <v>54.1</v>
      </c>
      <c r="BJ32" s="35">
        <v>54.04</v>
      </c>
      <c r="BK32" s="35">
        <v>54.11</v>
      </c>
      <c r="BL32" s="24">
        <f t="shared" si="10"/>
        <v>54.083333333333336</v>
      </c>
      <c r="BM32" s="35">
        <v>53.94</v>
      </c>
      <c r="BN32" s="35">
        <v>54.12</v>
      </c>
      <c r="BO32" s="35">
        <v>54</v>
      </c>
      <c r="BP32" s="24">
        <f t="shared" si="11"/>
        <v>54.02</v>
      </c>
      <c r="BQ32" s="35">
        <v>39.94</v>
      </c>
      <c r="BR32" s="35">
        <v>39.83</v>
      </c>
      <c r="BS32" s="35">
        <v>39.86</v>
      </c>
      <c r="BT32" s="24">
        <f t="shared" si="12"/>
        <v>39.876666666666665</v>
      </c>
      <c r="BU32" s="35">
        <v>76.88</v>
      </c>
      <c r="BV32" s="35">
        <v>76.81</v>
      </c>
      <c r="BW32" s="35">
        <v>76.709999999999994</v>
      </c>
      <c r="BX32" s="24">
        <f t="shared" si="13"/>
        <v>76.8</v>
      </c>
      <c r="BY32" t="s">
        <v>1252</v>
      </c>
      <c r="BZ32" t="s">
        <v>1252</v>
      </c>
      <c r="CA32" t="s">
        <v>1252</v>
      </c>
      <c r="CB32" s="100">
        <v>43229</v>
      </c>
      <c r="CE32" s="12">
        <v>0.2</v>
      </c>
      <c r="CF32" s="35" t="s">
        <v>1253</v>
      </c>
      <c r="CG32" s="9" t="s">
        <v>1253</v>
      </c>
    </row>
    <row r="33" spans="1:86" x14ac:dyDescent="0.25">
      <c r="A33" t="s">
        <v>1324</v>
      </c>
      <c r="B33" t="s">
        <v>49</v>
      </c>
      <c r="C33" s="15">
        <v>15</v>
      </c>
      <c r="D33">
        <v>1700</v>
      </c>
      <c r="E33" s="15" t="s">
        <v>379</v>
      </c>
      <c r="F33" s="100">
        <v>43229</v>
      </c>
      <c r="G33" t="s">
        <v>1325</v>
      </c>
      <c r="H33" s="9" t="s">
        <v>1111</v>
      </c>
      <c r="I33" s="10">
        <v>1</v>
      </c>
      <c r="J33" s="10" t="s">
        <v>50</v>
      </c>
      <c r="K33">
        <v>506</v>
      </c>
      <c r="L33">
        <v>90</v>
      </c>
      <c r="M33" s="9">
        <f t="shared" si="0"/>
        <v>416</v>
      </c>
      <c r="N33" s="35">
        <v>185</v>
      </c>
      <c r="O33" s="35">
        <v>186</v>
      </c>
      <c r="P33" s="35">
        <v>186</v>
      </c>
      <c r="Q33" s="24">
        <f t="shared" si="1"/>
        <v>185.66666666666666</v>
      </c>
      <c r="R33" s="35">
        <v>243</v>
      </c>
      <c r="S33" s="35">
        <v>243</v>
      </c>
      <c r="T33" s="35">
        <v>243</v>
      </c>
      <c r="U33" s="24">
        <f t="shared" si="2"/>
        <v>243</v>
      </c>
      <c r="V33" s="35">
        <v>12.74</v>
      </c>
      <c r="W33" s="35">
        <v>12.96</v>
      </c>
      <c r="X33" s="35">
        <v>12.2</v>
      </c>
      <c r="Y33" s="24">
        <f t="shared" si="3"/>
        <v>12.633333333333335</v>
      </c>
      <c r="Z33" s="35">
        <v>33.340000000000003</v>
      </c>
      <c r="AA33" s="35">
        <v>33.340000000000003</v>
      </c>
      <c r="AB33" s="35">
        <v>33.1</v>
      </c>
      <c r="AC33" s="24">
        <f t="shared" si="4"/>
        <v>33.26</v>
      </c>
      <c r="AD33" s="35">
        <v>42.03</v>
      </c>
      <c r="AE33" s="35">
        <v>42.21</v>
      </c>
      <c r="AF33" s="35">
        <v>42.36</v>
      </c>
      <c r="AG33" s="24">
        <f t="shared" si="5"/>
        <v>42.2</v>
      </c>
      <c r="AH33" s="35">
        <v>64.040000000000006</v>
      </c>
      <c r="AI33" s="35">
        <v>64.2</v>
      </c>
      <c r="AJ33" s="35">
        <v>64.34</v>
      </c>
      <c r="AK33" s="24">
        <f t="shared" si="6"/>
        <v>64.193333333333342</v>
      </c>
      <c r="AL33" s="35">
        <v>17.72</v>
      </c>
      <c r="AM33" s="35">
        <v>17.82</v>
      </c>
      <c r="AN33" s="35">
        <v>17.55</v>
      </c>
      <c r="AO33" s="9">
        <f>(AL33+AM33+AN33)/3</f>
        <v>17.696666666666669</v>
      </c>
      <c r="AP33" s="35">
        <v>26.03</v>
      </c>
      <c r="AQ33" s="35">
        <v>25.28</v>
      </c>
      <c r="AR33" s="35">
        <v>25.15</v>
      </c>
      <c r="AS33" s="9">
        <f>(AP33+AR33+AQ33)/3</f>
        <v>25.486666666666668</v>
      </c>
      <c r="AW33" s="35">
        <v>33.049999999999997</v>
      </c>
      <c r="AX33" s="35">
        <v>33.22</v>
      </c>
      <c r="AY33" s="35">
        <v>33.35</v>
      </c>
      <c r="AZ33" s="24">
        <f t="shared" si="7"/>
        <v>33.206666666666671</v>
      </c>
      <c r="BA33" s="35">
        <v>41.82</v>
      </c>
      <c r="BB33" s="35">
        <v>41.99</v>
      </c>
      <c r="BC33" s="35">
        <v>41.85</v>
      </c>
      <c r="BD33" s="24">
        <f t="shared" si="8"/>
        <v>41.886666666666663</v>
      </c>
      <c r="BE33" s="35">
        <v>66.58</v>
      </c>
      <c r="BF33" s="35">
        <v>66.349999999999994</v>
      </c>
      <c r="BG33" s="35">
        <v>66.41</v>
      </c>
      <c r="BH33" s="24">
        <f t="shared" si="9"/>
        <v>66.446666666666673</v>
      </c>
      <c r="BI33" s="35">
        <v>49.55</v>
      </c>
      <c r="BJ33" s="35">
        <v>49.35</v>
      </c>
      <c r="BK33" s="35">
        <v>49.28</v>
      </c>
      <c r="BL33" s="24">
        <f t="shared" si="10"/>
        <v>49.393333333333338</v>
      </c>
      <c r="BM33" s="35">
        <v>50.56</v>
      </c>
      <c r="BN33" s="35">
        <v>50.38</v>
      </c>
      <c r="BO33" s="35">
        <v>49.96</v>
      </c>
      <c r="BP33" s="24">
        <f t="shared" si="11"/>
        <v>50.300000000000004</v>
      </c>
      <c r="BQ33" s="35">
        <v>37.18</v>
      </c>
      <c r="BR33" s="35">
        <v>37.4</v>
      </c>
      <c r="BS33" s="35">
        <v>37.119999999999997</v>
      </c>
      <c r="BT33" s="24">
        <f t="shared" si="12"/>
        <v>37.233333333333327</v>
      </c>
      <c r="BU33" s="35">
        <v>70.52</v>
      </c>
      <c r="BV33" s="35">
        <v>70.64</v>
      </c>
      <c r="BW33" s="35">
        <v>70.08</v>
      </c>
      <c r="BX33" s="24">
        <f t="shared" si="13"/>
        <v>70.413333333333341</v>
      </c>
      <c r="BY33" t="s">
        <v>1252</v>
      </c>
      <c r="BZ33" t="s">
        <v>1252</v>
      </c>
      <c r="CA33" t="s">
        <v>1252</v>
      </c>
      <c r="CB33" s="100">
        <v>43229</v>
      </c>
      <c r="CC33" s="100">
        <v>42134</v>
      </c>
      <c r="CE33" s="12">
        <v>0.5</v>
      </c>
      <c r="CF33" s="35" t="s">
        <v>1253</v>
      </c>
      <c r="CG33" s="9" t="s">
        <v>1253</v>
      </c>
    </row>
    <row r="34" spans="1:86" x14ac:dyDescent="0.25">
      <c r="A34" t="s">
        <v>1326</v>
      </c>
      <c r="B34" t="s">
        <v>49</v>
      </c>
      <c r="C34" s="15">
        <v>16</v>
      </c>
      <c r="D34">
        <v>1695</v>
      </c>
      <c r="E34" s="15" t="s">
        <v>379</v>
      </c>
      <c r="F34" s="100">
        <v>43229</v>
      </c>
      <c r="G34" t="s">
        <v>1327</v>
      </c>
      <c r="H34" s="9" t="s">
        <v>1111</v>
      </c>
      <c r="I34" s="10">
        <v>1</v>
      </c>
      <c r="J34" s="10" t="s">
        <v>50</v>
      </c>
      <c r="K34">
        <v>763</v>
      </c>
      <c r="L34">
        <v>92</v>
      </c>
      <c r="M34" s="9">
        <f t="shared" si="0"/>
        <v>671</v>
      </c>
      <c r="N34" s="35">
        <v>210</v>
      </c>
      <c r="O34" s="35">
        <v>211</v>
      </c>
      <c r="P34" s="35">
        <v>211</v>
      </c>
      <c r="Q34" s="24">
        <f t="shared" si="1"/>
        <v>210.66666666666666</v>
      </c>
      <c r="R34" s="35">
        <v>250</v>
      </c>
      <c r="S34" s="35">
        <v>250</v>
      </c>
      <c r="T34" s="35">
        <v>251</v>
      </c>
      <c r="U34" s="24">
        <f t="shared" si="2"/>
        <v>250.33333333333334</v>
      </c>
      <c r="V34" s="35">
        <v>17.600000000000001</v>
      </c>
      <c r="W34" s="35">
        <v>17.55</v>
      </c>
      <c r="X34" s="35">
        <v>17.28</v>
      </c>
      <c r="Y34" s="24">
        <f t="shared" si="3"/>
        <v>17.47666666666667</v>
      </c>
      <c r="Z34" s="35">
        <v>35.19</v>
      </c>
      <c r="AA34" s="35">
        <v>35.65</v>
      </c>
      <c r="AB34" s="35">
        <v>35.299999999999997</v>
      </c>
      <c r="AC34" s="24">
        <f t="shared" si="4"/>
        <v>35.380000000000003</v>
      </c>
      <c r="AD34" s="254">
        <v>44.49</v>
      </c>
      <c r="AE34" s="35">
        <v>44.61</v>
      </c>
      <c r="AF34" s="35">
        <v>44.48</v>
      </c>
      <c r="AG34" s="24">
        <f t="shared" si="5"/>
        <v>44.526666666666664</v>
      </c>
      <c r="AH34" s="35">
        <v>71.03</v>
      </c>
      <c r="AI34" s="35">
        <v>71.209999999999994</v>
      </c>
      <c r="AJ34" s="35">
        <v>71.14</v>
      </c>
      <c r="AK34" s="24">
        <f t="shared" si="6"/>
        <v>71.126666666666665</v>
      </c>
      <c r="AL34" s="35">
        <v>19.37</v>
      </c>
      <c r="AM34" s="35">
        <v>19.54</v>
      </c>
      <c r="AN34" s="35">
        <v>19.82</v>
      </c>
      <c r="AO34" s="9">
        <f>(AL34+AM34+AN34)/3</f>
        <v>19.576666666666664</v>
      </c>
      <c r="AP34" s="35">
        <v>26.62</v>
      </c>
      <c r="AQ34" s="35">
        <v>26.6</v>
      </c>
      <c r="AR34" s="35">
        <v>26.33</v>
      </c>
      <c r="AS34" s="9">
        <f>(AP34+AR34+AQ34)/3</f>
        <v>26.516666666666669</v>
      </c>
      <c r="AW34" s="35">
        <v>35.65</v>
      </c>
      <c r="AX34" s="35">
        <v>35.49</v>
      </c>
      <c r="AY34" s="35">
        <v>35.35</v>
      </c>
      <c r="AZ34" s="24">
        <f t="shared" si="7"/>
        <v>35.49666666666667</v>
      </c>
      <c r="BA34" s="35">
        <v>45.53</v>
      </c>
      <c r="BB34" s="35">
        <v>45.04</v>
      </c>
      <c r="BC34" s="35">
        <v>45.05</v>
      </c>
      <c r="BD34" s="24">
        <f t="shared" si="8"/>
        <v>45.206666666666671</v>
      </c>
      <c r="BE34" s="35">
        <v>70.61</v>
      </c>
      <c r="BF34" s="12">
        <v>70.78</v>
      </c>
      <c r="BG34" s="35">
        <v>70.8</v>
      </c>
      <c r="BH34" s="24">
        <f t="shared" si="9"/>
        <v>70.73</v>
      </c>
      <c r="BI34" s="35">
        <v>55.68</v>
      </c>
      <c r="BJ34" s="35">
        <v>55.71</v>
      </c>
      <c r="BK34" s="35">
        <v>55.78</v>
      </c>
      <c r="BL34" s="24">
        <f t="shared" si="10"/>
        <v>55.723333333333336</v>
      </c>
      <c r="BM34" s="35">
        <v>55.13</v>
      </c>
      <c r="BN34" s="35">
        <v>55.16</v>
      </c>
      <c r="BO34" s="35">
        <v>55.12</v>
      </c>
      <c r="BP34" s="24">
        <f t="shared" si="11"/>
        <v>55.136666666666663</v>
      </c>
      <c r="BQ34" s="35">
        <v>39.93</v>
      </c>
      <c r="BR34" s="35">
        <v>40.020000000000003</v>
      </c>
      <c r="BS34" s="35">
        <v>40.15</v>
      </c>
      <c r="BT34" s="24">
        <f t="shared" si="12"/>
        <v>40.033333333333331</v>
      </c>
      <c r="BU34" s="35">
        <v>75.83</v>
      </c>
      <c r="BV34" s="35">
        <v>75.73</v>
      </c>
      <c r="BW34" s="35">
        <v>75.81</v>
      </c>
      <c r="BX34" s="24">
        <f t="shared" si="13"/>
        <v>75.790000000000006</v>
      </c>
      <c r="BY34" t="s">
        <v>1252</v>
      </c>
      <c r="BZ34" t="s">
        <v>1252</v>
      </c>
      <c r="CA34" t="s">
        <v>1252</v>
      </c>
      <c r="CB34" s="100">
        <v>43229</v>
      </c>
      <c r="CE34" s="12">
        <v>0</v>
      </c>
      <c r="CF34" s="35" t="s">
        <v>1253</v>
      </c>
      <c r="CG34" s="9" t="s">
        <v>1253</v>
      </c>
      <c r="CH34" s="35" t="s">
        <v>1328</v>
      </c>
    </row>
    <row r="35" spans="1:86" x14ac:dyDescent="0.25">
      <c r="A35" s="255" t="s">
        <v>1329</v>
      </c>
      <c r="B35" s="255" t="s">
        <v>207</v>
      </c>
      <c r="C35" s="15" t="s">
        <v>379</v>
      </c>
      <c r="D35" s="12">
        <v>1498</v>
      </c>
      <c r="E35" s="256" t="s">
        <v>1330</v>
      </c>
      <c r="F35" s="257">
        <v>43229</v>
      </c>
      <c r="G35" s="255" t="s">
        <v>538</v>
      </c>
      <c r="H35" s="9" t="s">
        <v>1108</v>
      </c>
      <c r="I35" s="10">
        <v>1</v>
      </c>
      <c r="J35" s="258" t="s">
        <v>64</v>
      </c>
      <c r="K35">
        <v>323</v>
      </c>
      <c r="L35">
        <v>92</v>
      </c>
      <c r="M35" s="9">
        <f t="shared" si="0"/>
        <v>231</v>
      </c>
      <c r="N35" s="35">
        <v>153</v>
      </c>
      <c r="O35" s="35">
        <v>152</v>
      </c>
      <c r="P35" s="35">
        <v>152</v>
      </c>
      <c r="Q35" s="24">
        <f t="shared" si="1"/>
        <v>152.33333333333334</v>
      </c>
      <c r="R35" s="35">
        <v>191</v>
      </c>
      <c r="S35" s="35">
        <v>191</v>
      </c>
      <c r="T35" s="35">
        <v>192</v>
      </c>
      <c r="U35" s="24">
        <f t="shared" si="2"/>
        <v>191.33333333333334</v>
      </c>
      <c r="V35" s="35">
        <v>12.07</v>
      </c>
      <c r="W35" s="35">
        <v>11.71</v>
      </c>
      <c r="X35" s="35">
        <v>11.78</v>
      </c>
      <c r="Y35" s="24">
        <f t="shared" si="3"/>
        <v>11.853333333333333</v>
      </c>
      <c r="Z35" s="35">
        <v>28.34</v>
      </c>
      <c r="AA35" s="35">
        <v>28.49</v>
      </c>
      <c r="AB35" s="35">
        <v>28.37</v>
      </c>
      <c r="AC35" s="24">
        <f t="shared" si="4"/>
        <v>28.400000000000002</v>
      </c>
      <c r="AD35" s="35">
        <v>37.49</v>
      </c>
      <c r="AE35" s="35">
        <v>37.53</v>
      </c>
      <c r="AF35" s="35">
        <v>37.479999999999997</v>
      </c>
      <c r="AG35" s="24">
        <f t="shared" si="5"/>
        <v>37.5</v>
      </c>
      <c r="AH35" s="35">
        <v>55.88</v>
      </c>
      <c r="AI35" s="35">
        <v>55.68</v>
      </c>
      <c r="AJ35" s="35">
        <v>55.26</v>
      </c>
      <c r="AK35" s="24">
        <f t="shared" si="6"/>
        <v>55.606666666666662</v>
      </c>
      <c r="AT35" s="10" t="s">
        <v>1258</v>
      </c>
      <c r="AU35">
        <v>8</v>
      </c>
      <c r="AV35" s="9">
        <v>0</v>
      </c>
      <c r="AW35" s="35">
        <v>28.88</v>
      </c>
      <c r="AX35" s="35">
        <v>28.37</v>
      </c>
      <c r="AY35" s="35">
        <v>28.22</v>
      </c>
      <c r="AZ35" s="24">
        <f t="shared" si="7"/>
        <v>28.49</v>
      </c>
      <c r="BA35" s="35">
        <v>37.229999999999997</v>
      </c>
      <c r="BB35" s="35">
        <v>37.68</v>
      </c>
      <c r="BC35" s="35">
        <v>37.31</v>
      </c>
      <c r="BD35" s="24">
        <f t="shared" si="8"/>
        <v>37.406666666666666</v>
      </c>
      <c r="BE35" s="35">
        <v>56.62</v>
      </c>
      <c r="BF35" s="35">
        <v>56.58</v>
      </c>
      <c r="BG35" s="35">
        <v>56.77</v>
      </c>
      <c r="BH35" s="24">
        <f t="shared" si="9"/>
        <v>56.656666666666666</v>
      </c>
      <c r="BI35" s="35">
        <v>43.07</v>
      </c>
      <c r="BJ35">
        <v>43.23</v>
      </c>
      <c r="BK35" s="35">
        <v>43.09</v>
      </c>
      <c r="BL35" s="24">
        <f t="shared" si="10"/>
        <v>43.129999999999995</v>
      </c>
      <c r="BM35" s="35">
        <v>43.04</v>
      </c>
      <c r="BN35" s="35">
        <v>43.16</v>
      </c>
      <c r="BO35" s="35">
        <v>43.62</v>
      </c>
      <c r="BP35" s="24">
        <f t="shared" si="11"/>
        <v>43.273333333333333</v>
      </c>
      <c r="BQ35" s="35">
        <v>30.94</v>
      </c>
      <c r="BR35" s="35">
        <v>30.97</v>
      </c>
      <c r="BS35" s="35">
        <v>30.9</v>
      </c>
      <c r="BT35" s="24">
        <f t="shared" si="12"/>
        <v>30.936666666666667</v>
      </c>
      <c r="BU35" s="35">
        <v>61.48</v>
      </c>
      <c r="BV35" s="35">
        <v>61.18</v>
      </c>
      <c r="BW35" s="35">
        <v>61.77</v>
      </c>
      <c r="BX35" s="24">
        <f t="shared" si="13"/>
        <v>61.476666666666667</v>
      </c>
      <c r="BY35" t="s">
        <v>1252</v>
      </c>
      <c r="BZ35" t="s">
        <v>1264</v>
      </c>
      <c r="CA35" t="s">
        <v>1252</v>
      </c>
      <c r="CB35" t="s">
        <v>1264</v>
      </c>
      <c r="CE35" s="12" t="s">
        <v>1253</v>
      </c>
      <c r="CF35" s="35" t="s">
        <v>1253</v>
      </c>
      <c r="CG35" s="9" t="s">
        <v>1253</v>
      </c>
      <c r="CH35" s="35" t="s">
        <v>1274</v>
      </c>
    </row>
    <row r="36" spans="1:86" x14ac:dyDescent="0.25">
      <c r="A36" t="s">
        <v>1331</v>
      </c>
      <c r="B36" t="s">
        <v>207</v>
      </c>
      <c r="C36" s="15" t="s">
        <v>379</v>
      </c>
      <c r="D36" s="12">
        <v>1061</v>
      </c>
      <c r="E36" s="259" t="s">
        <v>1332</v>
      </c>
      <c r="F36" s="257">
        <v>43229</v>
      </c>
      <c r="G36" t="s">
        <v>234</v>
      </c>
      <c r="H36" s="9" t="s">
        <v>1108</v>
      </c>
      <c r="I36" s="10">
        <v>2</v>
      </c>
      <c r="J36" s="10" t="s">
        <v>64</v>
      </c>
      <c r="K36">
        <v>437</v>
      </c>
      <c r="L36">
        <v>91</v>
      </c>
      <c r="M36" s="9">
        <f t="shared" si="0"/>
        <v>346</v>
      </c>
      <c r="N36" s="35">
        <v>164</v>
      </c>
      <c r="O36" s="35">
        <v>164</v>
      </c>
      <c r="P36" s="35">
        <v>165</v>
      </c>
      <c r="Q36" s="24">
        <f t="shared" si="1"/>
        <v>164.33333333333334</v>
      </c>
      <c r="R36" s="35">
        <v>224</v>
      </c>
      <c r="S36" s="35">
        <v>223</v>
      </c>
      <c r="T36" s="35">
        <v>224</v>
      </c>
      <c r="U36" s="24">
        <f t="shared" si="2"/>
        <v>223.66666666666666</v>
      </c>
      <c r="V36" s="35">
        <v>15.15</v>
      </c>
      <c r="W36" s="35">
        <v>15.14</v>
      </c>
      <c r="X36" s="35">
        <v>15.35</v>
      </c>
      <c r="Y36" s="24">
        <f t="shared" si="3"/>
        <v>15.213333333333333</v>
      </c>
      <c r="Z36" s="35">
        <v>30.26</v>
      </c>
      <c r="AA36" s="35">
        <v>30.24</v>
      </c>
      <c r="AB36" s="35">
        <v>30.3</v>
      </c>
      <c r="AC36" s="24">
        <f t="shared" si="4"/>
        <v>30.266666666666666</v>
      </c>
      <c r="AD36" s="35">
        <v>39.53</v>
      </c>
      <c r="AE36" s="35">
        <v>39.47</v>
      </c>
      <c r="AF36" s="35">
        <v>39.340000000000003</v>
      </c>
      <c r="AG36" s="24">
        <f t="shared" si="5"/>
        <v>39.446666666666665</v>
      </c>
      <c r="AH36" s="35">
        <v>60.7</v>
      </c>
      <c r="AI36" s="35">
        <v>60.75</v>
      </c>
      <c r="AJ36" s="35">
        <v>60.7</v>
      </c>
      <c r="AK36" s="24">
        <f t="shared" si="6"/>
        <v>60.716666666666669</v>
      </c>
      <c r="AT36" s="10" t="s">
        <v>1251</v>
      </c>
      <c r="AU36">
        <v>8</v>
      </c>
      <c r="AV36" s="9">
        <v>8</v>
      </c>
      <c r="AW36" s="12">
        <v>30.13</v>
      </c>
      <c r="AX36" s="35">
        <v>30.27</v>
      </c>
      <c r="AY36" s="35">
        <v>30.41</v>
      </c>
      <c r="AZ36" s="24">
        <f t="shared" si="7"/>
        <v>30.27</v>
      </c>
      <c r="BA36" s="35">
        <v>39.22</v>
      </c>
      <c r="BB36" s="35">
        <v>39.25</v>
      </c>
      <c r="BC36" s="35">
        <v>39.53</v>
      </c>
      <c r="BD36" s="24">
        <f t="shared" si="8"/>
        <v>39.333333333333336</v>
      </c>
      <c r="BE36" s="35">
        <v>60.89</v>
      </c>
      <c r="BF36" s="35">
        <v>60.98</v>
      </c>
      <c r="BG36" s="35">
        <v>60.9</v>
      </c>
      <c r="BH36" s="24">
        <f t="shared" si="9"/>
        <v>60.923333333333339</v>
      </c>
      <c r="BI36" s="35">
        <v>47.72</v>
      </c>
      <c r="BJ36" s="35">
        <v>47.72</v>
      </c>
      <c r="BK36" s="35">
        <v>47.74</v>
      </c>
      <c r="BL36" s="24">
        <f t="shared" si="10"/>
        <v>47.726666666666667</v>
      </c>
      <c r="BM36" s="35">
        <v>47.79</v>
      </c>
      <c r="BN36" s="35">
        <v>47.76</v>
      </c>
      <c r="BO36" s="35">
        <v>47.87</v>
      </c>
      <c r="BP36" s="24">
        <f t="shared" si="11"/>
        <v>47.806666666666665</v>
      </c>
      <c r="BQ36" s="35">
        <v>35.11</v>
      </c>
      <c r="BR36" s="35">
        <v>34.950000000000003</v>
      </c>
      <c r="BS36" s="35">
        <v>35.479999999999997</v>
      </c>
      <c r="BT36" s="24">
        <f t="shared" si="12"/>
        <v>35.18</v>
      </c>
      <c r="BU36" s="35">
        <v>66.13</v>
      </c>
      <c r="BV36" s="35">
        <v>66.2</v>
      </c>
      <c r="BW36" s="35">
        <v>66.13</v>
      </c>
      <c r="BX36" s="24">
        <f t="shared" si="13"/>
        <v>66.153333333333322</v>
      </c>
      <c r="BY36" t="s">
        <v>1252</v>
      </c>
      <c r="BZ36" t="s">
        <v>1264</v>
      </c>
      <c r="CA36" t="s">
        <v>1252</v>
      </c>
      <c r="CB36" t="s">
        <v>1264</v>
      </c>
      <c r="CE36" s="12" t="s">
        <v>1253</v>
      </c>
      <c r="CF36" s="35" t="s">
        <v>1253</v>
      </c>
      <c r="CG36" s="9" t="s">
        <v>1253</v>
      </c>
      <c r="CH36" s="35" t="s">
        <v>1274</v>
      </c>
    </row>
    <row r="37" spans="1:86" x14ac:dyDescent="0.25">
      <c r="A37" t="s">
        <v>1333</v>
      </c>
      <c r="B37" t="s">
        <v>49</v>
      </c>
      <c r="C37" s="15">
        <v>17</v>
      </c>
      <c r="D37" s="35">
        <v>1683</v>
      </c>
      <c r="E37" s="15" t="s">
        <v>379</v>
      </c>
      <c r="F37" s="100">
        <v>43230</v>
      </c>
      <c r="G37" t="s">
        <v>1334</v>
      </c>
      <c r="H37" s="9" t="s">
        <v>1111</v>
      </c>
      <c r="I37" s="10">
        <v>1</v>
      </c>
      <c r="J37" s="10" t="s">
        <v>50</v>
      </c>
      <c r="K37">
        <v>576</v>
      </c>
      <c r="L37">
        <v>92</v>
      </c>
      <c r="M37" s="9">
        <f t="shared" si="0"/>
        <v>484</v>
      </c>
      <c r="N37" s="35">
        <v>187</v>
      </c>
      <c r="O37" s="35">
        <v>187</v>
      </c>
      <c r="P37" s="35">
        <v>187</v>
      </c>
      <c r="Q37" s="24">
        <f t="shared" si="1"/>
        <v>187</v>
      </c>
      <c r="R37" s="35">
        <v>243</v>
      </c>
      <c r="S37" s="35">
        <v>243</v>
      </c>
      <c r="T37" s="35">
        <v>245</v>
      </c>
      <c r="U37" s="24">
        <f t="shared" si="2"/>
        <v>243.66666666666666</v>
      </c>
      <c r="V37" s="35">
        <v>13.78</v>
      </c>
      <c r="W37" s="35">
        <v>13.82</v>
      </c>
      <c r="X37" s="35">
        <v>13.63</v>
      </c>
      <c r="Y37" s="24">
        <f t="shared" si="3"/>
        <v>13.743333333333334</v>
      </c>
      <c r="Z37" s="35">
        <v>33.729999999999997</v>
      </c>
      <c r="AA37" s="35">
        <v>33.869999999999997</v>
      </c>
      <c r="AB37" s="35">
        <v>33.78</v>
      </c>
      <c r="AC37" s="24">
        <f t="shared" si="4"/>
        <v>33.793333333333329</v>
      </c>
      <c r="AD37" s="35">
        <v>43.5</v>
      </c>
      <c r="AE37" s="35">
        <v>43.62</v>
      </c>
      <c r="AF37" s="35">
        <v>43.54</v>
      </c>
      <c r="AG37" s="24">
        <f t="shared" si="5"/>
        <v>43.553333333333335</v>
      </c>
      <c r="AH37" s="35">
        <v>67.44</v>
      </c>
      <c r="AI37" s="35">
        <v>67.28</v>
      </c>
      <c r="AJ37" s="35">
        <v>67.209999999999994</v>
      </c>
      <c r="AK37" s="24">
        <f t="shared" si="6"/>
        <v>67.31</v>
      </c>
      <c r="AL37" s="35">
        <v>17.510000000000002</v>
      </c>
      <c r="AM37" s="35">
        <v>16.86</v>
      </c>
      <c r="AN37" s="35">
        <v>17.329999999999998</v>
      </c>
      <c r="AO37" s="9">
        <f>(AL37+AM37+AN37)/3</f>
        <v>17.233333333333334</v>
      </c>
      <c r="AP37" s="35">
        <v>24.69</v>
      </c>
      <c r="AQ37" s="35">
        <v>24.4</v>
      </c>
      <c r="AR37" s="35">
        <v>24.67</v>
      </c>
      <c r="AS37" s="9">
        <f>(AP37+AR37+AQ37)/3</f>
        <v>24.586666666666662</v>
      </c>
      <c r="AW37" s="35">
        <v>33.86</v>
      </c>
      <c r="AX37" s="35">
        <v>33.79</v>
      </c>
      <c r="AY37" s="35">
        <v>33.880000000000003</v>
      </c>
      <c r="AZ37" s="24">
        <f t="shared" si="7"/>
        <v>33.843333333333334</v>
      </c>
      <c r="BA37" s="35">
        <v>40.32</v>
      </c>
      <c r="BB37" s="35">
        <v>40.31</v>
      </c>
      <c r="BC37" s="35">
        <v>40.32</v>
      </c>
      <c r="BD37" s="24">
        <f t="shared" si="8"/>
        <v>40.316666666666663</v>
      </c>
      <c r="BE37" s="35">
        <v>67.92</v>
      </c>
      <c r="BF37" s="35">
        <v>67.66</v>
      </c>
      <c r="BG37" s="35">
        <v>66.48</v>
      </c>
      <c r="BH37" s="24">
        <f t="shared" si="9"/>
        <v>67.353333333333339</v>
      </c>
      <c r="BI37" s="35">
        <v>53.17</v>
      </c>
      <c r="BJ37" s="35">
        <v>53.15</v>
      </c>
      <c r="BK37" s="35">
        <v>53.21</v>
      </c>
      <c r="BL37" s="24">
        <f t="shared" si="10"/>
        <v>53.176666666666669</v>
      </c>
      <c r="BM37" s="35">
        <v>53.24</v>
      </c>
      <c r="BN37" s="35">
        <v>53.21</v>
      </c>
      <c r="BO37" s="35">
        <v>53</v>
      </c>
      <c r="BP37" s="24">
        <f t="shared" si="11"/>
        <v>53.15</v>
      </c>
      <c r="BQ37" s="35">
        <v>37.869999999999997</v>
      </c>
      <c r="BR37" s="35">
        <v>37.97</v>
      </c>
      <c r="BS37" s="35">
        <v>37.92</v>
      </c>
      <c r="BT37" s="24">
        <f t="shared" si="12"/>
        <v>37.92</v>
      </c>
      <c r="BU37" s="35">
        <v>74.06</v>
      </c>
      <c r="BV37" s="35">
        <v>74.23</v>
      </c>
      <c r="BW37" s="35">
        <v>74.239999999999995</v>
      </c>
      <c r="BX37" s="24">
        <f t="shared" si="13"/>
        <v>74.176666666666677</v>
      </c>
      <c r="BY37" t="s">
        <v>1252</v>
      </c>
      <c r="BZ37" t="s">
        <v>1252</v>
      </c>
      <c r="CA37" t="s">
        <v>1252</v>
      </c>
      <c r="CB37" s="100">
        <v>43230</v>
      </c>
      <c r="CE37" s="12">
        <v>0.15</v>
      </c>
    </row>
    <row r="38" spans="1:86" x14ac:dyDescent="0.25">
      <c r="A38" s="255" t="s">
        <v>1335</v>
      </c>
      <c r="B38" s="255" t="s">
        <v>49</v>
      </c>
      <c r="C38" s="15">
        <v>18</v>
      </c>
      <c r="D38" s="35">
        <v>1699</v>
      </c>
      <c r="E38" s="15" t="s">
        <v>379</v>
      </c>
      <c r="F38" s="100">
        <v>43230</v>
      </c>
      <c r="G38" s="257" t="s">
        <v>1336</v>
      </c>
      <c r="H38" s="9" t="s">
        <v>1111</v>
      </c>
      <c r="I38" s="10">
        <v>1</v>
      </c>
      <c r="J38" s="10" t="s">
        <v>50</v>
      </c>
      <c r="K38">
        <v>598</v>
      </c>
      <c r="L38">
        <v>92</v>
      </c>
      <c r="M38" s="9">
        <f t="shared" si="0"/>
        <v>506</v>
      </c>
      <c r="N38" s="35">
        <v>185</v>
      </c>
      <c r="O38" s="35">
        <v>185</v>
      </c>
      <c r="P38" s="35">
        <v>185</v>
      </c>
      <c r="Q38" s="24">
        <f t="shared" si="1"/>
        <v>185</v>
      </c>
      <c r="R38" s="35">
        <v>230</v>
      </c>
      <c r="S38" s="35">
        <v>230</v>
      </c>
      <c r="T38" s="35">
        <v>230</v>
      </c>
      <c r="U38" s="24">
        <f t="shared" si="2"/>
        <v>230</v>
      </c>
      <c r="V38" s="35">
        <v>14.26</v>
      </c>
      <c r="W38" s="35">
        <v>14.15</v>
      </c>
      <c r="X38" s="35">
        <v>14.52</v>
      </c>
      <c r="Y38" s="24">
        <f t="shared" si="3"/>
        <v>14.31</v>
      </c>
      <c r="Z38" s="35">
        <v>33.18</v>
      </c>
      <c r="AA38" s="35">
        <v>33.590000000000003</v>
      </c>
      <c r="AB38" s="35">
        <v>33.19</v>
      </c>
      <c r="AC38" s="24">
        <f t="shared" si="4"/>
        <v>33.32</v>
      </c>
      <c r="AD38" s="35">
        <v>43.01</v>
      </c>
      <c r="AE38" s="35">
        <v>43.32</v>
      </c>
      <c r="AF38" s="35">
        <v>43.22</v>
      </c>
      <c r="AG38" s="24">
        <f t="shared" si="5"/>
        <v>43.183333333333337</v>
      </c>
      <c r="AH38" s="35">
        <v>68.099999999999994</v>
      </c>
      <c r="AI38" s="35">
        <v>68.37</v>
      </c>
      <c r="AJ38" s="35">
        <v>68.23</v>
      </c>
      <c r="AK38" s="24">
        <f t="shared" si="6"/>
        <v>68.233333333333334</v>
      </c>
      <c r="AL38" s="35">
        <v>18.760000000000002</v>
      </c>
      <c r="AM38" s="35">
        <v>18.260000000000002</v>
      </c>
      <c r="AN38" s="35">
        <v>18.27</v>
      </c>
      <c r="AO38" s="9">
        <f>(AL38+AM38+AN38)/3</f>
        <v>18.430000000000003</v>
      </c>
      <c r="AP38" s="35">
        <v>24.88</v>
      </c>
      <c r="AQ38" s="35">
        <v>24.85</v>
      </c>
      <c r="AR38" s="35">
        <v>24.78</v>
      </c>
      <c r="AS38" s="9">
        <f>(AP38+AR38+AQ38)/3</f>
        <v>24.836666666666662</v>
      </c>
      <c r="AW38" s="35">
        <v>33.94</v>
      </c>
      <c r="AX38" s="35">
        <v>33.479999999999997</v>
      </c>
      <c r="AY38" s="35">
        <v>33.92</v>
      </c>
      <c r="AZ38" s="24">
        <f t="shared" si="7"/>
        <v>33.779999999999994</v>
      </c>
      <c r="BA38" s="35">
        <v>43.27</v>
      </c>
      <c r="BB38" s="35">
        <v>43.2</v>
      </c>
      <c r="BC38" s="35">
        <v>43.18</v>
      </c>
      <c r="BD38" s="24">
        <f t="shared" si="8"/>
        <v>43.216666666666669</v>
      </c>
      <c r="BE38" s="35">
        <v>69.05</v>
      </c>
      <c r="BF38" s="35">
        <v>69.16</v>
      </c>
      <c r="BG38" s="35">
        <v>69.34</v>
      </c>
      <c r="BH38" s="24">
        <f t="shared" si="9"/>
        <v>69.183333333333323</v>
      </c>
      <c r="BI38" s="35">
        <v>54.17</v>
      </c>
      <c r="BJ38" s="35">
        <v>54.11</v>
      </c>
      <c r="BK38" s="35">
        <v>54.16</v>
      </c>
      <c r="BL38" s="24">
        <f t="shared" si="10"/>
        <v>54.146666666666668</v>
      </c>
      <c r="BM38" s="35">
        <v>53.5</v>
      </c>
      <c r="BN38" s="35">
        <v>53.73</v>
      </c>
      <c r="BO38" s="35">
        <v>53.9</v>
      </c>
      <c r="BP38" s="24">
        <f t="shared" si="11"/>
        <v>53.71</v>
      </c>
      <c r="BQ38" s="35">
        <v>37.53</v>
      </c>
      <c r="BR38" s="35">
        <v>37.78</v>
      </c>
      <c r="BS38" s="35">
        <v>37.659999999999997</v>
      </c>
      <c r="BT38" s="24">
        <f t="shared" si="12"/>
        <v>37.656666666666666</v>
      </c>
      <c r="BU38" s="35">
        <v>72.959999999999994</v>
      </c>
      <c r="BV38" s="35">
        <v>72.91</v>
      </c>
      <c r="BW38" s="35">
        <v>72.650000000000006</v>
      </c>
      <c r="BX38" s="24">
        <f t="shared" si="13"/>
        <v>72.84</v>
      </c>
      <c r="BY38" t="s">
        <v>1252</v>
      </c>
      <c r="BZ38" t="s">
        <v>1252</v>
      </c>
      <c r="CA38" t="s">
        <v>1252</v>
      </c>
      <c r="CB38" s="100">
        <v>43230</v>
      </c>
      <c r="CE38" s="175">
        <v>0.2</v>
      </c>
      <c r="CF38" s="175"/>
      <c r="CG38" s="171"/>
    </row>
    <row r="39" spans="1:86" x14ac:dyDescent="0.25">
      <c r="A39" t="s">
        <v>1337</v>
      </c>
      <c r="B39" t="s">
        <v>49</v>
      </c>
      <c r="C39" s="15">
        <v>19</v>
      </c>
      <c r="D39" s="35">
        <v>1684</v>
      </c>
      <c r="E39" s="15" t="s">
        <v>379</v>
      </c>
      <c r="F39" s="100">
        <v>43230</v>
      </c>
      <c r="G39" t="s">
        <v>1338</v>
      </c>
      <c r="H39" s="9" t="s">
        <v>1111</v>
      </c>
      <c r="I39" s="10">
        <v>1</v>
      </c>
      <c r="J39" s="10" t="s">
        <v>50</v>
      </c>
      <c r="K39">
        <v>575</v>
      </c>
      <c r="L39">
        <v>95</v>
      </c>
      <c r="M39" s="9">
        <f t="shared" si="0"/>
        <v>480</v>
      </c>
      <c r="N39" s="35">
        <v>192</v>
      </c>
      <c r="O39" s="35">
        <v>191</v>
      </c>
      <c r="P39" s="35">
        <v>192</v>
      </c>
      <c r="Q39" s="24">
        <f t="shared" si="1"/>
        <v>191.66666666666666</v>
      </c>
      <c r="R39" s="35">
        <v>250</v>
      </c>
      <c r="S39" s="35">
        <v>250</v>
      </c>
      <c r="T39" s="35">
        <v>249</v>
      </c>
      <c r="U39" s="24">
        <f t="shared" si="2"/>
        <v>249.66666666666666</v>
      </c>
      <c r="V39" s="35">
        <v>13.88</v>
      </c>
      <c r="W39" s="35">
        <v>13.91</v>
      </c>
      <c r="X39" s="35">
        <v>13.86</v>
      </c>
      <c r="Y39" s="24">
        <f t="shared" si="3"/>
        <v>13.883333333333333</v>
      </c>
      <c r="Z39" s="35">
        <v>32.56</v>
      </c>
      <c r="AA39" s="35">
        <v>32.54</v>
      </c>
      <c r="AB39" s="35">
        <v>32.57</v>
      </c>
      <c r="AC39" s="24">
        <f t="shared" si="4"/>
        <v>32.556666666666665</v>
      </c>
      <c r="AD39" s="35">
        <v>42.49</v>
      </c>
      <c r="AE39" s="35">
        <v>42.66</v>
      </c>
      <c r="AF39" s="35">
        <v>42.69</v>
      </c>
      <c r="AG39" s="24">
        <f t="shared" si="5"/>
        <v>42.613333333333337</v>
      </c>
      <c r="AH39" s="35">
        <v>66.989999999999995</v>
      </c>
      <c r="AI39" s="35">
        <v>66.900000000000006</v>
      </c>
      <c r="AJ39" s="35">
        <v>66.849999999999994</v>
      </c>
      <c r="AK39" s="24">
        <f t="shared" si="6"/>
        <v>66.913333333333327</v>
      </c>
      <c r="AL39" s="35">
        <v>16.03</v>
      </c>
      <c r="AM39" s="35">
        <v>16.350000000000001</v>
      </c>
      <c r="AN39" s="35">
        <v>16.22</v>
      </c>
      <c r="AO39" s="9">
        <f>(AL39+AM39+AN39)/3</f>
        <v>16.2</v>
      </c>
      <c r="AP39" s="35">
        <v>24.18</v>
      </c>
      <c r="AQ39" s="35">
        <v>24.81</v>
      </c>
      <c r="AR39" s="35">
        <v>24.88</v>
      </c>
      <c r="AS39" s="9">
        <f>(AP39+AR39+AQ39)/3</f>
        <v>24.623333333333335</v>
      </c>
      <c r="AW39" s="35">
        <v>33.79</v>
      </c>
      <c r="AX39" s="35">
        <v>33.369999999999997</v>
      </c>
      <c r="AY39" s="35">
        <v>33.65</v>
      </c>
      <c r="AZ39" s="24">
        <f t="shared" si="7"/>
        <v>33.603333333333332</v>
      </c>
      <c r="BA39" s="35">
        <v>42.39</v>
      </c>
      <c r="BB39" s="35">
        <v>42.13</v>
      </c>
      <c r="BC39" s="35">
        <v>42.04</v>
      </c>
      <c r="BD39" s="24">
        <f t="shared" si="8"/>
        <v>42.186666666666667</v>
      </c>
      <c r="BE39" s="35">
        <v>66.91</v>
      </c>
      <c r="BF39" s="35">
        <v>66.81</v>
      </c>
      <c r="BG39" s="35">
        <v>66.44</v>
      </c>
      <c r="BH39" s="24">
        <f t="shared" si="9"/>
        <v>66.72</v>
      </c>
      <c r="BI39" s="35">
        <v>53.74</v>
      </c>
      <c r="BJ39" s="35">
        <v>53.85</v>
      </c>
      <c r="BK39" s="35">
        <v>53.82</v>
      </c>
      <c r="BL39" s="24">
        <f t="shared" si="10"/>
        <v>53.803333333333335</v>
      </c>
      <c r="BM39" s="35">
        <v>53.27</v>
      </c>
      <c r="BN39" s="35">
        <v>53.23</v>
      </c>
      <c r="BO39" s="35">
        <v>53.44</v>
      </c>
      <c r="BP39" s="24">
        <f t="shared" si="11"/>
        <v>53.313333333333333</v>
      </c>
      <c r="BQ39" s="35">
        <v>39.380000000000003</v>
      </c>
      <c r="BR39" s="35">
        <v>39.36</v>
      </c>
      <c r="BS39" s="35">
        <v>39.619999999999997</v>
      </c>
      <c r="BT39" s="24">
        <f t="shared" si="12"/>
        <v>39.45333333333334</v>
      </c>
      <c r="BU39" s="35">
        <v>72.56</v>
      </c>
      <c r="BV39" s="35">
        <v>72</v>
      </c>
      <c r="BW39" s="35">
        <v>72.209999999999994</v>
      </c>
      <c r="BX39" s="24">
        <f t="shared" si="13"/>
        <v>72.256666666666661</v>
      </c>
      <c r="BY39" t="s">
        <v>1252</v>
      </c>
      <c r="BZ39" t="s">
        <v>1252</v>
      </c>
      <c r="CA39" t="s">
        <v>1252</v>
      </c>
      <c r="CB39" s="100">
        <v>43230</v>
      </c>
      <c r="CE39" s="12">
        <v>1E-3</v>
      </c>
    </row>
    <row r="40" spans="1:86" x14ac:dyDescent="0.25">
      <c r="A40" s="260" t="s">
        <v>1339</v>
      </c>
      <c r="B40" s="260" t="s">
        <v>49</v>
      </c>
      <c r="C40" s="15">
        <v>20</v>
      </c>
      <c r="D40" s="35">
        <v>1697</v>
      </c>
      <c r="E40" s="15" t="s">
        <v>379</v>
      </c>
      <c r="F40" s="100">
        <v>43230</v>
      </c>
      <c r="G40" t="s">
        <v>1340</v>
      </c>
      <c r="H40" s="9" t="s">
        <v>1111</v>
      </c>
      <c r="I40" s="10">
        <v>1</v>
      </c>
      <c r="J40" s="10" t="s">
        <v>64</v>
      </c>
      <c r="K40">
        <v>426</v>
      </c>
      <c r="L40">
        <v>92</v>
      </c>
      <c r="M40" s="9">
        <f t="shared" si="0"/>
        <v>334</v>
      </c>
      <c r="N40" s="35">
        <v>160</v>
      </c>
      <c r="O40" s="35">
        <v>160</v>
      </c>
      <c r="P40" s="35">
        <v>160</v>
      </c>
      <c r="Q40" s="24">
        <f t="shared" si="1"/>
        <v>160</v>
      </c>
      <c r="R40" s="35">
        <v>225</v>
      </c>
      <c r="S40" s="35">
        <v>225</v>
      </c>
      <c r="T40" s="35">
        <v>225</v>
      </c>
      <c r="U40" s="24">
        <f t="shared" si="2"/>
        <v>225</v>
      </c>
      <c r="V40" s="35">
        <v>12.57</v>
      </c>
      <c r="W40" s="35">
        <v>12.68</v>
      </c>
      <c r="X40" s="35">
        <v>12.93</v>
      </c>
      <c r="Y40" s="24">
        <f t="shared" si="3"/>
        <v>12.726666666666667</v>
      </c>
      <c r="Z40" s="35">
        <v>32.43</v>
      </c>
      <c r="AA40" s="35">
        <v>32.15</v>
      </c>
      <c r="AB40" s="35">
        <v>32.17</v>
      </c>
      <c r="AC40" s="24">
        <f t="shared" si="4"/>
        <v>32.25</v>
      </c>
      <c r="AD40" s="35">
        <v>41.16</v>
      </c>
      <c r="AE40" s="35">
        <v>41.21</v>
      </c>
      <c r="AF40" s="35">
        <v>41.31</v>
      </c>
      <c r="AG40" s="24">
        <f t="shared" si="5"/>
        <v>41.226666666666667</v>
      </c>
      <c r="AH40" s="35">
        <v>65.27</v>
      </c>
      <c r="AI40" s="35">
        <v>64.930000000000007</v>
      </c>
      <c r="AJ40" s="35">
        <v>65.099999999999994</v>
      </c>
      <c r="AK40" s="24">
        <f t="shared" si="6"/>
        <v>65.099999999999994</v>
      </c>
      <c r="AT40" s="10" t="s">
        <v>1258</v>
      </c>
      <c r="AU40">
        <v>8</v>
      </c>
      <c r="AV40" s="9">
        <v>0</v>
      </c>
      <c r="AW40" s="35">
        <v>32.81</v>
      </c>
      <c r="AX40" s="35">
        <v>32.61</v>
      </c>
      <c r="AY40" s="35">
        <v>32.409999999999997</v>
      </c>
      <c r="AZ40" s="24">
        <f t="shared" si="7"/>
        <v>32.61</v>
      </c>
      <c r="BA40" s="35">
        <v>41.06</v>
      </c>
      <c r="BB40" s="35">
        <v>41.07</v>
      </c>
      <c r="BC40" s="35">
        <v>41.1</v>
      </c>
      <c r="BD40" s="24">
        <f t="shared" si="8"/>
        <v>41.076666666666661</v>
      </c>
      <c r="BE40" s="35">
        <v>66.14</v>
      </c>
      <c r="BF40" s="35">
        <v>66.06</v>
      </c>
      <c r="BG40" s="35">
        <v>66.14</v>
      </c>
      <c r="BH40" s="24">
        <f t="shared" si="9"/>
        <v>66.11333333333333</v>
      </c>
      <c r="BI40" s="35">
        <v>50.56</v>
      </c>
      <c r="BJ40" s="35">
        <v>50.73</v>
      </c>
      <c r="BK40" s="35">
        <v>50.84</v>
      </c>
      <c r="BL40" s="24">
        <f t="shared" si="10"/>
        <v>50.71</v>
      </c>
      <c r="BM40" s="35">
        <v>50.01</v>
      </c>
      <c r="BN40" s="35">
        <v>50.11</v>
      </c>
      <c r="BO40" s="35">
        <v>50.14</v>
      </c>
      <c r="BP40" s="24">
        <f t="shared" si="11"/>
        <v>50.086666666666666</v>
      </c>
      <c r="BQ40" s="35">
        <v>35.049999999999997</v>
      </c>
      <c r="BR40" s="35">
        <v>35.17</v>
      </c>
      <c r="BS40" s="35">
        <v>35.159999999999997</v>
      </c>
      <c r="BT40" s="24">
        <f t="shared" si="12"/>
        <v>35.126666666666665</v>
      </c>
      <c r="BU40" s="35">
        <v>71.400000000000006</v>
      </c>
      <c r="BV40" s="35">
        <v>71.56</v>
      </c>
      <c r="BW40" s="35">
        <v>71.23</v>
      </c>
      <c r="BX40" s="24">
        <f t="shared" si="13"/>
        <v>71.396666666666661</v>
      </c>
      <c r="BY40" t="s">
        <v>1252</v>
      </c>
      <c r="BZ40" t="s">
        <v>1252</v>
      </c>
      <c r="CA40" t="s">
        <v>1252</v>
      </c>
      <c r="CB40" s="100">
        <v>43230</v>
      </c>
      <c r="CE40" s="12">
        <v>0.01</v>
      </c>
      <c r="CH40" t="s">
        <v>1341</v>
      </c>
    </row>
    <row r="41" spans="1:86" x14ac:dyDescent="0.25">
      <c r="A41" s="260" t="s">
        <v>1342</v>
      </c>
      <c r="B41" s="260" t="s">
        <v>49</v>
      </c>
      <c r="C41" s="15" t="s">
        <v>379</v>
      </c>
      <c r="D41" s="35">
        <v>1512</v>
      </c>
      <c r="E41" s="15" t="s">
        <v>1343</v>
      </c>
      <c r="F41" s="100">
        <v>43230</v>
      </c>
      <c r="G41" t="s">
        <v>234</v>
      </c>
      <c r="H41" s="9" t="s">
        <v>1108</v>
      </c>
      <c r="I41" s="10">
        <v>1</v>
      </c>
      <c r="J41" s="10" t="s">
        <v>50</v>
      </c>
      <c r="K41">
        <v>358</v>
      </c>
      <c r="L41">
        <v>93</v>
      </c>
      <c r="M41" s="9">
        <f t="shared" si="0"/>
        <v>265</v>
      </c>
      <c r="N41" s="35">
        <v>158</v>
      </c>
      <c r="O41" s="35">
        <v>159</v>
      </c>
      <c r="P41" s="35">
        <v>158</v>
      </c>
      <c r="Q41" s="24">
        <f t="shared" si="1"/>
        <v>158.33333333333334</v>
      </c>
      <c r="R41" s="35">
        <v>221</v>
      </c>
      <c r="S41" s="35">
        <v>222</v>
      </c>
      <c r="T41" s="35">
        <v>222</v>
      </c>
      <c r="U41" s="24">
        <f t="shared" si="2"/>
        <v>221.66666666666666</v>
      </c>
      <c r="V41" s="35">
        <v>10.130000000000001</v>
      </c>
      <c r="W41" s="35">
        <v>10.38</v>
      </c>
      <c r="X41" s="35">
        <v>10.4</v>
      </c>
      <c r="Y41" s="24">
        <f t="shared" si="3"/>
        <v>10.303333333333335</v>
      </c>
      <c r="Z41" s="35">
        <v>31.62</v>
      </c>
      <c r="AA41" s="35">
        <v>31.63</v>
      </c>
      <c r="AB41" s="35">
        <v>31.54</v>
      </c>
      <c r="AC41" s="24">
        <f t="shared" si="4"/>
        <v>31.596666666666664</v>
      </c>
      <c r="AD41" s="35">
        <v>39.799999999999997</v>
      </c>
      <c r="AE41" s="35">
        <v>39.69</v>
      </c>
      <c r="AF41" s="35">
        <v>39.61</v>
      </c>
      <c r="AG41" s="24">
        <f t="shared" si="5"/>
        <v>39.699999999999996</v>
      </c>
      <c r="AH41" s="35">
        <v>61.54</v>
      </c>
      <c r="AI41" s="35">
        <v>61.63</v>
      </c>
      <c r="AJ41" s="35">
        <v>61.31</v>
      </c>
      <c r="AK41" s="24">
        <f t="shared" si="6"/>
        <v>61.493333333333339</v>
      </c>
      <c r="AL41" s="35">
        <v>15.94</v>
      </c>
      <c r="AM41" s="35">
        <v>15.57</v>
      </c>
      <c r="AN41" s="35">
        <v>15.38</v>
      </c>
      <c r="AO41" s="9">
        <f>(AL41+AM41+AN41)/3</f>
        <v>15.63</v>
      </c>
      <c r="AP41" s="35">
        <v>19.57</v>
      </c>
      <c r="AQ41" s="35">
        <v>20.04</v>
      </c>
      <c r="AR41" s="35">
        <v>19.739999999999998</v>
      </c>
      <c r="AS41" s="9">
        <f>(AP41+AR41+AQ41)/3</f>
        <v>19.783333333333335</v>
      </c>
      <c r="AW41" s="35">
        <v>30.68</v>
      </c>
      <c r="AX41" s="35">
        <v>30.97</v>
      </c>
      <c r="AY41" s="35">
        <v>30.84</v>
      </c>
      <c r="AZ41" s="24">
        <f t="shared" si="7"/>
        <v>30.83</v>
      </c>
      <c r="BA41" s="35">
        <v>38.81</v>
      </c>
      <c r="BB41" s="35">
        <v>38.75</v>
      </c>
      <c r="BC41" s="35">
        <v>38.58</v>
      </c>
      <c r="BD41" s="24">
        <f t="shared" si="8"/>
        <v>38.713333333333331</v>
      </c>
      <c r="BE41" s="35">
        <v>61.66</v>
      </c>
      <c r="BF41" s="35">
        <v>61.13</v>
      </c>
      <c r="BG41" s="35">
        <v>61.76</v>
      </c>
      <c r="BH41" s="24">
        <f t="shared" si="9"/>
        <v>61.516666666666659</v>
      </c>
      <c r="BI41" s="124">
        <v>48.88</v>
      </c>
      <c r="BJ41" s="124">
        <v>48.72</v>
      </c>
      <c r="BK41" s="124">
        <v>48.73</v>
      </c>
      <c r="BL41" s="253">
        <f t="shared" si="10"/>
        <v>48.776666666666664</v>
      </c>
      <c r="BM41" s="124">
        <v>47.74</v>
      </c>
      <c r="BN41" s="124">
        <v>47.85</v>
      </c>
      <c r="BO41" s="124">
        <v>47.78</v>
      </c>
      <c r="BP41" s="24">
        <f t="shared" si="11"/>
        <v>47.79</v>
      </c>
      <c r="BQ41" s="35">
        <v>34.53</v>
      </c>
      <c r="BR41" s="35">
        <v>34.770000000000003</v>
      </c>
      <c r="BS41" s="35">
        <v>34.9</v>
      </c>
      <c r="BT41" s="24">
        <f t="shared" si="12"/>
        <v>34.733333333333341</v>
      </c>
      <c r="BU41" s="35">
        <v>63.98</v>
      </c>
      <c r="BV41" s="35">
        <v>64.05</v>
      </c>
      <c r="BW41" s="35">
        <v>63.8</v>
      </c>
      <c r="BX41" s="24">
        <f t="shared" si="13"/>
        <v>63.943333333333328</v>
      </c>
      <c r="BY41" t="s">
        <v>1252</v>
      </c>
      <c r="BZ41" t="s">
        <v>1264</v>
      </c>
      <c r="CA41" t="s">
        <v>1252</v>
      </c>
      <c r="CB41" t="s">
        <v>1264</v>
      </c>
      <c r="CE41" s="12" t="s">
        <v>1253</v>
      </c>
      <c r="CF41" s="35" t="s">
        <v>1253</v>
      </c>
      <c r="CG41" s="9" t="s">
        <v>1253</v>
      </c>
      <c r="CH41" s="35" t="s">
        <v>1274</v>
      </c>
    </row>
    <row r="42" spans="1:86" x14ac:dyDescent="0.25">
      <c r="A42" t="s">
        <v>1344</v>
      </c>
      <c r="B42" t="s">
        <v>49</v>
      </c>
      <c r="C42" s="15" t="s">
        <v>379</v>
      </c>
      <c r="D42" s="35">
        <v>1510</v>
      </c>
      <c r="E42" s="15" t="s">
        <v>1345</v>
      </c>
      <c r="F42" s="100">
        <v>43230</v>
      </c>
      <c r="G42" t="s">
        <v>1279</v>
      </c>
      <c r="H42" s="9" t="s">
        <v>1108</v>
      </c>
      <c r="I42" s="10">
        <v>1</v>
      </c>
      <c r="J42" s="10" t="s">
        <v>50</v>
      </c>
      <c r="K42">
        <v>415</v>
      </c>
      <c r="L42">
        <v>91</v>
      </c>
      <c r="M42" s="9">
        <f t="shared" si="0"/>
        <v>324</v>
      </c>
      <c r="N42" s="35">
        <v>164</v>
      </c>
      <c r="O42" s="35">
        <v>165</v>
      </c>
      <c r="P42" s="35">
        <v>165</v>
      </c>
      <c r="Q42" s="24">
        <f t="shared" si="1"/>
        <v>164.66666666666666</v>
      </c>
      <c r="R42" s="35">
        <v>228</v>
      </c>
      <c r="S42" s="35">
        <v>227</v>
      </c>
      <c r="T42" s="35">
        <v>227</v>
      </c>
      <c r="U42" s="24">
        <f t="shared" si="2"/>
        <v>227.33333333333334</v>
      </c>
      <c r="V42" s="35">
        <v>11.84</v>
      </c>
      <c r="W42" s="35">
        <v>11.91</v>
      </c>
      <c r="X42" s="35">
        <v>12.08</v>
      </c>
      <c r="Y42" s="24">
        <f t="shared" si="3"/>
        <v>11.943333333333333</v>
      </c>
      <c r="Z42" s="35">
        <v>32.97</v>
      </c>
      <c r="AA42" s="35">
        <v>32.68</v>
      </c>
      <c r="AB42" s="35">
        <v>32.799999999999997</v>
      </c>
      <c r="AC42" s="24">
        <f t="shared" si="4"/>
        <v>32.81666666666667</v>
      </c>
      <c r="AD42" s="35">
        <v>42.02</v>
      </c>
      <c r="AE42" s="35">
        <v>41.91</v>
      </c>
      <c r="AF42" s="35">
        <v>42.18</v>
      </c>
      <c r="AG42" s="24">
        <f t="shared" si="5"/>
        <v>42.036666666666669</v>
      </c>
      <c r="AH42" s="35">
        <v>64.430000000000007</v>
      </c>
      <c r="AI42" s="35">
        <v>64.33</v>
      </c>
      <c r="AJ42" s="35">
        <v>64.430000000000007</v>
      </c>
      <c r="AK42" s="24">
        <f t="shared" si="6"/>
        <v>64.396666666666661</v>
      </c>
      <c r="AL42" s="35">
        <v>15.84</v>
      </c>
      <c r="AM42" s="35">
        <v>15.18</v>
      </c>
      <c r="AN42" s="35">
        <v>15.61</v>
      </c>
      <c r="AO42" s="9">
        <f>(AL42+AM42+AN42)/3</f>
        <v>15.543333333333331</v>
      </c>
      <c r="AP42" s="35">
        <v>22.84</v>
      </c>
      <c r="AQ42" s="35">
        <v>22.97</v>
      </c>
      <c r="AR42" s="35">
        <v>22.95</v>
      </c>
      <c r="AS42" s="9">
        <f>(AP42+AR42+AQ42)/3</f>
        <v>22.919999999999998</v>
      </c>
      <c r="AW42" s="35">
        <v>33.21</v>
      </c>
      <c r="AX42" s="35">
        <v>33.14</v>
      </c>
      <c r="AY42" s="35">
        <v>33.51</v>
      </c>
      <c r="AZ42" s="24">
        <f t="shared" si="7"/>
        <v>33.286666666666662</v>
      </c>
      <c r="BA42" s="35">
        <v>42.95</v>
      </c>
      <c r="BB42" s="35">
        <v>42.91</v>
      </c>
      <c r="BC42" s="35">
        <v>42.88</v>
      </c>
      <c r="BD42" s="24">
        <f t="shared" si="8"/>
        <v>42.913333333333334</v>
      </c>
      <c r="BE42" s="35">
        <v>64.55</v>
      </c>
      <c r="BF42" s="35">
        <v>64.62</v>
      </c>
      <c r="BG42" s="35">
        <v>64.650000000000006</v>
      </c>
      <c r="BH42" s="24">
        <f t="shared" si="9"/>
        <v>64.606666666666669</v>
      </c>
      <c r="BI42" s="124">
        <v>51.89</v>
      </c>
      <c r="BJ42" s="124">
        <v>51.52</v>
      </c>
      <c r="BK42" s="124">
        <v>51.46</v>
      </c>
      <c r="BL42" s="24">
        <f t="shared" si="10"/>
        <v>51.623333333333335</v>
      </c>
      <c r="BM42" s="124">
        <v>51.13</v>
      </c>
      <c r="BN42" s="124">
        <v>51.31</v>
      </c>
      <c r="BO42" s="124">
        <v>51.31</v>
      </c>
      <c r="BP42" s="24">
        <f t="shared" si="11"/>
        <v>51.25</v>
      </c>
      <c r="BQ42" s="124">
        <v>35.6</v>
      </c>
      <c r="BR42" s="124">
        <v>35.950000000000003</v>
      </c>
      <c r="BS42" s="124">
        <v>35.6</v>
      </c>
      <c r="BT42" s="24">
        <f t="shared" si="12"/>
        <v>35.716666666666669</v>
      </c>
      <c r="BU42" s="124">
        <v>66.58</v>
      </c>
      <c r="BV42" s="124">
        <v>66.53</v>
      </c>
      <c r="BW42" s="124">
        <v>66.05</v>
      </c>
      <c r="BX42" s="24">
        <f t="shared" si="13"/>
        <v>66.38666666666667</v>
      </c>
      <c r="BY42" t="s">
        <v>1252</v>
      </c>
      <c r="BZ42" t="s">
        <v>1264</v>
      </c>
      <c r="CA42" t="s">
        <v>1252</v>
      </c>
      <c r="CB42" t="s">
        <v>1264</v>
      </c>
      <c r="CE42" s="12" t="s">
        <v>1253</v>
      </c>
      <c r="CF42" s="35" t="s">
        <v>1253</v>
      </c>
      <c r="CG42" s="9" t="s">
        <v>1253</v>
      </c>
      <c r="CH42" s="35" t="s">
        <v>1274</v>
      </c>
    </row>
    <row r="43" spans="1:86" x14ac:dyDescent="0.25">
      <c r="A43" s="260" t="s">
        <v>1346</v>
      </c>
      <c r="B43" s="260" t="s">
        <v>49</v>
      </c>
      <c r="C43" s="15" t="s">
        <v>379</v>
      </c>
      <c r="D43" s="35">
        <v>1509</v>
      </c>
      <c r="E43" s="15" t="s">
        <v>1347</v>
      </c>
      <c r="F43" s="100">
        <v>43230</v>
      </c>
      <c r="G43" t="s">
        <v>531</v>
      </c>
      <c r="H43" s="9" t="s">
        <v>1108</v>
      </c>
      <c r="I43" s="10">
        <v>1</v>
      </c>
      <c r="J43" s="10" t="s">
        <v>50</v>
      </c>
      <c r="K43">
        <v>744</v>
      </c>
      <c r="L43">
        <v>91</v>
      </c>
      <c r="M43" s="9">
        <f t="shared" si="0"/>
        <v>653</v>
      </c>
      <c r="N43" s="35">
        <v>208</v>
      </c>
      <c r="O43" s="35">
        <v>207</v>
      </c>
      <c r="P43" s="35">
        <v>207</v>
      </c>
      <c r="Q43" s="24">
        <f t="shared" si="1"/>
        <v>207.33333333333334</v>
      </c>
      <c r="R43" s="35">
        <v>265</v>
      </c>
      <c r="S43" s="35">
        <v>265</v>
      </c>
      <c r="T43" s="35">
        <v>266</v>
      </c>
      <c r="U43" s="24">
        <f t="shared" si="2"/>
        <v>265.33333333333331</v>
      </c>
      <c r="V43" s="35">
        <v>18</v>
      </c>
      <c r="W43" s="35">
        <v>18.68</v>
      </c>
      <c r="X43" s="35">
        <v>18.45</v>
      </c>
      <c r="Y43" s="24">
        <f t="shared" si="3"/>
        <v>18.376666666666665</v>
      </c>
      <c r="Z43" s="35">
        <v>35.450000000000003</v>
      </c>
      <c r="AA43" s="35">
        <v>35.340000000000003</v>
      </c>
      <c r="AB43" s="35">
        <v>35.119999999999997</v>
      </c>
      <c r="AC43" s="24">
        <f t="shared" si="4"/>
        <v>35.303333333333335</v>
      </c>
      <c r="AD43" s="35">
        <v>46.15</v>
      </c>
      <c r="AE43" s="35">
        <v>46.2</v>
      </c>
      <c r="AF43" s="35">
        <v>46.25</v>
      </c>
      <c r="AG43" s="24">
        <f t="shared" si="5"/>
        <v>46.199999999999996</v>
      </c>
      <c r="AH43" s="35">
        <v>71.069999999999993</v>
      </c>
      <c r="AI43" s="35">
        <v>71.5</v>
      </c>
      <c r="AJ43" s="35">
        <v>71.31</v>
      </c>
      <c r="AK43" s="24">
        <f t="shared" si="6"/>
        <v>71.293333333333337</v>
      </c>
      <c r="AL43" s="35">
        <v>17.16</v>
      </c>
      <c r="AM43" s="35">
        <v>17.18</v>
      </c>
      <c r="AN43" s="35">
        <v>17.68</v>
      </c>
      <c r="AO43" s="9">
        <f>(AL43+AM43+AN43)/3</f>
        <v>17.34</v>
      </c>
      <c r="AP43" s="35">
        <v>24.18</v>
      </c>
      <c r="AQ43" s="35">
        <v>24.27</v>
      </c>
      <c r="AR43" s="35">
        <v>23.19</v>
      </c>
      <c r="AS43" s="9">
        <f>(AP43+AR43+AQ43)/3</f>
        <v>23.88</v>
      </c>
      <c r="AW43" s="35">
        <v>35.409999999999997</v>
      </c>
      <c r="AX43" s="35">
        <v>35.64</v>
      </c>
      <c r="AY43" s="35">
        <v>35.47</v>
      </c>
      <c r="AZ43" s="24">
        <f t="shared" si="7"/>
        <v>35.506666666666668</v>
      </c>
      <c r="BA43" s="35">
        <v>45.75</v>
      </c>
      <c r="BB43" s="35">
        <v>45.46</v>
      </c>
      <c r="BC43" s="35">
        <v>45.28</v>
      </c>
      <c r="BD43" s="24">
        <f t="shared" si="8"/>
        <v>45.49666666666667</v>
      </c>
      <c r="BE43" s="35">
        <v>71.319999999999993</v>
      </c>
      <c r="BF43" s="35">
        <v>71.400000000000006</v>
      </c>
      <c r="BG43" s="35">
        <v>71.2</v>
      </c>
      <c r="BH43" s="24">
        <f t="shared" si="9"/>
        <v>71.306666666666672</v>
      </c>
      <c r="BI43" s="124">
        <v>55.9</v>
      </c>
      <c r="BJ43" s="124">
        <v>55.84</v>
      </c>
      <c r="BK43" s="124">
        <v>55.58</v>
      </c>
      <c r="BL43" s="24">
        <f t="shared" si="10"/>
        <v>55.773333333333333</v>
      </c>
      <c r="BM43" s="124">
        <v>56</v>
      </c>
      <c r="BN43" s="124">
        <v>55.84</v>
      </c>
      <c r="BO43" s="124">
        <v>55.87</v>
      </c>
      <c r="BP43" s="24">
        <f t="shared" si="11"/>
        <v>55.903333333333336</v>
      </c>
      <c r="BQ43" s="124">
        <v>42.39</v>
      </c>
      <c r="BR43" s="124">
        <v>42.4</v>
      </c>
      <c r="BS43" s="124">
        <v>42.35</v>
      </c>
      <c r="BT43" s="24">
        <f t="shared" si="12"/>
        <v>42.379999999999995</v>
      </c>
      <c r="BU43" s="124">
        <v>73.819999999999993</v>
      </c>
      <c r="BV43" s="124">
        <v>73.95</v>
      </c>
      <c r="BW43" s="124">
        <v>73.349999999999994</v>
      </c>
      <c r="BX43" s="24">
        <f t="shared" si="13"/>
        <v>73.706666666666663</v>
      </c>
      <c r="BY43" t="s">
        <v>1252</v>
      </c>
      <c r="BZ43" t="s">
        <v>1264</v>
      </c>
      <c r="CA43" t="s">
        <v>1252</v>
      </c>
      <c r="CB43" t="s">
        <v>1264</v>
      </c>
      <c r="CE43" s="12" t="s">
        <v>1253</v>
      </c>
      <c r="CF43" s="35" t="s">
        <v>1253</v>
      </c>
      <c r="CG43" s="9" t="s">
        <v>1253</v>
      </c>
      <c r="CH43" s="35" t="s">
        <v>1274</v>
      </c>
    </row>
    <row r="44" spans="1:86" x14ac:dyDescent="0.25">
      <c r="A44" t="s">
        <v>1348</v>
      </c>
      <c r="B44" t="s">
        <v>49</v>
      </c>
      <c r="C44" s="15" t="s">
        <v>379</v>
      </c>
      <c r="D44" s="35">
        <v>1511</v>
      </c>
      <c r="E44" s="15" t="s">
        <v>1349</v>
      </c>
      <c r="F44" s="100">
        <v>43230</v>
      </c>
      <c r="G44" t="s">
        <v>1350</v>
      </c>
      <c r="H44" s="9" t="s">
        <v>1108</v>
      </c>
      <c r="I44" s="10">
        <v>1</v>
      </c>
      <c r="J44" s="10" t="s">
        <v>64</v>
      </c>
      <c r="K44">
        <v>288</v>
      </c>
      <c r="L44">
        <v>92</v>
      </c>
      <c r="M44" s="9">
        <f t="shared" si="0"/>
        <v>196</v>
      </c>
      <c r="N44" s="35">
        <v>146</v>
      </c>
      <c r="O44" s="35">
        <v>146</v>
      </c>
      <c r="P44" s="35">
        <v>146</v>
      </c>
      <c r="Q44" s="24">
        <f t="shared" si="1"/>
        <v>146</v>
      </c>
      <c r="R44" s="35">
        <v>165</v>
      </c>
      <c r="S44" s="35">
        <v>166</v>
      </c>
      <c r="T44" s="35">
        <v>166</v>
      </c>
      <c r="U44" s="24">
        <f t="shared" si="2"/>
        <v>165.66666666666666</v>
      </c>
      <c r="V44" s="35">
        <v>9.91</v>
      </c>
      <c r="W44" s="35">
        <v>9.91</v>
      </c>
      <c r="X44" s="35">
        <v>9.7799999999999994</v>
      </c>
      <c r="Y44" s="24">
        <f t="shared" si="3"/>
        <v>9.8666666666666671</v>
      </c>
      <c r="Z44" s="35">
        <v>29.34</v>
      </c>
      <c r="AA44" s="35">
        <v>29.27</v>
      </c>
      <c r="AB44" s="35">
        <v>29.4</v>
      </c>
      <c r="AC44" s="24">
        <f t="shared" si="4"/>
        <v>29.336666666666662</v>
      </c>
      <c r="AD44" s="35">
        <v>37.869999999999997</v>
      </c>
      <c r="AE44" s="35">
        <v>37.479999999999997</v>
      </c>
      <c r="AF44" s="35">
        <v>37.39</v>
      </c>
      <c r="AG44" s="24">
        <f t="shared" si="5"/>
        <v>37.58</v>
      </c>
      <c r="AH44" s="35">
        <v>55.95</v>
      </c>
      <c r="AI44" s="35">
        <v>55.94</v>
      </c>
      <c r="AJ44" s="35">
        <v>55.29</v>
      </c>
      <c r="AK44" s="24">
        <f t="shared" si="6"/>
        <v>55.726666666666667</v>
      </c>
      <c r="AT44" s="10" t="s">
        <v>1258</v>
      </c>
      <c r="AU44">
        <v>8</v>
      </c>
      <c r="AV44" s="9">
        <v>0</v>
      </c>
      <c r="AW44" s="35">
        <v>29.85</v>
      </c>
      <c r="AX44" s="35">
        <v>29.15</v>
      </c>
      <c r="AY44" s="35">
        <v>29.44</v>
      </c>
      <c r="AZ44" s="24">
        <f t="shared" si="7"/>
        <v>29.48</v>
      </c>
      <c r="BA44" s="35">
        <v>38.450000000000003</v>
      </c>
      <c r="BB44" s="35">
        <v>38.29</v>
      </c>
      <c r="BC44" s="35">
        <v>38.46</v>
      </c>
      <c r="BD44" s="24">
        <f t="shared" si="8"/>
        <v>38.400000000000006</v>
      </c>
      <c r="BE44" s="35">
        <v>55.39</v>
      </c>
      <c r="BF44" s="35">
        <v>55.32</v>
      </c>
      <c r="BG44" s="35">
        <v>55.41</v>
      </c>
      <c r="BH44" s="24">
        <f t="shared" si="9"/>
        <v>55.373333333333335</v>
      </c>
      <c r="BI44" s="124">
        <v>43.28</v>
      </c>
      <c r="BJ44" s="124">
        <v>43.12</v>
      </c>
      <c r="BK44" s="124">
        <v>43.11</v>
      </c>
      <c r="BL44" s="24">
        <f t="shared" si="10"/>
        <v>43.169999999999995</v>
      </c>
      <c r="BM44" s="124">
        <v>43.11</v>
      </c>
      <c r="BN44" s="124">
        <v>43.05</v>
      </c>
      <c r="BO44" s="124">
        <v>43.07</v>
      </c>
      <c r="BP44" s="24">
        <f t="shared" si="11"/>
        <v>43.076666666666661</v>
      </c>
      <c r="BQ44" s="124">
        <v>31.37</v>
      </c>
      <c r="BR44" s="124">
        <v>31.13</v>
      </c>
      <c r="BS44" s="124">
        <v>31.37</v>
      </c>
      <c r="BT44" s="24">
        <f t="shared" si="12"/>
        <v>31.290000000000003</v>
      </c>
      <c r="BU44" s="124">
        <v>61.31</v>
      </c>
      <c r="BV44" s="124">
        <v>61.71</v>
      </c>
      <c r="BW44" s="124">
        <v>61.27</v>
      </c>
      <c r="BX44" s="24">
        <f t="shared" si="13"/>
        <v>61.430000000000007</v>
      </c>
      <c r="BY44" t="s">
        <v>1252</v>
      </c>
      <c r="BZ44" t="s">
        <v>1264</v>
      </c>
      <c r="CA44" t="s">
        <v>1252</v>
      </c>
      <c r="CB44" t="s">
        <v>1264</v>
      </c>
      <c r="CE44" s="12" t="s">
        <v>1253</v>
      </c>
      <c r="CF44" s="35" t="s">
        <v>1253</v>
      </c>
      <c r="CG44" s="9" t="s">
        <v>1253</v>
      </c>
      <c r="CH44" s="35" t="s">
        <v>1274</v>
      </c>
    </row>
    <row r="45" spans="1:86" x14ac:dyDescent="0.25">
      <c r="A45" s="260" t="s">
        <v>1351</v>
      </c>
      <c r="B45" s="260" t="s">
        <v>49</v>
      </c>
      <c r="C45" s="15">
        <v>21</v>
      </c>
      <c r="D45" s="35">
        <v>1685</v>
      </c>
      <c r="E45" s="15" t="s">
        <v>379</v>
      </c>
      <c r="F45" s="100">
        <v>43231</v>
      </c>
      <c r="G45" t="s">
        <v>1352</v>
      </c>
      <c r="H45" s="9" t="s">
        <v>1108</v>
      </c>
      <c r="I45" s="10">
        <v>1</v>
      </c>
      <c r="J45" s="10" t="s">
        <v>50</v>
      </c>
      <c r="K45">
        <v>439</v>
      </c>
      <c r="L45">
        <v>93</v>
      </c>
      <c r="M45" s="9">
        <f t="shared" si="0"/>
        <v>346</v>
      </c>
      <c r="N45" s="35">
        <v>170</v>
      </c>
      <c r="O45" s="35">
        <v>171</v>
      </c>
      <c r="P45" s="35">
        <v>171</v>
      </c>
      <c r="Q45" s="24">
        <f t="shared" si="1"/>
        <v>170.66666666666666</v>
      </c>
      <c r="R45" s="35">
        <v>214</v>
      </c>
      <c r="S45" s="35">
        <v>215</v>
      </c>
      <c r="T45" s="35">
        <v>215</v>
      </c>
      <c r="U45" s="24">
        <f t="shared" si="2"/>
        <v>214.66666666666666</v>
      </c>
      <c r="V45" s="35">
        <v>11.9</v>
      </c>
      <c r="W45" s="35">
        <v>11.55</v>
      </c>
      <c r="X45" s="35">
        <v>11.77</v>
      </c>
      <c r="Y45" s="24">
        <f t="shared" si="3"/>
        <v>11.74</v>
      </c>
      <c r="Z45" s="35">
        <v>31.97</v>
      </c>
      <c r="AA45" s="35">
        <v>31.82</v>
      </c>
      <c r="AB45" s="35">
        <v>3.27</v>
      </c>
      <c r="AC45" s="24">
        <f t="shared" si="4"/>
        <v>22.353333333333335</v>
      </c>
      <c r="AD45" s="35">
        <v>42.16</v>
      </c>
      <c r="AE45" s="35">
        <v>42.8</v>
      </c>
      <c r="AF45" s="35">
        <v>42.39</v>
      </c>
      <c r="AG45" s="24">
        <f t="shared" si="5"/>
        <v>42.449999999999996</v>
      </c>
      <c r="AH45" s="35">
        <v>65.52</v>
      </c>
      <c r="AI45" s="35">
        <v>65.37</v>
      </c>
      <c r="AJ45" s="35">
        <v>65.38</v>
      </c>
      <c r="AK45" s="24">
        <f t="shared" si="6"/>
        <v>65.423333333333332</v>
      </c>
      <c r="AL45">
        <v>15.33</v>
      </c>
      <c r="AM45">
        <v>15.88</v>
      </c>
      <c r="AN45">
        <v>15.91</v>
      </c>
      <c r="AO45" s="9">
        <f>(AL45+AM45+AN45)/3</f>
        <v>15.706666666666669</v>
      </c>
      <c r="AP45" s="35">
        <v>23.33</v>
      </c>
      <c r="AQ45" s="35">
        <v>22.27</v>
      </c>
      <c r="AR45" s="35">
        <v>22.68</v>
      </c>
      <c r="AS45" s="9">
        <f>(AP45+AR45+AQ45)/3</f>
        <v>22.76</v>
      </c>
      <c r="AW45" s="35">
        <v>32.36</v>
      </c>
      <c r="AX45" s="35">
        <v>32.65</v>
      </c>
      <c r="AY45" s="35">
        <v>32.24</v>
      </c>
      <c r="AZ45" s="24">
        <f t="shared" si="7"/>
        <v>32.416666666666664</v>
      </c>
      <c r="BA45" s="35">
        <v>42.37</v>
      </c>
      <c r="BB45" s="35">
        <v>42.19</v>
      </c>
      <c r="BC45" s="35">
        <v>42.22</v>
      </c>
      <c r="BD45" s="24">
        <f t="shared" si="8"/>
        <v>42.26</v>
      </c>
      <c r="BE45" s="35">
        <v>66.37</v>
      </c>
      <c r="BF45" s="35">
        <v>66.05</v>
      </c>
      <c r="BG45" s="35">
        <v>66.17</v>
      </c>
      <c r="BH45" s="24">
        <f t="shared" si="9"/>
        <v>66.196666666666673</v>
      </c>
      <c r="BI45" s="124">
        <v>52.15</v>
      </c>
      <c r="BJ45" s="124">
        <v>52.15</v>
      </c>
      <c r="BK45" s="124">
        <v>52.27</v>
      </c>
      <c r="BL45" s="24">
        <f t="shared" si="10"/>
        <v>52.19</v>
      </c>
      <c r="BM45" s="124">
        <v>52.37</v>
      </c>
      <c r="BN45" s="124">
        <v>52.39</v>
      </c>
      <c r="BO45" s="124">
        <v>52.48</v>
      </c>
      <c r="BP45" s="24">
        <f t="shared" si="11"/>
        <v>52.413333333333327</v>
      </c>
      <c r="BQ45" s="124">
        <v>36.369999999999997</v>
      </c>
      <c r="BR45" s="124">
        <v>36.14</v>
      </c>
      <c r="BS45" s="124">
        <v>36.200000000000003</v>
      </c>
      <c r="BT45" s="24">
        <f t="shared" si="12"/>
        <v>36.236666666666665</v>
      </c>
      <c r="BU45" s="124">
        <v>72.459999999999994</v>
      </c>
      <c r="BV45" s="124">
        <v>72.650000000000006</v>
      </c>
      <c r="BW45" s="124">
        <v>72.48</v>
      </c>
      <c r="BX45" s="24">
        <f t="shared" si="13"/>
        <v>72.530000000000015</v>
      </c>
      <c r="BY45" t="s">
        <v>1252</v>
      </c>
      <c r="BZ45" t="s">
        <v>1252</v>
      </c>
      <c r="CA45" t="s">
        <v>1252</v>
      </c>
      <c r="CB45" s="100">
        <v>43231</v>
      </c>
      <c r="CE45" s="12">
        <v>0.1</v>
      </c>
    </row>
    <row r="46" spans="1:86" x14ac:dyDescent="0.25">
      <c r="A46" t="s">
        <v>1353</v>
      </c>
      <c r="B46" t="s">
        <v>49</v>
      </c>
      <c r="C46" s="15">
        <v>22</v>
      </c>
      <c r="D46" s="35">
        <v>1686</v>
      </c>
      <c r="E46" s="15" t="s">
        <v>379</v>
      </c>
      <c r="F46" s="100">
        <v>43231</v>
      </c>
      <c r="G46" t="s">
        <v>1354</v>
      </c>
      <c r="H46" s="9" t="s">
        <v>1108</v>
      </c>
      <c r="I46" s="10">
        <v>1</v>
      </c>
      <c r="J46" s="10" t="s">
        <v>64</v>
      </c>
      <c r="K46">
        <v>378</v>
      </c>
      <c r="L46">
        <v>93</v>
      </c>
      <c r="M46" s="9">
        <f t="shared" si="0"/>
        <v>285</v>
      </c>
      <c r="N46" s="35">
        <v>158</v>
      </c>
      <c r="O46" s="35">
        <v>158</v>
      </c>
      <c r="P46" s="35">
        <v>158</v>
      </c>
      <c r="Q46" s="24">
        <f t="shared" si="1"/>
        <v>158</v>
      </c>
      <c r="R46" s="35">
        <v>217</v>
      </c>
      <c r="S46" s="35">
        <v>217</v>
      </c>
      <c r="T46" s="35">
        <v>217</v>
      </c>
      <c r="U46" s="24">
        <f t="shared" si="2"/>
        <v>217</v>
      </c>
      <c r="V46" s="35">
        <v>11.29</v>
      </c>
      <c r="W46" s="35">
        <v>11.2</v>
      </c>
      <c r="X46" s="35">
        <v>11.35</v>
      </c>
      <c r="Y46" s="24">
        <f t="shared" si="3"/>
        <v>11.28</v>
      </c>
      <c r="Z46" s="35">
        <v>30.48</v>
      </c>
      <c r="AA46" s="35">
        <v>30.48</v>
      </c>
      <c r="AB46" s="35">
        <v>30.41</v>
      </c>
      <c r="AC46" s="24">
        <f t="shared" si="4"/>
        <v>30.456666666666667</v>
      </c>
      <c r="AD46" s="35">
        <v>39.32</v>
      </c>
      <c r="AE46" s="35">
        <v>39.28</v>
      </c>
      <c r="AF46" s="35">
        <v>39.369999999999997</v>
      </c>
      <c r="AG46" s="24">
        <f t="shared" si="5"/>
        <v>39.323333333333331</v>
      </c>
      <c r="AH46" s="35">
        <v>58.61</v>
      </c>
      <c r="AI46" s="35">
        <v>58.66</v>
      </c>
      <c r="AJ46" s="35">
        <v>58.66</v>
      </c>
      <c r="AK46" s="24">
        <f t="shared" si="6"/>
        <v>58.643333333333338</v>
      </c>
      <c r="AT46" s="10" t="s">
        <v>1258</v>
      </c>
      <c r="AU46">
        <v>8</v>
      </c>
      <c r="AV46" s="9">
        <v>0</v>
      </c>
      <c r="AW46" s="35">
        <v>30.92</v>
      </c>
      <c r="AX46" s="35">
        <v>30.83</v>
      </c>
      <c r="AY46" s="35">
        <v>30.88</v>
      </c>
      <c r="AZ46" s="24">
        <f t="shared" si="7"/>
        <v>30.876666666666665</v>
      </c>
      <c r="BA46" s="35">
        <v>39.08</v>
      </c>
      <c r="BB46" s="35">
        <v>39.909999999999997</v>
      </c>
      <c r="BC46" s="35">
        <v>39.86</v>
      </c>
      <c r="BD46" s="24">
        <f t="shared" si="8"/>
        <v>39.616666666666667</v>
      </c>
      <c r="BE46" s="35">
        <v>59.66</v>
      </c>
      <c r="BF46" s="35">
        <v>59.68</v>
      </c>
      <c r="BG46" s="35">
        <v>59.35</v>
      </c>
      <c r="BH46" s="24">
        <f t="shared" si="9"/>
        <v>59.563333333333333</v>
      </c>
      <c r="BI46" s="124">
        <v>45.8</v>
      </c>
      <c r="BJ46" s="124">
        <v>45.78</v>
      </c>
      <c r="BK46" s="124">
        <v>45.84</v>
      </c>
      <c r="BL46" s="24">
        <f t="shared" si="10"/>
        <v>45.806666666666672</v>
      </c>
      <c r="BM46" s="124">
        <v>45.98</v>
      </c>
      <c r="BN46" s="124">
        <v>46.11</v>
      </c>
      <c r="BO46" s="124">
        <v>45.99</v>
      </c>
      <c r="BP46" s="24">
        <f t="shared" si="11"/>
        <v>46.026666666666671</v>
      </c>
      <c r="BQ46" s="124">
        <v>33.51</v>
      </c>
      <c r="BR46" s="124">
        <v>33.68</v>
      </c>
      <c r="BS46" s="124">
        <v>33.81</v>
      </c>
      <c r="BT46" s="24">
        <f t="shared" si="12"/>
        <v>33.666666666666664</v>
      </c>
      <c r="BU46" s="124">
        <v>66.91</v>
      </c>
      <c r="BV46" s="124">
        <v>66.89</v>
      </c>
      <c r="BW46" s="124">
        <v>66.900000000000006</v>
      </c>
      <c r="BX46" s="24">
        <f t="shared" si="13"/>
        <v>66.900000000000006</v>
      </c>
      <c r="BY46" t="s">
        <v>1252</v>
      </c>
      <c r="BZ46" t="s">
        <v>1252</v>
      </c>
      <c r="CA46" t="s">
        <v>1252</v>
      </c>
      <c r="CB46" s="100">
        <v>43231</v>
      </c>
      <c r="CC46" s="100">
        <v>43232</v>
      </c>
      <c r="CD46" s="100">
        <v>43231</v>
      </c>
      <c r="CE46" s="12">
        <v>0.05</v>
      </c>
    </row>
    <row r="47" spans="1:86" x14ac:dyDescent="0.25">
      <c r="A47" s="260" t="s">
        <v>1355</v>
      </c>
      <c r="B47" s="260" t="s">
        <v>49</v>
      </c>
      <c r="C47" s="15">
        <v>23</v>
      </c>
      <c r="D47" s="35">
        <v>1689</v>
      </c>
      <c r="E47" s="15" t="s">
        <v>379</v>
      </c>
      <c r="F47" s="100">
        <v>43231</v>
      </c>
      <c r="G47" t="s">
        <v>1356</v>
      </c>
      <c r="H47" s="9" t="s">
        <v>1108</v>
      </c>
      <c r="I47" s="10">
        <v>1</v>
      </c>
      <c r="J47" s="10" t="s">
        <v>64</v>
      </c>
      <c r="K47">
        <v>358</v>
      </c>
      <c r="L47">
        <v>93</v>
      </c>
      <c r="M47" s="9">
        <f t="shared" si="0"/>
        <v>265</v>
      </c>
      <c r="N47" s="35">
        <v>150</v>
      </c>
      <c r="O47" s="35">
        <v>149</v>
      </c>
      <c r="P47" s="35">
        <v>150</v>
      </c>
      <c r="Q47" s="24">
        <f t="shared" si="1"/>
        <v>149.66666666666666</v>
      </c>
      <c r="R47" s="35">
        <v>219</v>
      </c>
      <c r="S47" s="35">
        <v>218</v>
      </c>
      <c r="T47" s="35">
        <v>219</v>
      </c>
      <c r="U47" s="24">
        <f t="shared" si="2"/>
        <v>218.66666666666666</v>
      </c>
      <c r="V47" s="35">
        <v>10.79</v>
      </c>
      <c r="W47" s="35">
        <v>10.84</v>
      </c>
      <c r="X47" s="35">
        <v>10.87</v>
      </c>
      <c r="Y47" s="24">
        <f t="shared" si="3"/>
        <v>10.833333333333334</v>
      </c>
      <c r="Z47" s="35">
        <v>30.04</v>
      </c>
      <c r="AA47" s="35">
        <v>30.07</v>
      </c>
      <c r="AB47" s="35">
        <v>30.08</v>
      </c>
      <c r="AC47" s="24">
        <f t="shared" si="4"/>
        <v>30.063333333333333</v>
      </c>
      <c r="AD47" s="35">
        <v>39.61</v>
      </c>
      <c r="AE47" s="35">
        <v>39.28</v>
      </c>
      <c r="AF47" s="35">
        <v>39.54</v>
      </c>
      <c r="AG47" s="24">
        <f t="shared" si="5"/>
        <v>39.476666666666667</v>
      </c>
      <c r="AH47" s="35">
        <v>58.91</v>
      </c>
      <c r="AI47" s="35">
        <v>58.67</v>
      </c>
      <c r="AJ47" s="35">
        <v>8.81</v>
      </c>
      <c r="AK47" s="24">
        <f t="shared" si="6"/>
        <v>42.13</v>
      </c>
      <c r="AT47" s="10" t="s">
        <v>1258</v>
      </c>
      <c r="AU47">
        <v>8</v>
      </c>
      <c r="AV47" s="9">
        <v>0</v>
      </c>
      <c r="AW47" s="35">
        <v>30.53</v>
      </c>
      <c r="AX47" s="35">
        <v>30.49</v>
      </c>
      <c r="AY47" s="35">
        <v>30.48</v>
      </c>
      <c r="AZ47" s="24">
        <f t="shared" si="7"/>
        <v>30.5</v>
      </c>
      <c r="BA47" s="35">
        <v>38.869999999999997</v>
      </c>
      <c r="BB47" s="35">
        <v>39.72</v>
      </c>
      <c r="BC47" s="35">
        <v>38.71</v>
      </c>
      <c r="BD47" s="24">
        <f t="shared" si="8"/>
        <v>39.1</v>
      </c>
      <c r="BE47" s="35">
        <v>57.7</v>
      </c>
      <c r="BF47" s="35">
        <v>57.69</v>
      </c>
      <c r="BG47" s="35">
        <v>57.83</v>
      </c>
      <c r="BH47" s="24">
        <f t="shared" si="9"/>
        <v>57.74</v>
      </c>
      <c r="BI47" s="124">
        <v>45.98</v>
      </c>
      <c r="BJ47" s="124">
        <v>45.9</v>
      </c>
      <c r="BK47" s="124">
        <v>46.01</v>
      </c>
      <c r="BL47" s="24">
        <f t="shared" si="10"/>
        <v>45.963333333333331</v>
      </c>
      <c r="BM47" s="124">
        <v>45.86</v>
      </c>
      <c r="BN47" s="124">
        <v>45.93</v>
      </c>
      <c r="BO47" s="124">
        <v>46.02</v>
      </c>
      <c r="BP47" s="24">
        <f t="shared" si="11"/>
        <v>45.936666666666667</v>
      </c>
      <c r="BQ47" s="124">
        <v>31.67</v>
      </c>
      <c r="BR47" s="124">
        <v>31.48</v>
      </c>
      <c r="BS47" s="124">
        <v>31.52</v>
      </c>
      <c r="BT47" s="24">
        <f t="shared" si="12"/>
        <v>31.556666666666668</v>
      </c>
      <c r="BU47" s="124">
        <v>64.25</v>
      </c>
      <c r="BV47" s="124">
        <v>64.77</v>
      </c>
      <c r="BW47" s="124">
        <v>64.84</v>
      </c>
      <c r="BX47" s="24">
        <f t="shared" si="13"/>
        <v>64.61999999999999</v>
      </c>
      <c r="BY47" t="s">
        <v>1252</v>
      </c>
      <c r="BZ47" t="s">
        <v>1252</v>
      </c>
      <c r="CA47" t="s">
        <v>1252</v>
      </c>
      <c r="CB47" s="100">
        <v>42135</v>
      </c>
      <c r="CC47" s="100">
        <v>43232</v>
      </c>
      <c r="CE47" s="35">
        <v>0.4</v>
      </c>
    </row>
    <row r="48" spans="1:86" x14ac:dyDescent="0.25">
      <c r="A48" s="260" t="s">
        <v>1357</v>
      </c>
      <c r="B48" s="260" t="s">
        <v>49</v>
      </c>
      <c r="C48" s="15">
        <v>24</v>
      </c>
      <c r="D48" s="35">
        <v>1687</v>
      </c>
      <c r="E48" s="15" t="s">
        <v>379</v>
      </c>
      <c r="F48" s="100">
        <v>43231</v>
      </c>
      <c r="G48" t="s">
        <v>1358</v>
      </c>
      <c r="H48" s="9" t="s">
        <v>1108</v>
      </c>
      <c r="I48" s="10">
        <v>1</v>
      </c>
      <c r="J48" s="10" t="s">
        <v>64</v>
      </c>
      <c r="K48">
        <v>335</v>
      </c>
      <c r="L48">
        <v>93</v>
      </c>
      <c r="M48" s="9">
        <f>K48-L48</f>
        <v>242</v>
      </c>
      <c r="N48" s="35">
        <v>154</v>
      </c>
      <c r="O48" s="35">
        <v>154</v>
      </c>
      <c r="P48" s="35">
        <v>154</v>
      </c>
      <c r="Q48" s="24">
        <f>(N48+O48+P48)/3</f>
        <v>154</v>
      </c>
      <c r="R48" s="35">
        <v>212</v>
      </c>
      <c r="S48" s="35">
        <v>212</v>
      </c>
      <c r="T48" s="35">
        <v>212</v>
      </c>
      <c r="U48" s="24">
        <f>(R48+S48+T48)/3</f>
        <v>212</v>
      </c>
      <c r="V48" s="35">
        <v>9.84</v>
      </c>
      <c r="W48" s="35">
        <v>9.65</v>
      </c>
      <c r="X48" s="35">
        <v>9.9700000000000006</v>
      </c>
      <c r="Y48" s="24">
        <f>(V48+W48+X48)/3</f>
        <v>9.82</v>
      </c>
      <c r="Z48" s="35">
        <v>29</v>
      </c>
      <c r="AA48" s="35">
        <v>28.62</v>
      </c>
      <c r="AB48" s="35">
        <v>28.65</v>
      </c>
      <c r="AC48" s="24">
        <f>(Z48+AA48+AB48)/3</f>
        <v>28.756666666666671</v>
      </c>
      <c r="AD48" s="35">
        <v>38.53</v>
      </c>
      <c r="AE48" s="35">
        <v>38.659999999999997</v>
      </c>
      <c r="AF48" s="35">
        <v>38.69</v>
      </c>
      <c r="AG48" s="24">
        <f>(AD48+AE48+AF48)/3</f>
        <v>38.626666666666665</v>
      </c>
      <c r="AH48" s="35">
        <v>58.22</v>
      </c>
      <c r="AI48" s="35">
        <v>58.15</v>
      </c>
      <c r="AJ48" s="35">
        <v>58.25</v>
      </c>
      <c r="AK48" s="24">
        <f>(AH48+AI48+AJ48)/3</f>
        <v>58.206666666666671</v>
      </c>
      <c r="AT48" s="10" t="s">
        <v>1258</v>
      </c>
      <c r="AU48">
        <v>8</v>
      </c>
      <c r="AV48" s="9">
        <v>0</v>
      </c>
      <c r="AW48" s="35">
        <v>29.42</v>
      </c>
      <c r="AX48" s="35">
        <v>29.48</v>
      </c>
      <c r="AY48" s="35">
        <v>29.26</v>
      </c>
      <c r="AZ48" s="24">
        <f>(AW48+AX48+AY48)/3</f>
        <v>29.38666666666667</v>
      </c>
      <c r="BA48" s="35">
        <v>38.78</v>
      </c>
      <c r="BB48" s="35">
        <v>38.700000000000003</v>
      </c>
      <c r="BC48" s="35">
        <v>38.68</v>
      </c>
      <c r="BD48" s="24">
        <f>(BA48+BB48+BC48)/3</f>
        <v>38.72</v>
      </c>
      <c r="BE48" s="35">
        <v>57.99</v>
      </c>
      <c r="BF48" s="35">
        <v>57.67</v>
      </c>
      <c r="BG48" s="35">
        <v>57.78</v>
      </c>
      <c r="BH48" s="24">
        <f>(BE48+BF48+BG48)/3</f>
        <v>57.813333333333333</v>
      </c>
      <c r="BI48" s="124">
        <v>45.89</v>
      </c>
      <c r="BJ48" s="124">
        <v>45.77</v>
      </c>
      <c r="BK48" s="124">
        <v>45.72</v>
      </c>
      <c r="BL48" s="24">
        <f>(BI48+BJ48+BK48)/3</f>
        <v>45.793333333333329</v>
      </c>
      <c r="BM48" s="124">
        <v>46.05</v>
      </c>
      <c r="BN48" s="124">
        <v>46.66</v>
      </c>
      <c r="BO48" s="124">
        <v>46.29</v>
      </c>
      <c r="BP48" s="24">
        <f>(BM48+BN48+BO48)/3</f>
        <v>46.333333333333336</v>
      </c>
      <c r="BQ48" s="124">
        <v>33.51</v>
      </c>
      <c r="BR48" s="124">
        <v>33.54</v>
      </c>
      <c r="BS48" s="124">
        <v>33.64</v>
      </c>
      <c r="BT48" s="24">
        <f>(BQ48+BR48+BS48)/3</f>
        <v>33.563333333333333</v>
      </c>
      <c r="BU48" s="124">
        <v>62.99</v>
      </c>
      <c r="BV48" s="124">
        <v>62.87</v>
      </c>
      <c r="BW48" s="124">
        <v>62.95</v>
      </c>
      <c r="BX48" s="24">
        <f>(BU48+BV48+BW48)/3</f>
        <v>62.936666666666667</v>
      </c>
      <c r="BY48" t="s">
        <v>1252</v>
      </c>
      <c r="BZ48" t="s">
        <v>1252</v>
      </c>
      <c r="CA48" t="s">
        <v>1252</v>
      </c>
      <c r="CB48" s="100">
        <v>43231</v>
      </c>
      <c r="CC48" s="100">
        <v>43232</v>
      </c>
      <c r="CE48" s="12">
        <v>0.7</v>
      </c>
    </row>
    <row r="49" spans="1:86" x14ac:dyDescent="0.25">
      <c r="A49" t="s">
        <v>1359</v>
      </c>
      <c r="B49" t="s">
        <v>49</v>
      </c>
      <c r="C49" s="15">
        <v>25</v>
      </c>
      <c r="D49" s="35">
        <v>1688</v>
      </c>
      <c r="E49" s="15" t="s">
        <v>379</v>
      </c>
      <c r="F49" s="100">
        <v>43231</v>
      </c>
      <c r="G49" t="s">
        <v>1360</v>
      </c>
      <c r="H49" s="9" t="s">
        <v>1108</v>
      </c>
      <c r="I49" s="10">
        <v>1</v>
      </c>
      <c r="J49" s="10" t="s">
        <v>50</v>
      </c>
      <c r="K49">
        <v>459</v>
      </c>
      <c r="L49">
        <v>91</v>
      </c>
      <c r="M49" s="9">
        <f>K49-L49</f>
        <v>368</v>
      </c>
      <c r="N49" s="35">
        <v>189</v>
      </c>
      <c r="O49" s="35">
        <v>189</v>
      </c>
      <c r="P49" s="35">
        <v>189</v>
      </c>
      <c r="Q49" s="24">
        <f>(N49+O49+P49)/3</f>
        <v>189</v>
      </c>
      <c r="R49" s="35">
        <v>243</v>
      </c>
      <c r="S49" s="35">
        <v>242</v>
      </c>
      <c r="T49" s="35">
        <v>243</v>
      </c>
      <c r="U49" s="24">
        <f>(R49+S49+T49)/3</f>
        <v>242.66666666666666</v>
      </c>
      <c r="V49" s="35">
        <v>11.88</v>
      </c>
      <c r="W49" s="35">
        <v>11.65</v>
      </c>
      <c r="X49" s="35">
        <v>11.74</v>
      </c>
      <c r="Y49" s="24">
        <f>(V49+W49+X49)/3</f>
        <v>11.756666666666668</v>
      </c>
      <c r="Z49" s="35">
        <v>32.64</v>
      </c>
      <c r="AA49" s="35">
        <v>32.54</v>
      </c>
      <c r="AB49" s="35">
        <v>32.590000000000003</v>
      </c>
      <c r="AC49" s="24">
        <f>(Z49+AA49+AB49)/3</f>
        <v>32.590000000000003</v>
      </c>
      <c r="AD49" s="35">
        <v>42.45</v>
      </c>
      <c r="AE49" s="35">
        <v>42.45</v>
      </c>
      <c r="AF49" s="35">
        <v>42.39</v>
      </c>
      <c r="AG49" s="24">
        <f>(AD49+AE49+AF49)/3</f>
        <v>42.43</v>
      </c>
      <c r="AH49" s="35">
        <v>64.86</v>
      </c>
      <c r="AI49" s="35">
        <v>64.88</v>
      </c>
      <c r="AJ49" s="35">
        <v>64.790000000000006</v>
      </c>
      <c r="AK49" s="24">
        <f>(AH49+AI49+AJ49)/3</f>
        <v>64.843333333333348</v>
      </c>
      <c r="AL49" s="35">
        <v>16.510000000000002</v>
      </c>
      <c r="AM49" s="35">
        <v>16.21</v>
      </c>
      <c r="AN49" s="35">
        <v>16.739999999999998</v>
      </c>
      <c r="AO49" s="9">
        <f>(AL49+AM49+AN49)/3</f>
        <v>16.486666666666665</v>
      </c>
      <c r="AP49" s="35">
        <v>22.71</v>
      </c>
      <c r="AQ49" s="35">
        <v>22.8</v>
      </c>
      <c r="AR49" s="35">
        <v>22.55</v>
      </c>
      <c r="AS49" s="9">
        <f>(AP49+AR49+AQ49)/3</f>
        <v>22.686666666666667</v>
      </c>
      <c r="AW49" s="35">
        <v>34.51</v>
      </c>
      <c r="AX49" s="35">
        <v>34.159999999999997</v>
      </c>
      <c r="AY49" s="35">
        <v>34.36</v>
      </c>
      <c r="AZ49" s="24">
        <f>(AW49+AX49+AY49)/3</f>
        <v>34.343333333333327</v>
      </c>
      <c r="BA49" s="35">
        <v>44.36</v>
      </c>
      <c r="BB49" s="35">
        <v>44.42</v>
      </c>
      <c r="BC49" s="35">
        <v>44.41</v>
      </c>
      <c r="BD49" s="24">
        <f>(BA49+BB49+BC49)/3</f>
        <v>44.396666666666668</v>
      </c>
      <c r="BE49" s="35">
        <v>65.44</v>
      </c>
      <c r="BF49" s="35">
        <v>65.459999999999994</v>
      </c>
      <c r="BG49" s="35">
        <v>65.41</v>
      </c>
      <c r="BH49" s="24">
        <f>(BE49+BF49+BG49)/3</f>
        <v>65.436666666666653</v>
      </c>
      <c r="BI49" s="124">
        <v>51.63</v>
      </c>
      <c r="BJ49" s="124">
        <v>51.2</v>
      </c>
      <c r="BK49" s="124">
        <v>51.43</v>
      </c>
      <c r="BL49" s="24">
        <f>(BI49+BJ49+BK49)/3</f>
        <v>51.420000000000009</v>
      </c>
      <c r="BM49" s="124">
        <v>51.76</v>
      </c>
      <c r="BN49" s="124">
        <v>51.63</v>
      </c>
      <c r="BO49" s="124">
        <v>51.59</v>
      </c>
      <c r="BP49" s="24">
        <f>(BM49+BN49+BO49)/3</f>
        <v>51.660000000000004</v>
      </c>
      <c r="BQ49" s="124">
        <v>38.049999999999997</v>
      </c>
      <c r="BR49" s="124">
        <v>38.1</v>
      </c>
      <c r="BS49" s="124">
        <v>38</v>
      </c>
      <c r="BT49" s="24">
        <f>(BQ49+BR49+BS49)/3</f>
        <v>38.050000000000004</v>
      </c>
      <c r="BU49" s="124">
        <v>70.98</v>
      </c>
      <c r="BV49" s="124">
        <v>71.03</v>
      </c>
      <c r="BW49" s="124">
        <v>71.28</v>
      </c>
      <c r="BX49" s="24">
        <f>(BU49+BV49+BW49)/3</f>
        <v>71.096666666666664</v>
      </c>
      <c r="BY49" t="s">
        <v>1252</v>
      </c>
      <c r="BZ49" t="s">
        <v>1252</v>
      </c>
      <c r="CA49" t="s">
        <v>1252</v>
      </c>
      <c r="CB49" s="100">
        <v>43231</v>
      </c>
      <c r="CC49" s="100">
        <v>43232</v>
      </c>
      <c r="CD49" s="100">
        <v>43231</v>
      </c>
      <c r="CE49" s="35">
        <v>0.4</v>
      </c>
      <c r="CH49" t="s">
        <v>1361</v>
      </c>
    </row>
    <row r="50" spans="1:86" x14ac:dyDescent="0.25">
      <c r="A50" t="s">
        <v>1362</v>
      </c>
      <c r="B50" s="260" t="s">
        <v>49</v>
      </c>
      <c r="C50" s="15">
        <v>26</v>
      </c>
      <c r="D50" s="35">
        <v>1690</v>
      </c>
      <c r="E50" s="15" t="s">
        <v>379</v>
      </c>
      <c r="F50" s="100">
        <v>43232</v>
      </c>
      <c r="G50" t="s">
        <v>1363</v>
      </c>
      <c r="H50" s="9" t="s">
        <v>1108</v>
      </c>
      <c r="I50" s="10">
        <v>1</v>
      </c>
      <c r="J50" s="10" t="s">
        <v>50</v>
      </c>
      <c r="K50">
        <v>546</v>
      </c>
      <c r="L50">
        <v>93</v>
      </c>
      <c r="M50" s="9">
        <f t="shared" si="0"/>
        <v>453</v>
      </c>
      <c r="N50" s="35">
        <v>189</v>
      </c>
      <c r="O50" s="35">
        <v>189</v>
      </c>
      <c r="P50" s="35">
        <v>188</v>
      </c>
      <c r="Q50" s="24">
        <f t="shared" si="1"/>
        <v>188.66666666666666</v>
      </c>
      <c r="R50" s="35">
        <v>252</v>
      </c>
      <c r="S50" s="35">
        <v>252</v>
      </c>
      <c r="T50" s="35">
        <v>252</v>
      </c>
      <c r="U50" s="24">
        <f t="shared" si="2"/>
        <v>252</v>
      </c>
      <c r="V50" s="35">
        <v>12.79</v>
      </c>
      <c r="W50" s="35">
        <v>12.63</v>
      </c>
      <c r="X50" s="35">
        <v>12.63</v>
      </c>
      <c r="Y50" s="24">
        <f t="shared" si="3"/>
        <v>12.683333333333335</v>
      </c>
      <c r="Z50" s="35">
        <v>35</v>
      </c>
      <c r="AA50" s="35">
        <v>34.590000000000003</v>
      </c>
      <c r="AB50" s="35">
        <v>34.69</v>
      </c>
      <c r="AC50" s="24">
        <f t="shared" si="4"/>
        <v>34.76</v>
      </c>
      <c r="AD50" s="35">
        <v>45.24</v>
      </c>
      <c r="AE50" s="35">
        <v>45.23</v>
      </c>
      <c r="AF50" s="35">
        <v>45.34</v>
      </c>
      <c r="AG50" s="24">
        <f t="shared" si="5"/>
        <v>45.27</v>
      </c>
      <c r="AH50" s="35">
        <v>68.459999999999994</v>
      </c>
      <c r="AI50" s="35">
        <v>68.66</v>
      </c>
      <c r="AJ50" s="35">
        <v>68.72</v>
      </c>
      <c r="AK50" s="24">
        <f t="shared" si="6"/>
        <v>68.61333333333333</v>
      </c>
      <c r="AL50" s="35">
        <v>17.22</v>
      </c>
      <c r="AM50" s="35">
        <v>17.8</v>
      </c>
      <c r="AN50" s="35">
        <v>17.61</v>
      </c>
      <c r="AO50" s="9">
        <f>(AL50+AM50+AN50)/3</f>
        <v>17.543333333333333</v>
      </c>
      <c r="AP50" s="35">
        <v>24.54</v>
      </c>
      <c r="AQ50" s="35">
        <v>23.62</v>
      </c>
      <c r="AR50" s="35">
        <v>23.23</v>
      </c>
      <c r="AS50" s="9">
        <f>(AP50+AR50+AQ50)/3</f>
        <v>23.796666666666667</v>
      </c>
      <c r="AW50" s="35">
        <v>35.020000000000003</v>
      </c>
      <c r="AX50" s="35">
        <v>34.700000000000003</v>
      </c>
      <c r="AY50" s="35">
        <v>34.97</v>
      </c>
      <c r="AZ50" s="24">
        <f t="shared" si="7"/>
        <v>34.896666666666668</v>
      </c>
      <c r="BA50" s="35">
        <v>45.17</v>
      </c>
      <c r="BB50" s="35">
        <v>45.12</v>
      </c>
      <c r="BC50" s="35">
        <v>45.08</v>
      </c>
      <c r="BD50" s="24">
        <f t="shared" si="8"/>
        <v>45.123333333333335</v>
      </c>
      <c r="BE50" s="35">
        <v>70.28</v>
      </c>
      <c r="BF50" s="35">
        <v>70.349999999999994</v>
      </c>
      <c r="BG50" s="35">
        <v>70.16</v>
      </c>
      <c r="BH50" s="24">
        <f t="shared" si="9"/>
        <v>70.263333333333335</v>
      </c>
      <c r="BI50" s="124">
        <v>54.39</v>
      </c>
      <c r="BJ50" s="124">
        <v>54.56</v>
      </c>
      <c r="BK50" s="124">
        <v>54.48</v>
      </c>
      <c r="BL50" s="24">
        <f t="shared" si="10"/>
        <v>54.476666666666667</v>
      </c>
      <c r="BM50" s="124">
        <v>54.24</v>
      </c>
      <c r="BN50" s="124">
        <v>54.42</v>
      </c>
      <c r="BO50" s="124">
        <v>55.78</v>
      </c>
      <c r="BP50" s="24">
        <f t="shared" si="11"/>
        <v>54.813333333333333</v>
      </c>
      <c r="BQ50" s="124">
        <v>39.86</v>
      </c>
      <c r="BR50" s="124">
        <v>39.729999999999997</v>
      </c>
      <c r="BS50" s="124">
        <v>39.79</v>
      </c>
      <c r="BT50" s="24">
        <f t="shared" si="12"/>
        <v>39.793333333333329</v>
      </c>
      <c r="BU50" s="124">
        <v>72.88</v>
      </c>
      <c r="BV50" s="124">
        <v>72.86</v>
      </c>
      <c r="BW50" s="124">
        <v>72.959999999999994</v>
      </c>
      <c r="BX50" s="24">
        <f t="shared" si="13"/>
        <v>72.899999999999991</v>
      </c>
      <c r="BY50" t="s">
        <v>1252</v>
      </c>
      <c r="BZ50" t="s">
        <v>1252</v>
      </c>
      <c r="CA50" t="s">
        <v>1252</v>
      </c>
      <c r="CB50" s="100">
        <v>43232</v>
      </c>
      <c r="CE50" s="35">
        <v>0.5</v>
      </c>
    </row>
    <row r="51" spans="1:86" x14ac:dyDescent="0.25">
      <c r="A51" s="260" t="s">
        <v>1364</v>
      </c>
      <c r="B51" s="260" t="s">
        <v>49</v>
      </c>
      <c r="C51" s="15">
        <v>27</v>
      </c>
      <c r="D51" s="35">
        <v>1691</v>
      </c>
      <c r="E51" s="15" t="s">
        <v>379</v>
      </c>
      <c r="F51" s="100">
        <v>43232</v>
      </c>
      <c r="G51" t="s">
        <v>1365</v>
      </c>
      <c r="H51" s="9" t="s">
        <v>1108</v>
      </c>
      <c r="I51" s="10">
        <v>1</v>
      </c>
      <c r="J51" s="10" t="s">
        <v>64</v>
      </c>
      <c r="K51">
        <v>327</v>
      </c>
      <c r="L51">
        <v>91</v>
      </c>
      <c r="M51" s="9">
        <f t="shared" si="0"/>
        <v>236</v>
      </c>
      <c r="N51" s="35">
        <v>154</v>
      </c>
      <c r="O51" s="35">
        <v>155</v>
      </c>
      <c r="P51" s="35">
        <v>155</v>
      </c>
      <c r="Q51" s="24">
        <f t="shared" si="1"/>
        <v>154.66666666666666</v>
      </c>
      <c r="R51" s="35">
        <v>218</v>
      </c>
      <c r="S51" s="35">
        <v>217</v>
      </c>
      <c r="T51" s="35">
        <v>217</v>
      </c>
      <c r="U51" s="24">
        <f t="shared" si="2"/>
        <v>217.33333333333334</v>
      </c>
      <c r="V51" s="35">
        <v>11.17</v>
      </c>
      <c r="W51" s="35">
        <v>11.24</v>
      </c>
      <c r="X51" s="35">
        <v>11.12</v>
      </c>
      <c r="Y51" s="24">
        <f t="shared" si="3"/>
        <v>11.176666666666668</v>
      </c>
      <c r="Z51" s="35">
        <v>29.81</v>
      </c>
      <c r="AA51" s="35">
        <v>29.96</v>
      </c>
      <c r="AB51" s="35">
        <v>29.93</v>
      </c>
      <c r="AC51" s="24">
        <f t="shared" si="4"/>
        <v>29.899999999999995</v>
      </c>
      <c r="AD51" s="35">
        <v>38.950000000000003</v>
      </c>
      <c r="AE51" s="35">
        <v>38.86</v>
      </c>
      <c r="AF51" s="35">
        <v>38.83</v>
      </c>
      <c r="AG51" s="24">
        <f t="shared" si="5"/>
        <v>38.880000000000003</v>
      </c>
      <c r="AH51" s="35">
        <v>59.05</v>
      </c>
      <c r="AI51" s="35">
        <v>59.2</v>
      </c>
      <c r="AJ51" s="35">
        <v>59.22</v>
      </c>
      <c r="AK51" s="24">
        <f t="shared" si="6"/>
        <v>59.156666666666666</v>
      </c>
      <c r="AT51" s="10" t="s">
        <v>1258</v>
      </c>
      <c r="AU51">
        <v>8</v>
      </c>
      <c r="AV51" s="9">
        <v>0</v>
      </c>
      <c r="AW51" s="35">
        <v>29.99</v>
      </c>
      <c r="AX51" s="35">
        <v>29.78</v>
      </c>
      <c r="AY51" s="35">
        <v>29.9</v>
      </c>
      <c r="AZ51" s="24">
        <f t="shared" si="7"/>
        <v>29.889999999999997</v>
      </c>
      <c r="BA51" s="35">
        <v>39.619999999999997</v>
      </c>
      <c r="BB51" s="35">
        <v>39.24</v>
      </c>
      <c r="BC51" s="35">
        <v>39.21</v>
      </c>
      <c r="BD51" s="24">
        <f t="shared" si="8"/>
        <v>39.356666666666662</v>
      </c>
      <c r="BE51" s="35">
        <v>59.73</v>
      </c>
      <c r="BF51" s="35">
        <v>59.7</v>
      </c>
      <c r="BG51" s="35">
        <v>59.63</v>
      </c>
      <c r="BH51" s="24">
        <f t="shared" si="9"/>
        <v>59.686666666666667</v>
      </c>
      <c r="BI51" s="124">
        <v>45.77</v>
      </c>
      <c r="BJ51" s="124">
        <v>45.77</v>
      </c>
      <c r="BK51" s="124">
        <v>45.63</v>
      </c>
      <c r="BL51" s="24">
        <f t="shared" si="10"/>
        <v>45.723333333333336</v>
      </c>
      <c r="BM51" s="124">
        <v>45.42</v>
      </c>
      <c r="BN51" s="124">
        <v>45.66</v>
      </c>
      <c r="BO51" s="124">
        <v>45.57</v>
      </c>
      <c r="BP51" s="24">
        <f t="shared" si="11"/>
        <v>45.550000000000004</v>
      </c>
      <c r="BQ51" s="124">
        <v>32.69</v>
      </c>
      <c r="BR51" s="124">
        <v>32.65</v>
      </c>
      <c r="BS51" s="124">
        <v>32.78</v>
      </c>
      <c r="BT51" s="24">
        <f t="shared" si="12"/>
        <v>32.706666666666671</v>
      </c>
      <c r="BU51" s="124">
        <v>64.599999999999994</v>
      </c>
      <c r="BV51" s="124">
        <v>64.5</v>
      </c>
      <c r="BW51" s="124">
        <v>64.27</v>
      </c>
      <c r="BX51" s="24">
        <f t="shared" si="13"/>
        <v>64.456666666666663</v>
      </c>
      <c r="BY51" t="s">
        <v>1252</v>
      </c>
      <c r="BZ51" t="s">
        <v>1252</v>
      </c>
      <c r="CA51" t="s">
        <v>1252</v>
      </c>
      <c r="CB51" s="100">
        <v>43232</v>
      </c>
      <c r="CE51" s="35">
        <v>0.9</v>
      </c>
    </row>
    <row r="52" spans="1:86" x14ac:dyDescent="0.25">
      <c r="A52" t="s">
        <v>1366</v>
      </c>
      <c r="B52" s="260" t="s">
        <v>49</v>
      </c>
      <c r="C52" s="15">
        <v>28</v>
      </c>
      <c r="D52" s="35">
        <v>1692</v>
      </c>
      <c r="E52" s="15" t="s">
        <v>379</v>
      </c>
      <c r="F52" s="100">
        <v>43232</v>
      </c>
      <c r="G52" t="s">
        <v>1367</v>
      </c>
      <c r="H52" s="9" t="s">
        <v>1108</v>
      </c>
      <c r="I52" s="10">
        <v>1</v>
      </c>
      <c r="J52" s="10" t="s">
        <v>50</v>
      </c>
      <c r="K52">
        <v>432</v>
      </c>
      <c r="L52">
        <v>92</v>
      </c>
      <c r="M52" s="9">
        <f t="shared" si="0"/>
        <v>340</v>
      </c>
      <c r="N52" s="35">
        <v>157</v>
      </c>
      <c r="O52" s="35">
        <v>156</v>
      </c>
      <c r="P52" s="35">
        <v>157</v>
      </c>
      <c r="Q52" s="24">
        <f t="shared" si="1"/>
        <v>156.66666666666666</v>
      </c>
      <c r="R52" s="35">
        <v>230</v>
      </c>
      <c r="S52" s="35">
        <v>229</v>
      </c>
      <c r="T52" s="35">
        <v>230</v>
      </c>
      <c r="U52" s="24">
        <f t="shared" si="2"/>
        <v>229.66666666666666</v>
      </c>
      <c r="V52" s="35">
        <v>11.58</v>
      </c>
      <c r="W52" s="35">
        <v>10.95</v>
      </c>
      <c r="X52" s="35">
        <v>11.29</v>
      </c>
      <c r="Y52" s="24">
        <f t="shared" si="3"/>
        <v>11.273333333333333</v>
      </c>
      <c r="Z52" s="35">
        <v>33.450000000000003</v>
      </c>
      <c r="AA52" s="35">
        <v>33.36</v>
      </c>
      <c r="AB52" s="35">
        <v>33.33</v>
      </c>
      <c r="AC52" s="24">
        <f t="shared" si="4"/>
        <v>33.380000000000003</v>
      </c>
      <c r="AD52" s="35">
        <v>41.81</v>
      </c>
      <c r="AE52" s="35">
        <v>41.91</v>
      </c>
      <c r="AF52" s="35">
        <v>41.93</v>
      </c>
      <c r="AG52" s="24">
        <f t="shared" si="5"/>
        <v>41.883333333333333</v>
      </c>
      <c r="AH52" s="35">
        <v>64.709999999999994</v>
      </c>
      <c r="AI52" s="35">
        <v>64.75</v>
      </c>
      <c r="AJ52" s="35">
        <v>64.63</v>
      </c>
      <c r="AK52" s="24">
        <f t="shared" si="6"/>
        <v>64.696666666666658</v>
      </c>
      <c r="AL52" s="35">
        <v>16.21</v>
      </c>
      <c r="AM52" s="35">
        <v>17.04</v>
      </c>
      <c r="AN52" s="35">
        <v>17.03</v>
      </c>
      <c r="AO52" s="9">
        <f>(AL52+AM52+AN52)/3</f>
        <v>16.760000000000002</v>
      </c>
      <c r="AP52" s="35">
        <v>23.75</v>
      </c>
      <c r="AQ52" s="35">
        <v>22.96</v>
      </c>
      <c r="AR52" s="35">
        <v>23.08</v>
      </c>
      <c r="AS52" s="9">
        <f>(AP52+AR52+AQ52)/3</f>
        <v>23.263333333333332</v>
      </c>
      <c r="AW52" s="35">
        <v>33.56</v>
      </c>
      <c r="AX52" s="35">
        <v>33.74</v>
      </c>
      <c r="AY52" s="35">
        <v>33.54</v>
      </c>
      <c r="AZ52" s="24">
        <f t="shared" si="7"/>
        <v>33.613333333333337</v>
      </c>
      <c r="BA52" s="35">
        <v>42.6</v>
      </c>
      <c r="BB52" s="35">
        <v>42.53</v>
      </c>
      <c r="BC52" s="35">
        <v>42.46</v>
      </c>
      <c r="BD52" s="24">
        <f t="shared" si="8"/>
        <v>42.53</v>
      </c>
      <c r="BE52" s="35">
        <v>65.55</v>
      </c>
      <c r="BF52" s="35">
        <v>65.17</v>
      </c>
      <c r="BG52" s="35">
        <v>65.180000000000007</v>
      </c>
      <c r="BH52" s="24">
        <f t="shared" si="9"/>
        <v>65.3</v>
      </c>
      <c r="BI52" s="124">
        <v>50.75</v>
      </c>
      <c r="BJ52" s="124">
        <v>50.54</v>
      </c>
      <c r="BK52" s="124">
        <v>50.61</v>
      </c>
      <c r="BL52" s="24">
        <f t="shared" si="10"/>
        <v>50.633333333333326</v>
      </c>
      <c r="BM52" s="124">
        <v>50.55</v>
      </c>
      <c r="BN52" s="124">
        <v>50.24</v>
      </c>
      <c r="BO52" s="124">
        <v>50.6</v>
      </c>
      <c r="BP52" s="24">
        <f t="shared" si="11"/>
        <v>50.463333333333331</v>
      </c>
      <c r="BQ52" s="124">
        <v>37.409999999999997</v>
      </c>
      <c r="BR52" s="124">
        <v>37.799999999999997</v>
      </c>
      <c r="BS52" s="124">
        <v>37.549999999999997</v>
      </c>
      <c r="BT52" s="24">
        <f t="shared" si="12"/>
        <v>37.586666666666666</v>
      </c>
      <c r="BU52" s="124">
        <v>67.91</v>
      </c>
      <c r="BV52" s="124">
        <v>67.98</v>
      </c>
      <c r="BW52" s="124">
        <v>67.849999999999994</v>
      </c>
      <c r="BX52" s="24">
        <f t="shared" si="13"/>
        <v>67.913333333333327</v>
      </c>
      <c r="BY52" t="s">
        <v>1252</v>
      </c>
      <c r="BZ52" t="s">
        <v>1252</v>
      </c>
      <c r="CA52" t="s">
        <v>1252</v>
      </c>
      <c r="CB52" s="100">
        <v>43232</v>
      </c>
      <c r="CE52" s="35">
        <v>0.08</v>
      </c>
    </row>
    <row r="53" spans="1:86" x14ac:dyDescent="0.25">
      <c r="A53" s="260" t="s">
        <v>1368</v>
      </c>
      <c r="B53" s="260" t="s">
        <v>49</v>
      </c>
      <c r="C53" s="15">
        <v>29</v>
      </c>
      <c r="D53" s="35">
        <v>1693</v>
      </c>
      <c r="E53" s="15" t="s">
        <v>379</v>
      </c>
      <c r="F53" s="100">
        <v>43232</v>
      </c>
      <c r="G53" t="s">
        <v>1369</v>
      </c>
      <c r="H53" s="9" t="s">
        <v>1108</v>
      </c>
      <c r="I53" s="10">
        <v>1</v>
      </c>
      <c r="J53" s="10" t="s">
        <v>50</v>
      </c>
      <c r="K53">
        <v>488</v>
      </c>
      <c r="L53">
        <v>94</v>
      </c>
      <c r="M53" s="9">
        <f t="shared" si="0"/>
        <v>394</v>
      </c>
      <c r="N53" s="35">
        <v>185</v>
      </c>
      <c r="O53" s="35">
        <v>186</v>
      </c>
      <c r="P53" s="35">
        <v>186</v>
      </c>
      <c r="Q53" s="24">
        <f t="shared" si="1"/>
        <v>185.66666666666666</v>
      </c>
      <c r="R53" s="35">
        <v>255</v>
      </c>
      <c r="S53" s="35">
        <v>255</v>
      </c>
      <c r="T53" s="35">
        <v>254</v>
      </c>
      <c r="U53" s="24">
        <f t="shared" si="2"/>
        <v>254.66666666666666</v>
      </c>
      <c r="V53" s="35">
        <v>11.49</v>
      </c>
      <c r="W53" s="35">
        <v>11.27</v>
      </c>
      <c r="X53" s="35">
        <v>11.64</v>
      </c>
      <c r="Y53" s="24">
        <f t="shared" si="3"/>
        <v>11.466666666666667</v>
      </c>
      <c r="Z53" s="35">
        <v>45.41</v>
      </c>
      <c r="AA53" s="35">
        <v>45.45</v>
      </c>
      <c r="AB53" s="35">
        <v>35.450000000000003</v>
      </c>
      <c r="AC53" s="24">
        <f t="shared" si="4"/>
        <v>42.103333333333332</v>
      </c>
      <c r="AD53" s="35">
        <v>44.75</v>
      </c>
      <c r="AE53" s="35">
        <v>44.8</v>
      </c>
      <c r="AF53" s="35">
        <v>44.68</v>
      </c>
      <c r="AG53" s="24">
        <f t="shared" si="5"/>
        <v>44.743333333333332</v>
      </c>
      <c r="AH53" s="35">
        <v>68.81</v>
      </c>
      <c r="AI53" s="35">
        <v>68.680000000000007</v>
      </c>
      <c r="AJ53" s="35">
        <v>68.739999999999995</v>
      </c>
      <c r="AK53" s="24">
        <f t="shared" si="6"/>
        <v>68.743333333333339</v>
      </c>
      <c r="AL53" s="35">
        <v>17.78</v>
      </c>
      <c r="AM53" s="35">
        <v>17.36</v>
      </c>
      <c r="AN53" s="35">
        <v>17.62</v>
      </c>
      <c r="AO53" s="9">
        <f>(AL53+AM53+AN53)/3</f>
        <v>17.58666666666667</v>
      </c>
      <c r="AP53" s="35">
        <v>24.69</v>
      </c>
      <c r="AQ53" s="35">
        <v>24.6</v>
      </c>
      <c r="AR53" s="35">
        <v>24.78</v>
      </c>
      <c r="AS53" s="9">
        <f>(AP53+AR53+AQ53)/3</f>
        <v>24.689999999999998</v>
      </c>
      <c r="AW53" s="35">
        <v>35.57</v>
      </c>
      <c r="AX53" s="35">
        <v>35.630000000000003</v>
      </c>
      <c r="AY53" s="35">
        <v>35.35</v>
      </c>
      <c r="AZ53" s="24">
        <f t="shared" si="7"/>
        <v>35.516666666666673</v>
      </c>
      <c r="BA53" s="35">
        <v>45.87</v>
      </c>
      <c r="BB53" s="35">
        <v>45.78</v>
      </c>
      <c r="BC53" s="35">
        <v>45.81</v>
      </c>
      <c r="BD53" s="24">
        <f t="shared" si="8"/>
        <v>45.82</v>
      </c>
      <c r="BE53" s="35">
        <v>70.52</v>
      </c>
      <c r="BF53" s="35">
        <v>70.150000000000006</v>
      </c>
      <c r="BG53" s="35">
        <v>70.12</v>
      </c>
      <c r="BH53" s="24">
        <f t="shared" si="9"/>
        <v>70.263333333333335</v>
      </c>
      <c r="BI53" s="124">
        <v>55.36</v>
      </c>
      <c r="BJ53" s="124">
        <v>55.65</v>
      </c>
      <c r="BK53" s="124">
        <v>55.65</v>
      </c>
      <c r="BL53" s="24">
        <f t="shared" si="10"/>
        <v>55.553333333333335</v>
      </c>
      <c r="BM53" s="124">
        <v>55.27</v>
      </c>
      <c r="BN53" s="124">
        <v>54.74</v>
      </c>
      <c r="BO53" s="124">
        <v>55.13</v>
      </c>
      <c r="BP53" s="24">
        <f t="shared" si="11"/>
        <v>55.046666666666674</v>
      </c>
      <c r="BQ53" s="124">
        <v>38.36</v>
      </c>
      <c r="BR53" s="124">
        <v>38.700000000000003</v>
      </c>
      <c r="BS53" s="124">
        <v>38.36</v>
      </c>
      <c r="BT53" s="24">
        <f t="shared" si="12"/>
        <v>38.473333333333336</v>
      </c>
      <c r="BU53" s="124">
        <v>72.010000000000005</v>
      </c>
      <c r="BV53" s="124">
        <v>72.180000000000007</v>
      </c>
      <c r="BW53" s="124">
        <v>72.099999999999994</v>
      </c>
      <c r="BX53" s="24">
        <f t="shared" si="13"/>
        <v>72.096666666666664</v>
      </c>
      <c r="BY53" t="s">
        <v>1252</v>
      </c>
      <c r="BZ53" t="s">
        <v>1252</v>
      </c>
      <c r="CA53" t="s">
        <v>1252</v>
      </c>
      <c r="CB53" s="100">
        <v>43232</v>
      </c>
      <c r="CE53" s="12">
        <v>0.7</v>
      </c>
    </row>
    <row r="54" spans="1:86" x14ac:dyDescent="0.25">
      <c r="A54" t="s">
        <v>1370</v>
      </c>
      <c r="B54" s="260" t="s">
        <v>49</v>
      </c>
      <c r="C54" s="15">
        <v>30</v>
      </c>
      <c r="D54" s="35">
        <v>1626</v>
      </c>
      <c r="E54" s="15" t="s">
        <v>379</v>
      </c>
      <c r="F54" s="100">
        <v>43232</v>
      </c>
      <c r="G54" t="s">
        <v>1371</v>
      </c>
      <c r="H54" s="9" t="s">
        <v>1108</v>
      </c>
      <c r="I54" s="10">
        <v>1</v>
      </c>
      <c r="J54" s="10" t="s">
        <v>50</v>
      </c>
      <c r="K54">
        <v>455</v>
      </c>
      <c r="L54">
        <v>95</v>
      </c>
      <c r="M54" s="9">
        <f t="shared" si="0"/>
        <v>360</v>
      </c>
      <c r="N54" s="35">
        <v>171</v>
      </c>
      <c r="O54" s="35">
        <v>172</v>
      </c>
      <c r="P54" s="35">
        <v>172</v>
      </c>
      <c r="Q54" s="24">
        <f t="shared" si="1"/>
        <v>171.66666666666666</v>
      </c>
      <c r="R54" s="35">
        <v>236</v>
      </c>
      <c r="S54" s="35">
        <v>236</v>
      </c>
      <c r="T54" s="35">
        <v>237</v>
      </c>
      <c r="U54" s="24">
        <f t="shared" si="2"/>
        <v>236.33333333333334</v>
      </c>
      <c r="V54" s="35">
        <v>12.56</v>
      </c>
      <c r="W54" s="35">
        <v>12.3</v>
      </c>
      <c r="X54" s="35">
        <v>12.5</v>
      </c>
      <c r="Y54" s="24">
        <f t="shared" si="3"/>
        <v>12.453333333333333</v>
      </c>
      <c r="Z54" s="35">
        <v>33.15</v>
      </c>
      <c r="AA54" s="35">
        <v>33.049999999999997</v>
      </c>
      <c r="AB54" s="35">
        <v>33.19</v>
      </c>
      <c r="AC54" s="24">
        <f t="shared" si="4"/>
        <v>33.129999999999995</v>
      </c>
      <c r="AD54" s="35">
        <v>42.92</v>
      </c>
      <c r="AE54" s="35">
        <v>42.95</v>
      </c>
      <c r="AF54" s="35">
        <v>42.93</v>
      </c>
      <c r="AG54" s="24">
        <f t="shared" si="5"/>
        <v>42.933333333333337</v>
      </c>
      <c r="AH54" s="35">
        <v>66.150000000000006</v>
      </c>
      <c r="AI54" s="35">
        <v>66.319999999999993</v>
      </c>
      <c r="AJ54" s="35">
        <v>66.239999999999995</v>
      </c>
      <c r="AK54" s="24">
        <f t="shared" si="6"/>
        <v>66.236666666666665</v>
      </c>
      <c r="AL54" s="35">
        <v>16.32</v>
      </c>
      <c r="AM54" s="35">
        <v>16.91</v>
      </c>
      <c r="AN54" s="35">
        <v>16.71</v>
      </c>
      <c r="AO54" s="9">
        <f>(AL54+AM54+AN54)/3</f>
        <v>16.646666666666668</v>
      </c>
      <c r="AP54" s="35">
        <v>24.15</v>
      </c>
      <c r="AQ54" s="35">
        <v>24.89</v>
      </c>
      <c r="AR54" s="35">
        <v>24.81</v>
      </c>
      <c r="AS54" s="9">
        <f>(AP54+AR54+AQ54)/3</f>
        <v>24.616666666666664</v>
      </c>
      <c r="AW54" s="35">
        <v>33.369999999999997</v>
      </c>
      <c r="AX54" s="35">
        <v>33.22</v>
      </c>
      <c r="AY54" s="35">
        <v>33.450000000000003</v>
      </c>
      <c r="AZ54" s="24">
        <f t="shared" si="7"/>
        <v>33.346666666666671</v>
      </c>
      <c r="BA54" s="35">
        <v>43.09</v>
      </c>
      <c r="BB54" s="35">
        <v>43.11</v>
      </c>
      <c r="BC54" s="35">
        <v>43.17</v>
      </c>
      <c r="BD54" s="24">
        <f t="shared" si="8"/>
        <v>43.123333333333335</v>
      </c>
      <c r="BE54" s="35">
        <v>65.72</v>
      </c>
      <c r="BF54" s="35">
        <v>65.900000000000006</v>
      </c>
      <c r="BG54" s="35">
        <v>65.98</v>
      </c>
      <c r="BH54" s="24">
        <f t="shared" si="9"/>
        <v>65.866666666666674</v>
      </c>
      <c r="BI54" s="124">
        <v>52.97</v>
      </c>
      <c r="BJ54" s="124">
        <v>52.79</v>
      </c>
      <c r="BK54" s="124">
        <v>52.97</v>
      </c>
      <c r="BL54" s="24">
        <f t="shared" si="10"/>
        <v>52.91</v>
      </c>
      <c r="BM54" s="124">
        <v>53</v>
      </c>
      <c r="BN54" s="124">
        <v>53.19</v>
      </c>
      <c r="BO54" s="124">
        <v>53.05</v>
      </c>
      <c r="BP54" s="24">
        <f t="shared" si="11"/>
        <v>53.080000000000005</v>
      </c>
      <c r="BQ54" s="124">
        <v>37.380000000000003</v>
      </c>
      <c r="BR54" s="124">
        <v>37.5</v>
      </c>
      <c r="BS54" s="124">
        <v>37.520000000000003</v>
      </c>
      <c r="BT54" s="24">
        <f t="shared" si="12"/>
        <v>37.466666666666669</v>
      </c>
      <c r="BU54" s="124">
        <v>69.98</v>
      </c>
      <c r="BV54" s="124">
        <v>69.95</v>
      </c>
      <c r="BW54" s="124">
        <v>69.86</v>
      </c>
      <c r="BX54" s="24">
        <f t="shared" si="13"/>
        <v>69.930000000000007</v>
      </c>
      <c r="BY54" t="s">
        <v>1252</v>
      </c>
      <c r="BZ54" t="s">
        <v>1252</v>
      </c>
      <c r="CA54" t="s">
        <v>1252</v>
      </c>
      <c r="CB54" s="100">
        <v>46885</v>
      </c>
      <c r="CE54" s="35">
        <v>0.01</v>
      </c>
    </row>
    <row r="55" spans="1:86" x14ac:dyDescent="0.25">
      <c r="A55" s="260" t="s">
        <v>1372</v>
      </c>
      <c r="B55" s="260" t="s">
        <v>49</v>
      </c>
      <c r="C55" s="15">
        <v>31</v>
      </c>
      <c r="D55" s="35">
        <v>1630</v>
      </c>
      <c r="E55" s="261" t="s">
        <v>379</v>
      </c>
      <c r="F55" s="262">
        <v>43233</v>
      </c>
      <c r="G55" s="99" t="s">
        <v>1373</v>
      </c>
      <c r="H55" s="136" t="s">
        <v>1111</v>
      </c>
      <c r="I55" s="10">
        <v>2</v>
      </c>
      <c r="J55" s="10" t="s">
        <v>64</v>
      </c>
      <c r="K55">
        <v>377</v>
      </c>
      <c r="L55">
        <v>95</v>
      </c>
      <c r="M55" s="9">
        <f>K55-L55</f>
        <v>282</v>
      </c>
      <c r="N55" s="35">
        <v>164</v>
      </c>
      <c r="O55" s="35">
        <v>165</v>
      </c>
      <c r="P55" s="35">
        <v>164</v>
      </c>
      <c r="Q55" s="24">
        <f>(N55+O55+P55)/3</f>
        <v>164.33333333333334</v>
      </c>
      <c r="R55" s="35">
        <v>230</v>
      </c>
      <c r="S55" s="35">
        <v>230</v>
      </c>
      <c r="T55" s="35">
        <v>230</v>
      </c>
      <c r="U55" s="24">
        <f>(R55+S55+T55)/3</f>
        <v>230</v>
      </c>
      <c r="V55" s="35">
        <v>9.7899999999999991</v>
      </c>
      <c r="W55" s="35">
        <v>9.9700000000000006</v>
      </c>
      <c r="X55" s="35">
        <v>9.92</v>
      </c>
      <c r="Y55" s="24">
        <f>(V55+W55+X55)/3</f>
        <v>9.8933333333333326</v>
      </c>
      <c r="Z55" s="35">
        <v>30.75</v>
      </c>
      <c r="AA55" s="35">
        <v>30.57</v>
      </c>
      <c r="AB55" s="35">
        <v>30.4</v>
      </c>
      <c r="AC55" s="24">
        <f>(Z55+AA55+AB55)/3</f>
        <v>30.573333333333334</v>
      </c>
      <c r="AD55" s="35">
        <v>38.57</v>
      </c>
      <c r="AE55" s="35">
        <v>38.74</v>
      </c>
      <c r="AF55" s="35">
        <v>38.79</v>
      </c>
      <c r="AG55" s="24">
        <f>(AD55+AE55+AF55)/3</f>
        <v>38.699999999999996</v>
      </c>
      <c r="AH55" s="35">
        <v>59.23</v>
      </c>
      <c r="AI55" s="35">
        <v>59.2</v>
      </c>
      <c r="AJ55" s="35">
        <v>59.21</v>
      </c>
      <c r="AK55" s="24">
        <f>(AH55+AI55+AJ55)/3</f>
        <v>59.213333333333338</v>
      </c>
      <c r="AT55" s="10" t="s">
        <v>1251</v>
      </c>
      <c r="AU55">
        <v>8</v>
      </c>
      <c r="AV55" s="9">
        <v>8</v>
      </c>
      <c r="AW55" s="35">
        <v>30.75</v>
      </c>
      <c r="AX55" s="35">
        <v>30.5</v>
      </c>
      <c r="AY55" s="35">
        <v>30.78</v>
      </c>
      <c r="AZ55" s="24">
        <f>(AW55+AX55+AY55)/3</f>
        <v>30.676666666666666</v>
      </c>
      <c r="BA55" s="35">
        <v>38.369999999999997</v>
      </c>
      <c r="BB55" s="35">
        <v>38.43</v>
      </c>
      <c r="BC55" s="35">
        <v>38.229999999999997</v>
      </c>
      <c r="BD55" s="24">
        <f>(BA55+BB55+BC55)/3</f>
        <v>38.343333333333334</v>
      </c>
      <c r="BE55" s="35">
        <v>60.62</v>
      </c>
      <c r="BF55" s="35">
        <v>60.58</v>
      </c>
      <c r="BG55" s="35">
        <v>60.7</v>
      </c>
      <c r="BH55" s="24">
        <f>(BE55+BF55+BG55)/3</f>
        <v>60.633333333333326</v>
      </c>
      <c r="BI55" s="124">
        <v>46.12</v>
      </c>
      <c r="BJ55" s="124">
        <v>46.04</v>
      </c>
      <c r="BK55" s="124">
        <v>46.06</v>
      </c>
      <c r="BL55" s="24">
        <f>(BI55+BJ55+BK55)/3</f>
        <v>46.073333333333331</v>
      </c>
      <c r="BM55" s="124">
        <v>46.17</v>
      </c>
      <c r="BN55" s="124">
        <v>46.16</v>
      </c>
      <c r="BO55" s="124">
        <v>46.15</v>
      </c>
      <c r="BP55" s="24">
        <f>(BM55+BN55+BO55)/3</f>
        <v>46.16</v>
      </c>
      <c r="BQ55" s="124">
        <v>34.799999999999997</v>
      </c>
      <c r="BR55" s="124">
        <v>34.979999999999997</v>
      </c>
      <c r="BS55" s="124">
        <v>34.78</v>
      </c>
      <c r="BT55" s="24">
        <f>(BQ55+BR55+BS55)/3</f>
        <v>34.853333333333332</v>
      </c>
      <c r="BU55" s="124">
        <v>64.7</v>
      </c>
      <c r="BV55" s="124">
        <v>64.709999999999994</v>
      </c>
      <c r="BW55" s="124">
        <v>64.73</v>
      </c>
      <c r="BX55" s="24">
        <f>(BU55+BV55+BW55)/3</f>
        <v>64.713333333333324</v>
      </c>
      <c r="BY55" t="s">
        <v>1252</v>
      </c>
      <c r="BZ55" t="s">
        <v>1252</v>
      </c>
      <c r="CA55" t="s">
        <v>1252</v>
      </c>
      <c r="CB55" s="100">
        <v>43233</v>
      </c>
      <c r="CD55" s="100">
        <v>46886</v>
      </c>
      <c r="CE55" s="35">
        <v>0.65</v>
      </c>
    </row>
    <row r="56" spans="1:86" x14ac:dyDescent="0.25">
      <c r="A56" s="99" t="s">
        <v>1374</v>
      </c>
      <c r="B56" s="260" t="s">
        <v>49</v>
      </c>
      <c r="C56" s="15">
        <v>32</v>
      </c>
      <c r="D56" s="35">
        <v>1631</v>
      </c>
      <c r="E56" s="261" t="s">
        <v>379</v>
      </c>
      <c r="F56" s="262">
        <v>43233</v>
      </c>
      <c r="G56" s="99" t="s">
        <v>1375</v>
      </c>
      <c r="H56" s="136" t="s">
        <v>1111</v>
      </c>
      <c r="I56" s="10">
        <v>1</v>
      </c>
      <c r="J56" s="10" t="s">
        <v>50</v>
      </c>
      <c r="K56">
        <v>555</v>
      </c>
      <c r="L56">
        <v>95</v>
      </c>
      <c r="M56" s="9">
        <f>K56-L56</f>
        <v>460</v>
      </c>
      <c r="N56" s="35">
        <v>182</v>
      </c>
      <c r="O56" s="35">
        <v>182</v>
      </c>
      <c r="P56" s="35">
        <v>182</v>
      </c>
      <c r="Q56" s="24">
        <f>(N56+O56+P56)/3</f>
        <v>182</v>
      </c>
      <c r="R56" s="35">
        <v>236</v>
      </c>
      <c r="S56" s="35">
        <v>236</v>
      </c>
      <c r="T56" s="35">
        <v>236</v>
      </c>
      <c r="U56" s="24">
        <f>(R56+S56+T56)/3</f>
        <v>236</v>
      </c>
      <c r="V56" s="35">
        <v>10.78</v>
      </c>
      <c r="W56" s="35">
        <v>10.85</v>
      </c>
      <c r="X56" s="35">
        <v>10.84</v>
      </c>
      <c r="Y56" s="24">
        <f>(V56+W56+X56)/3</f>
        <v>10.823333333333332</v>
      </c>
      <c r="Z56" s="35">
        <v>33.619999999999997</v>
      </c>
      <c r="AA56" s="35">
        <v>33.520000000000003</v>
      </c>
      <c r="AB56" s="35">
        <v>33.409999999999997</v>
      </c>
      <c r="AC56" s="24">
        <f>(Z56+AA56+AB56)/3</f>
        <v>33.516666666666666</v>
      </c>
      <c r="AD56" s="35">
        <v>43.72</v>
      </c>
      <c r="AE56" s="35">
        <v>43.58</v>
      </c>
      <c r="AF56" s="35">
        <v>43.7</v>
      </c>
      <c r="AG56" s="24">
        <f>(AD56+AE56+AF56)/3</f>
        <v>43.666666666666664</v>
      </c>
      <c r="AH56" s="35">
        <v>66.89</v>
      </c>
      <c r="AI56" s="35">
        <v>66.959999999999994</v>
      </c>
      <c r="AJ56" s="35">
        <v>66.88</v>
      </c>
      <c r="AK56" s="24">
        <f>(AH56+AI56+AJ56)/3</f>
        <v>66.91</v>
      </c>
      <c r="AL56" s="35">
        <v>17.18</v>
      </c>
      <c r="AM56" s="35">
        <v>17.3</v>
      </c>
      <c r="AN56" s="35">
        <v>17.18</v>
      </c>
      <c r="AO56" s="9">
        <f>(AL56+AM56+AN56)/3</f>
        <v>17.220000000000002</v>
      </c>
      <c r="AP56" s="35">
        <v>23.78</v>
      </c>
      <c r="AQ56" s="35">
        <v>23.19</v>
      </c>
      <c r="AR56" s="35">
        <v>23.38</v>
      </c>
      <c r="AS56" s="9">
        <f>(AP56+AR56+AQ56)/3</f>
        <v>23.45</v>
      </c>
      <c r="AW56" s="35">
        <v>33.799999999999997</v>
      </c>
      <c r="AX56" s="35">
        <v>33.81</v>
      </c>
      <c r="AY56" s="35">
        <v>33.85</v>
      </c>
      <c r="AZ56" s="24">
        <f>(AW56+AX56+AY56)/3</f>
        <v>33.82</v>
      </c>
      <c r="BA56" s="35">
        <v>43.34</v>
      </c>
      <c r="BB56" s="35">
        <v>43.15</v>
      </c>
      <c r="BC56" s="35">
        <v>43.62</v>
      </c>
      <c r="BD56" s="24">
        <f>(BA56+BB56+BC56)/3</f>
        <v>43.370000000000005</v>
      </c>
      <c r="BE56" s="35">
        <v>68.52</v>
      </c>
      <c r="BF56" s="35">
        <v>68.73</v>
      </c>
      <c r="BG56" s="35">
        <v>68.709999999999994</v>
      </c>
      <c r="BH56" s="24">
        <f>(BE56+BF56+BG56)/3</f>
        <v>68.653333333333322</v>
      </c>
      <c r="BI56" s="124">
        <v>54.26</v>
      </c>
      <c r="BJ56" s="124">
        <v>54.37</v>
      </c>
      <c r="BK56" s="124">
        <v>54.5</v>
      </c>
      <c r="BL56" s="24">
        <f>(BI56+BJ56+BK56)/3</f>
        <v>54.376666666666665</v>
      </c>
      <c r="BM56" s="124">
        <v>53.86</v>
      </c>
      <c r="BN56" s="124">
        <v>53.56</v>
      </c>
      <c r="BO56" s="124">
        <v>53.76</v>
      </c>
      <c r="BP56" s="24">
        <f>(BM56+BN56+BO56)/3</f>
        <v>53.726666666666667</v>
      </c>
      <c r="BQ56" s="124">
        <v>39.049999999999997</v>
      </c>
      <c r="BR56" s="124">
        <v>39.18</v>
      </c>
      <c r="BS56" s="124">
        <v>39.36</v>
      </c>
      <c r="BT56" s="24">
        <f>(BQ56+BR56+BS56)/3</f>
        <v>39.196666666666665</v>
      </c>
      <c r="BU56" s="124">
        <v>72.819999999999993</v>
      </c>
      <c r="BV56" s="124">
        <v>72.819999999999993</v>
      </c>
      <c r="BW56" s="124">
        <v>72.819999999999993</v>
      </c>
      <c r="BX56" s="24">
        <f>(BU56+BV56+BW56)/3</f>
        <v>72.819999999999993</v>
      </c>
      <c r="BY56" t="s">
        <v>1252</v>
      </c>
      <c r="BZ56" t="s">
        <v>1252</v>
      </c>
      <c r="CA56" t="s">
        <v>1252</v>
      </c>
      <c r="CB56" s="100">
        <v>43234</v>
      </c>
      <c r="CC56" s="100">
        <v>43234</v>
      </c>
      <c r="CD56" s="100">
        <v>46886</v>
      </c>
      <c r="CE56" s="35">
        <v>0.6</v>
      </c>
    </row>
    <row r="57" spans="1:86" x14ac:dyDescent="0.25">
      <c r="A57" s="260" t="s">
        <v>1376</v>
      </c>
      <c r="B57" s="260" t="s">
        <v>49</v>
      </c>
      <c r="C57" s="15">
        <v>33</v>
      </c>
      <c r="D57" s="35">
        <v>1632</v>
      </c>
      <c r="E57" s="15" t="s">
        <v>379</v>
      </c>
      <c r="F57" s="100">
        <v>43234</v>
      </c>
      <c r="G57" t="s">
        <v>1377</v>
      </c>
      <c r="H57" s="9" t="s">
        <v>1111</v>
      </c>
      <c r="I57" s="10">
        <v>1</v>
      </c>
      <c r="J57" s="10" t="s">
        <v>50</v>
      </c>
      <c r="K57">
        <v>440</v>
      </c>
      <c r="L57">
        <v>94</v>
      </c>
      <c r="M57" s="9">
        <f t="shared" si="0"/>
        <v>346</v>
      </c>
      <c r="N57" s="35">
        <v>171</v>
      </c>
      <c r="O57" s="35">
        <v>172</v>
      </c>
      <c r="P57" s="35">
        <v>172</v>
      </c>
      <c r="Q57" s="24">
        <f t="shared" si="1"/>
        <v>171.66666666666666</v>
      </c>
      <c r="R57" s="35">
        <v>254</v>
      </c>
      <c r="S57" s="35">
        <v>254</v>
      </c>
      <c r="T57" s="35">
        <v>254</v>
      </c>
      <c r="U57" s="24">
        <v>254</v>
      </c>
      <c r="V57" s="35">
        <v>10.43</v>
      </c>
      <c r="W57" s="35">
        <v>10.9</v>
      </c>
      <c r="X57" s="35">
        <v>10.84</v>
      </c>
      <c r="Y57" s="24">
        <f t="shared" si="3"/>
        <v>10.723333333333334</v>
      </c>
      <c r="Z57" s="35">
        <v>32.83</v>
      </c>
      <c r="AA57" s="35">
        <v>32.49</v>
      </c>
      <c r="AB57" s="35">
        <v>32.86</v>
      </c>
      <c r="AC57" s="24">
        <f t="shared" si="4"/>
        <v>32.726666666666667</v>
      </c>
      <c r="AD57" s="35">
        <v>42.65</v>
      </c>
      <c r="AE57" s="35">
        <v>42.66</v>
      </c>
      <c r="AF57" s="35">
        <v>42.54</v>
      </c>
      <c r="AG57" s="24">
        <f t="shared" si="5"/>
        <v>42.616666666666667</v>
      </c>
      <c r="AH57" s="35">
        <v>64.290000000000006</v>
      </c>
      <c r="AI57" s="35">
        <v>64.260000000000005</v>
      </c>
      <c r="AJ57" s="35">
        <v>64.31</v>
      </c>
      <c r="AK57" s="24">
        <f t="shared" si="6"/>
        <v>64.286666666666676</v>
      </c>
      <c r="AL57" s="35">
        <v>16.510000000000002</v>
      </c>
      <c r="AM57" s="35">
        <v>16.45</v>
      </c>
      <c r="AN57" s="35">
        <v>16.72</v>
      </c>
      <c r="AO57" s="9">
        <f>(AL57+AM57+AN57)/3</f>
        <v>16.559999999999999</v>
      </c>
      <c r="AP57" s="35">
        <v>25.01</v>
      </c>
      <c r="AQ57" s="35">
        <v>24.42</v>
      </c>
      <c r="AR57" s="35">
        <v>24.81</v>
      </c>
      <c r="AS57" s="9">
        <f>(AP57+AR57+AQ57)/3</f>
        <v>24.74666666666667</v>
      </c>
      <c r="AW57" s="35">
        <v>33.04</v>
      </c>
      <c r="AX57" s="35">
        <v>33.520000000000003</v>
      </c>
      <c r="AY57" s="35">
        <v>33.46</v>
      </c>
      <c r="AZ57" s="24">
        <f t="shared" si="7"/>
        <v>33.340000000000003</v>
      </c>
      <c r="BA57" s="35">
        <v>42.38</v>
      </c>
      <c r="BB57" s="35">
        <v>42.52</v>
      </c>
      <c r="BC57" s="35">
        <v>42.6</v>
      </c>
      <c r="BD57" s="24">
        <f t="shared" si="8"/>
        <v>42.5</v>
      </c>
      <c r="BE57" s="35">
        <v>64.86</v>
      </c>
      <c r="BF57" s="35">
        <v>64.66</v>
      </c>
      <c r="BG57" s="35">
        <v>64.760000000000005</v>
      </c>
      <c r="BH57" s="24">
        <f t="shared" si="9"/>
        <v>64.759999999999991</v>
      </c>
      <c r="BI57" s="124">
        <v>51.12</v>
      </c>
      <c r="BJ57" s="124">
        <v>51.26</v>
      </c>
      <c r="BK57" s="124">
        <v>51.36</v>
      </c>
      <c r="BL57" s="24">
        <f t="shared" si="10"/>
        <v>51.24666666666667</v>
      </c>
      <c r="BM57" s="124">
        <v>51.72</v>
      </c>
      <c r="BN57" s="124">
        <v>51.67</v>
      </c>
      <c r="BO57" s="124">
        <v>51.71</v>
      </c>
      <c r="BP57" s="24">
        <f t="shared" si="11"/>
        <v>51.699999999999996</v>
      </c>
      <c r="BQ57" s="124">
        <v>36.299999999999997</v>
      </c>
      <c r="BR57" s="124">
        <v>36.08</v>
      </c>
      <c r="BS57" s="124">
        <v>36.15</v>
      </c>
      <c r="BT57" s="24">
        <f t="shared" si="12"/>
        <v>36.176666666666669</v>
      </c>
      <c r="BU57" s="124">
        <v>66.510000000000005</v>
      </c>
      <c r="BV57" s="124">
        <v>66.58</v>
      </c>
      <c r="BW57" s="124">
        <v>66.75</v>
      </c>
      <c r="BX57" s="24">
        <f t="shared" si="13"/>
        <v>66.61333333333333</v>
      </c>
      <c r="BY57" t="s">
        <v>1252</v>
      </c>
      <c r="BZ57" t="s">
        <v>1252</v>
      </c>
      <c r="CA57" t="s">
        <v>1252</v>
      </c>
      <c r="CB57" s="100">
        <v>43234</v>
      </c>
      <c r="CE57" s="12">
        <v>0.5</v>
      </c>
    </row>
    <row r="58" spans="1:86" x14ac:dyDescent="0.25">
      <c r="A58" s="99" t="s">
        <v>1378</v>
      </c>
      <c r="B58" s="260" t="s">
        <v>49</v>
      </c>
      <c r="C58" s="15">
        <v>34</v>
      </c>
      <c r="D58" s="35">
        <v>1633</v>
      </c>
      <c r="E58" s="261" t="s">
        <v>379</v>
      </c>
      <c r="F58" s="262">
        <v>43234</v>
      </c>
      <c r="G58" s="99" t="s">
        <v>1375</v>
      </c>
      <c r="H58" s="136" t="s">
        <v>1111</v>
      </c>
      <c r="I58" s="10">
        <v>1</v>
      </c>
      <c r="J58" s="10" t="s">
        <v>50</v>
      </c>
      <c r="K58">
        <v>558</v>
      </c>
      <c r="L58">
        <v>94</v>
      </c>
      <c r="M58" s="9">
        <f t="shared" si="0"/>
        <v>464</v>
      </c>
      <c r="N58" s="35">
        <v>182</v>
      </c>
      <c r="O58" s="35">
        <v>183</v>
      </c>
      <c r="P58" s="35">
        <v>182</v>
      </c>
      <c r="Q58" s="24">
        <f t="shared" si="1"/>
        <v>182.33333333333334</v>
      </c>
      <c r="R58" s="35">
        <v>234</v>
      </c>
      <c r="S58" s="35">
        <v>235</v>
      </c>
      <c r="T58" s="35">
        <v>235</v>
      </c>
      <c r="U58" s="24">
        <f t="shared" ref="U58:U133" si="14">(R58+S58+T58)/3</f>
        <v>234.66666666666666</v>
      </c>
      <c r="V58" s="35">
        <v>13.8</v>
      </c>
      <c r="W58" s="35">
        <v>13.91</v>
      </c>
      <c r="X58" s="35">
        <v>13.97</v>
      </c>
      <c r="Y58" s="24">
        <f t="shared" si="3"/>
        <v>13.893333333333333</v>
      </c>
      <c r="Z58" s="35">
        <v>34.68</v>
      </c>
      <c r="AA58" s="35">
        <v>34.6</v>
      </c>
      <c r="AB58" s="35">
        <v>34.71</v>
      </c>
      <c r="AC58" s="24">
        <f t="shared" si="4"/>
        <v>34.663333333333334</v>
      </c>
      <c r="AD58" s="35">
        <v>44.42</v>
      </c>
      <c r="AE58" s="35">
        <v>44.38</v>
      </c>
      <c r="AF58" s="35">
        <v>44.31</v>
      </c>
      <c r="AG58" s="24">
        <f t="shared" si="5"/>
        <v>44.370000000000005</v>
      </c>
      <c r="AH58" s="35">
        <v>68.64</v>
      </c>
      <c r="AI58" s="35">
        <v>68.8</v>
      </c>
      <c r="AJ58" s="35">
        <v>68.62</v>
      </c>
      <c r="AK58" s="24">
        <f t="shared" si="6"/>
        <v>68.686666666666667</v>
      </c>
      <c r="AL58" s="35">
        <v>16.48</v>
      </c>
      <c r="AM58" s="35">
        <v>16.77</v>
      </c>
      <c r="AN58" s="35">
        <v>16.600000000000001</v>
      </c>
      <c r="AO58" s="9">
        <v>26.92</v>
      </c>
      <c r="AP58" s="35">
        <v>26.92</v>
      </c>
      <c r="AQ58" s="35">
        <v>26.49</v>
      </c>
      <c r="AR58" s="35">
        <v>26.68</v>
      </c>
      <c r="AS58" s="9">
        <f>(AP58+AR58+AQ58)/3</f>
        <v>26.696666666666669</v>
      </c>
      <c r="AW58" s="35">
        <v>34.68</v>
      </c>
      <c r="AX58" s="35">
        <v>34.61</v>
      </c>
      <c r="AY58" s="35">
        <v>34.520000000000003</v>
      </c>
      <c r="AZ58" s="24">
        <f t="shared" si="7"/>
        <v>34.603333333333332</v>
      </c>
      <c r="BA58" s="35">
        <v>44.55</v>
      </c>
      <c r="BB58" s="35">
        <v>44.54</v>
      </c>
      <c r="BC58" s="35">
        <v>44.49</v>
      </c>
      <c r="BD58" s="24">
        <f t="shared" si="8"/>
        <v>44.526666666666671</v>
      </c>
      <c r="BE58" s="35">
        <v>68.52</v>
      </c>
      <c r="BF58" s="35">
        <v>68.5</v>
      </c>
      <c r="BG58" s="35">
        <v>68.34</v>
      </c>
      <c r="BH58" s="24">
        <f t="shared" si="9"/>
        <v>68.453333333333333</v>
      </c>
      <c r="BI58" s="35">
        <v>54.94</v>
      </c>
      <c r="BJ58" s="35">
        <v>54.67</v>
      </c>
      <c r="BK58" s="35">
        <v>54.63</v>
      </c>
      <c r="BL58" s="24">
        <f t="shared" si="10"/>
        <v>54.74666666666667</v>
      </c>
      <c r="BM58" s="35">
        <v>54.48</v>
      </c>
      <c r="BN58" s="35">
        <v>54.39</v>
      </c>
      <c r="BO58" s="35">
        <v>54.59</v>
      </c>
      <c r="BP58" s="24">
        <f t="shared" si="11"/>
        <v>54.486666666666672</v>
      </c>
      <c r="BQ58" s="35">
        <v>40.75</v>
      </c>
      <c r="BR58" s="35">
        <v>40.92</v>
      </c>
      <c r="BS58" s="35">
        <v>40.67</v>
      </c>
      <c r="BT58" s="24">
        <f t="shared" si="12"/>
        <v>40.78</v>
      </c>
      <c r="BU58" s="35">
        <v>71.69</v>
      </c>
      <c r="BV58" s="35">
        <v>71.5</v>
      </c>
      <c r="BW58" s="35">
        <v>71.75</v>
      </c>
      <c r="BX58" s="24">
        <f t="shared" si="13"/>
        <v>71.646666666666661</v>
      </c>
      <c r="BY58" t="s">
        <v>1252</v>
      </c>
      <c r="BZ58" t="s">
        <v>1252</v>
      </c>
      <c r="CA58" t="s">
        <v>1252</v>
      </c>
      <c r="CB58" s="100">
        <v>43234</v>
      </c>
      <c r="CE58" s="35">
        <v>1</v>
      </c>
    </row>
    <row r="59" spans="1:86" x14ac:dyDescent="0.25">
      <c r="A59" s="260" t="s">
        <v>1379</v>
      </c>
      <c r="B59" s="260" t="s">
        <v>49</v>
      </c>
      <c r="C59" s="15">
        <v>35</v>
      </c>
      <c r="D59" s="35">
        <v>1634</v>
      </c>
      <c r="E59" s="15" t="s">
        <v>379</v>
      </c>
      <c r="F59" s="100">
        <v>43234</v>
      </c>
      <c r="G59" t="s">
        <v>1380</v>
      </c>
      <c r="H59" s="9" t="s">
        <v>1111</v>
      </c>
      <c r="I59" s="10">
        <v>1</v>
      </c>
      <c r="J59" s="10" t="s">
        <v>50</v>
      </c>
      <c r="K59">
        <v>435</v>
      </c>
      <c r="L59">
        <v>91</v>
      </c>
      <c r="M59" s="9">
        <f t="shared" si="0"/>
        <v>344</v>
      </c>
      <c r="N59" s="35">
        <v>172</v>
      </c>
      <c r="O59" s="35">
        <v>172</v>
      </c>
      <c r="P59" s="35">
        <v>172</v>
      </c>
      <c r="Q59" s="24">
        <f t="shared" si="1"/>
        <v>172</v>
      </c>
      <c r="R59" s="35">
        <v>236</v>
      </c>
      <c r="S59" s="35">
        <v>236</v>
      </c>
      <c r="T59" s="35">
        <v>236</v>
      </c>
      <c r="U59" s="24">
        <f t="shared" si="14"/>
        <v>236</v>
      </c>
      <c r="V59" s="35">
        <v>11.21</v>
      </c>
      <c r="W59" s="35">
        <v>10.98</v>
      </c>
      <c r="X59" s="35">
        <v>11.35</v>
      </c>
      <c r="Y59" s="24">
        <f t="shared" si="3"/>
        <v>11.18</v>
      </c>
      <c r="Z59" s="35">
        <v>33.270000000000003</v>
      </c>
      <c r="AA59" s="35">
        <v>33.200000000000003</v>
      </c>
      <c r="AB59" s="35">
        <v>33.409999999999997</v>
      </c>
      <c r="AC59" s="24">
        <f t="shared" si="4"/>
        <v>33.293333333333329</v>
      </c>
      <c r="AD59" s="35">
        <v>42.03</v>
      </c>
      <c r="AE59" s="35">
        <v>42.01</v>
      </c>
      <c r="AF59" s="35">
        <v>42.07</v>
      </c>
      <c r="AG59" s="24">
        <f t="shared" si="5"/>
        <v>42.036666666666662</v>
      </c>
      <c r="AH59" s="35">
        <v>64.430000000000007</v>
      </c>
      <c r="AI59" s="35">
        <v>64.47</v>
      </c>
      <c r="AJ59" s="35">
        <v>64.28</v>
      </c>
      <c r="AK59" s="24">
        <f t="shared" si="6"/>
        <v>64.393333333333331</v>
      </c>
      <c r="AL59" s="35">
        <v>15.86</v>
      </c>
      <c r="AM59" s="35">
        <v>15.56</v>
      </c>
      <c r="AN59" s="35">
        <v>15.68</v>
      </c>
      <c r="AP59" s="35">
        <v>24.34</v>
      </c>
      <c r="AQ59" s="35">
        <v>24.02</v>
      </c>
      <c r="AR59" s="35">
        <v>23.92</v>
      </c>
      <c r="AS59" s="9">
        <f>(AP59+AR59+AQ59)/3</f>
        <v>24.093333333333334</v>
      </c>
      <c r="AW59" s="35">
        <v>33.119999999999997</v>
      </c>
      <c r="AX59" s="35">
        <v>33.020000000000003</v>
      </c>
      <c r="AY59" s="35">
        <v>33</v>
      </c>
      <c r="AZ59" s="24">
        <f t="shared" si="7"/>
        <v>33.046666666666667</v>
      </c>
      <c r="BA59" s="35">
        <v>42.87</v>
      </c>
      <c r="BB59" s="35">
        <v>42.93</v>
      </c>
      <c r="BC59" s="35">
        <v>43.99</v>
      </c>
      <c r="BD59" s="24">
        <f t="shared" si="8"/>
        <v>43.263333333333328</v>
      </c>
      <c r="BE59" s="35">
        <v>66.27</v>
      </c>
      <c r="BF59" s="35">
        <v>66.05</v>
      </c>
      <c r="BG59" s="35">
        <v>66.16</v>
      </c>
      <c r="BH59" s="24">
        <f t="shared" si="9"/>
        <v>66.16</v>
      </c>
      <c r="BI59" s="35">
        <v>50.6</v>
      </c>
      <c r="BJ59" s="35">
        <v>50.59</v>
      </c>
      <c r="BK59" s="35">
        <v>50.63</v>
      </c>
      <c r="BL59" s="24">
        <f t="shared" si="10"/>
        <v>50.606666666666662</v>
      </c>
      <c r="BM59" s="35">
        <v>50.41</v>
      </c>
      <c r="BN59" s="35">
        <v>50.49</v>
      </c>
      <c r="BO59" s="35">
        <v>50.2</v>
      </c>
      <c r="BP59" s="24">
        <f t="shared" si="11"/>
        <v>50.366666666666674</v>
      </c>
      <c r="BQ59" s="35">
        <v>37.869999999999997</v>
      </c>
      <c r="BR59" s="35">
        <v>37.83</v>
      </c>
      <c r="BS59" s="35">
        <v>37.85</v>
      </c>
      <c r="BT59" s="24">
        <f t="shared" si="12"/>
        <v>37.849999999999994</v>
      </c>
      <c r="BU59" s="35">
        <v>68</v>
      </c>
      <c r="BV59" s="35">
        <v>67.91</v>
      </c>
      <c r="BW59" s="35">
        <v>68.11</v>
      </c>
      <c r="BX59" s="24">
        <f t="shared" si="13"/>
        <v>68.006666666666661</v>
      </c>
      <c r="BY59" t="s">
        <v>1252</v>
      </c>
      <c r="BZ59" t="s">
        <v>1252</v>
      </c>
      <c r="CA59" t="s">
        <v>1252</v>
      </c>
      <c r="CB59" s="100">
        <v>43234</v>
      </c>
      <c r="CE59" s="35">
        <v>0.15</v>
      </c>
    </row>
    <row r="60" spans="1:86" x14ac:dyDescent="0.25">
      <c r="A60" t="s">
        <v>1381</v>
      </c>
      <c r="B60" s="260" t="s">
        <v>49</v>
      </c>
      <c r="C60" s="15">
        <v>36</v>
      </c>
      <c r="D60" s="35">
        <v>1635</v>
      </c>
      <c r="E60" s="15" t="s">
        <v>379</v>
      </c>
      <c r="F60" s="100">
        <v>43234</v>
      </c>
      <c r="G60" t="s">
        <v>1382</v>
      </c>
      <c r="H60" s="9" t="s">
        <v>1111</v>
      </c>
      <c r="I60" s="10">
        <v>1</v>
      </c>
      <c r="J60" s="10" t="s">
        <v>64</v>
      </c>
      <c r="K60">
        <v>327</v>
      </c>
      <c r="L60">
        <v>91</v>
      </c>
      <c r="M60" s="9">
        <f t="shared" si="0"/>
        <v>236</v>
      </c>
      <c r="N60" s="35">
        <v>158</v>
      </c>
      <c r="O60" s="35">
        <v>159</v>
      </c>
      <c r="P60" s="35">
        <v>159</v>
      </c>
      <c r="Q60" s="24">
        <f t="shared" si="1"/>
        <v>158.66666666666666</v>
      </c>
      <c r="R60" s="35">
        <v>231</v>
      </c>
      <c r="S60" s="35">
        <v>231</v>
      </c>
      <c r="T60" s="35">
        <v>231</v>
      </c>
      <c r="U60" s="24">
        <f t="shared" si="14"/>
        <v>231</v>
      </c>
      <c r="V60" s="35">
        <v>10.35</v>
      </c>
      <c r="W60" s="35">
        <v>9.81</v>
      </c>
      <c r="X60" s="35">
        <v>10.1</v>
      </c>
      <c r="Y60" s="24">
        <f t="shared" si="3"/>
        <v>10.086666666666666</v>
      </c>
      <c r="Z60" s="35">
        <v>37.79</v>
      </c>
      <c r="AA60" s="35">
        <v>30.64</v>
      </c>
      <c r="AB60" s="35">
        <v>30.69</v>
      </c>
      <c r="AC60" s="24">
        <f t="shared" si="4"/>
        <v>33.04</v>
      </c>
      <c r="AD60" s="35">
        <v>39.75</v>
      </c>
      <c r="AE60" s="35">
        <v>39.76</v>
      </c>
      <c r="AF60" s="35">
        <v>39.72</v>
      </c>
      <c r="AG60" s="24">
        <f t="shared" si="5"/>
        <v>39.743333333333332</v>
      </c>
      <c r="AH60" s="35">
        <v>58.87</v>
      </c>
      <c r="AI60" s="35">
        <v>58.84</v>
      </c>
      <c r="AJ60" s="35">
        <v>58.74</v>
      </c>
      <c r="AK60" s="24">
        <f t="shared" si="6"/>
        <v>58.81666666666667</v>
      </c>
      <c r="AT60" s="10" t="s">
        <v>1258</v>
      </c>
      <c r="AU60">
        <v>8</v>
      </c>
      <c r="AV60" s="9">
        <v>0</v>
      </c>
      <c r="AW60" s="35">
        <v>30.59</v>
      </c>
      <c r="AX60" s="35">
        <v>30.37</v>
      </c>
      <c r="AY60" s="35">
        <v>30.44</v>
      </c>
      <c r="AZ60" s="24">
        <f t="shared" si="7"/>
        <v>30.466666666666669</v>
      </c>
      <c r="BA60" s="35">
        <v>38.97</v>
      </c>
      <c r="BB60" s="35">
        <v>38.89</v>
      </c>
      <c r="BC60" s="35">
        <v>38.94</v>
      </c>
      <c r="BD60" s="24">
        <f t="shared" si="8"/>
        <v>38.93333333333333</v>
      </c>
      <c r="BE60" s="35">
        <v>57.39</v>
      </c>
      <c r="BF60" s="35">
        <v>57.57</v>
      </c>
      <c r="BG60" s="35">
        <v>57.85</v>
      </c>
      <c r="BH60" s="24">
        <f t="shared" si="9"/>
        <v>57.603333333333332</v>
      </c>
      <c r="BI60" s="35">
        <v>44.44</v>
      </c>
      <c r="BJ60" s="35">
        <v>44.77</v>
      </c>
      <c r="BK60" s="35">
        <v>44.76</v>
      </c>
      <c r="BL60" s="24">
        <f t="shared" si="10"/>
        <v>44.656666666666666</v>
      </c>
      <c r="BM60" s="35">
        <v>44.84</v>
      </c>
      <c r="BN60" s="35">
        <v>44.77</v>
      </c>
      <c r="BO60" s="35">
        <v>44.65</v>
      </c>
      <c r="BP60" s="24">
        <f t="shared" si="11"/>
        <v>44.753333333333337</v>
      </c>
      <c r="BQ60" s="35">
        <v>33.32</v>
      </c>
      <c r="BR60" s="35">
        <v>33.33</v>
      </c>
      <c r="BS60" s="35">
        <v>33.299999999999997</v>
      </c>
      <c r="BT60" s="24">
        <f t="shared" si="12"/>
        <v>33.31666666666667</v>
      </c>
      <c r="BU60" s="35">
        <v>63.65</v>
      </c>
      <c r="BV60" s="35">
        <v>63.2</v>
      </c>
      <c r="BW60" s="35">
        <v>63.38</v>
      </c>
      <c r="BX60" s="24">
        <f t="shared" si="13"/>
        <v>63.41</v>
      </c>
      <c r="BY60" t="s">
        <v>1252</v>
      </c>
      <c r="BZ60" t="s">
        <v>1252</v>
      </c>
      <c r="CA60" t="s">
        <v>1252</v>
      </c>
      <c r="CB60" s="100">
        <v>43234</v>
      </c>
      <c r="CE60" s="35">
        <v>1E-3</v>
      </c>
    </row>
    <row r="61" spans="1:86" x14ac:dyDescent="0.25">
      <c r="A61" s="260" t="s">
        <v>1383</v>
      </c>
      <c r="B61" s="260" t="s">
        <v>49</v>
      </c>
      <c r="C61" s="15">
        <v>37</v>
      </c>
      <c r="D61" s="35">
        <v>1636</v>
      </c>
      <c r="E61" s="15" t="s">
        <v>379</v>
      </c>
      <c r="F61" s="100">
        <v>43235</v>
      </c>
      <c r="G61" t="s">
        <v>1384</v>
      </c>
      <c r="H61" s="9" t="s">
        <v>1111</v>
      </c>
      <c r="I61" s="10">
        <v>2</v>
      </c>
      <c r="J61" s="10" t="s">
        <v>64</v>
      </c>
      <c r="K61">
        <v>408</v>
      </c>
      <c r="L61">
        <v>94</v>
      </c>
      <c r="M61" s="9">
        <f t="shared" si="0"/>
        <v>314</v>
      </c>
      <c r="N61" s="35">
        <v>178</v>
      </c>
      <c r="O61" s="35">
        <v>178</v>
      </c>
      <c r="P61" s="35">
        <v>178</v>
      </c>
      <c r="Q61" s="24">
        <f t="shared" si="1"/>
        <v>178</v>
      </c>
      <c r="R61" s="35">
        <v>233</v>
      </c>
      <c r="S61" s="35">
        <v>233</v>
      </c>
      <c r="T61" s="35">
        <v>233</v>
      </c>
      <c r="U61" s="24">
        <f t="shared" si="14"/>
        <v>233</v>
      </c>
      <c r="V61" s="35">
        <v>12.78</v>
      </c>
      <c r="W61" s="35">
        <v>12.77</v>
      </c>
      <c r="X61" s="35">
        <v>12.44</v>
      </c>
      <c r="Y61" s="24">
        <f t="shared" si="3"/>
        <v>12.663333333333332</v>
      </c>
      <c r="Z61" s="35">
        <v>30.84</v>
      </c>
      <c r="AA61" s="35">
        <v>30.57</v>
      </c>
      <c r="AB61" s="35">
        <v>30.42</v>
      </c>
      <c r="AC61" s="24">
        <f t="shared" si="4"/>
        <v>30.61</v>
      </c>
      <c r="AD61" s="35">
        <v>38.93</v>
      </c>
      <c r="AE61" s="35">
        <v>38.97</v>
      </c>
      <c r="AF61" s="35">
        <v>38.880000000000003</v>
      </c>
      <c r="AG61" s="24">
        <f t="shared" si="5"/>
        <v>38.926666666666669</v>
      </c>
      <c r="AH61" s="35">
        <v>59.81</v>
      </c>
      <c r="AI61" s="35">
        <v>59.82</v>
      </c>
      <c r="AJ61" s="35">
        <v>59.79</v>
      </c>
      <c r="AK61" s="24">
        <f t="shared" si="6"/>
        <v>59.806666666666665</v>
      </c>
      <c r="AT61" s="10" t="s">
        <v>1251</v>
      </c>
      <c r="AU61">
        <v>8</v>
      </c>
      <c r="AV61" s="9">
        <v>5</v>
      </c>
      <c r="AW61" s="35">
        <v>30.42</v>
      </c>
      <c r="AX61" s="35">
        <v>30.68</v>
      </c>
      <c r="AY61" s="35">
        <v>30.59</v>
      </c>
      <c r="AZ61" s="24">
        <f t="shared" si="7"/>
        <v>30.563333333333333</v>
      </c>
      <c r="BA61" s="35">
        <v>39.29</v>
      </c>
      <c r="BB61" s="35">
        <v>39.119999999999997</v>
      </c>
      <c r="BC61" s="35">
        <v>39.32</v>
      </c>
      <c r="BD61" s="24">
        <f t="shared" si="8"/>
        <v>39.243333333333332</v>
      </c>
      <c r="BE61" s="35">
        <v>62.98</v>
      </c>
      <c r="BF61" s="35">
        <v>62.9</v>
      </c>
      <c r="BG61" s="35">
        <v>63</v>
      </c>
      <c r="BH61" s="24">
        <f t="shared" si="9"/>
        <v>62.96</v>
      </c>
      <c r="BI61" s="35">
        <v>47.51</v>
      </c>
      <c r="BJ61" s="35">
        <v>47.36</v>
      </c>
      <c r="BK61" s="35">
        <v>47.34</v>
      </c>
      <c r="BL61" s="24">
        <f t="shared" si="10"/>
        <v>47.403333333333336</v>
      </c>
      <c r="BM61" s="35">
        <v>47.2</v>
      </c>
      <c r="BN61" s="35">
        <v>47.2</v>
      </c>
      <c r="BO61" s="35">
        <v>47.42</v>
      </c>
      <c r="BP61" s="24">
        <f t="shared" si="11"/>
        <v>47.273333333333333</v>
      </c>
      <c r="BQ61" s="35">
        <v>35.51</v>
      </c>
      <c r="BR61" s="35">
        <v>35.58</v>
      </c>
      <c r="BS61" s="35">
        <v>35.619999999999997</v>
      </c>
      <c r="BT61" s="24">
        <f t="shared" si="12"/>
        <v>35.57</v>
      </c>
      <c r="BU61" s="35">
        <v>66.56</v>
      </c>
      <c r="BV61" s="35">
        <v>66.23</v>
      </c>
      <c r="BW61" s="35">
        <v>66.36</v>
      </c>
      <c r="BX61" s="24">
        <f t="shared" si="13"/>
        <v>66.38333333333334</v>
      </c>
      <c r="BY61" t="s">
        <v>1252</v>
      </c>
      <c r="BZ61" t="s">
        <v>1252</v>
      </c>
      <c r="CA61" t="s">
        <v>1252</v>
      </c>
      <c r="CB61" s="100">
        <v>43235</v>
      </c>
      <c r="CD61" s="100">
        <v>43235</v>
      </c>
      <c r="CE61" s="35">
        <v>0.5</v>
      </c>
    </row>
    <row r="62" spans="1:86" x14ac:dyDescent="0.25">
      <c r="A62" t="s">
        <v>1385</v>
      </c>
      <c r="B62" s="260" t="s">
        <v>49</v>
      </c>
      <c r="C62" s="15">
        <v>38</v>
      </c>
      <c r="D62" s="35">
        <v>1637</v>
      </c>
      <c r="E62" s="15" t="s">
        <v>379</v>
      </c>
      <c r="F62" s="100">
        <v>43235</v>
      </c>
      <c r="G62" t="s">
        <v>1386</v>
      </c>
      <c r="H62" s="9" t="s">
        <v>1111</v>
      </c>
      <c r="I62" s="10">
        <v>1</v>
      </c>
      <c r="J62" s="10" t="s">
        <v>50</v>
      </c>
      <c r="K62">
        <v>299</v>
      </c>
      <c r="L62">
        <v>93</v>
      </c>
      <c r="M62" s="9">
        <f t="shared" si="0"/>
        <v>206</v>
      </c>
      <c r="N62" s="35">
        <v>139</v>
      </c>
      <c r="O62" s="35">
        <v>140</v>
      </c>
      <c r="P62" s="35">
        <v>140</v>
      </c>
      <c r="Q62" s="24">
        <f t="shared" si="1"/>
        <v>139.66666666666666</v>
      </c>
      <c r="R62" s="35">
        <v>190</v>
      </c>
      <c r="S62" s="35">
        <v>190</v>
      </c>
      <c r="T62" s="35">
        <v>190</v>
      </c>
      <c r="U62" s="24">
        <f t="shared" si="14"/>
        <v>190</v>
      </c>
      <c r="V62" s="35">
        <v>8.82</v>
      </c>
      <c r="W62" s="35">
        <v>8.69</v>
      </c>
      <c r="X62" s="35">
        <v>8.69</v>
      </c>
      <c r="Y62" s="24">
        <f t="shared" si="3"/>
        <v>8.7333333333333325</v>
      </c>
      <c r="Z62" s="35">
        <v>29.32</v>
      </c>
      <c r="AA62" s="35">
        <v>29.41</v>
      </c>
      <c r="AB62" s="35">
        <v>29.4</v>
      </c>
      <c r="AC62" s="24">
        <f t="shared" si="4"/>
        <v>29.376666666666665</v>
      </c>
      <c r="AD62" s="35">
        <v>38.86</v>
      </c>
      <c r="AE62" s="35">
        <v>38.520000000000003</v>
      </c>
      <c r="AF62" s="35">
        <v>38.51</v>
      </c>
      <c r="AG62" s="24">
        <f t="shared" si="5"/>
        <v>38.629999999999995</v>
      </c>
      <c r="AH62" s="35">
        <v>56.54</v>
      </c>
      <c r="AI62" s="35">
        <v>56.79</v>
      </c>
      <c r="AJ62" s="35">
        <v>56.78</v>
      </c>
      <c r="AK62" s="24">
        <f t="shared" si="6"/>
        <v>56.70333333333334</v>
      </c>
      <c r="AL62" s="35">
        <v>12.83</v>
      </c>
      <c r="AM62" s="35">
        <v>12.88</v>
      </c>
      <c r="AN62" s="35">
        <v>12.89</v>
      </c>
      <c r="AP62" s="35">
        <v>17.46</v>
      </c>
      <c r="AQ62" s="35">
        <v>17.07</v>
      </c>
      <c r="AR62" s="35">
        <v>17.07</v>
      </c>
      <c r="AW62" s="35">
        <v>29.85</v>
      </c>
      <c r="AX62" s="35">
        <v>29.52</v>
      </c>
      <c r="AY62" s="35">
        <v>29.48</v>
      </c>
      <c r="AZ62" s="24">
        <f t="shared" si="7"/>
        <v>29.616666666666671</v>
      </c>
      <c r="BA62" s="35">
        <v>37.97</v>
      </c>
      <c r="BB62" s="35">
        <v>38.159999999999997</v>
      </c>
      <c r="BC62" s="35">
        <v>38.15</v>
      </c>
      <c r="BD62" s="24">
        <f t="shared" si="8"/>
        <v>38.093333333333334</v>
      </c>
      <c r="BE62" s="35">
        <v>56.84</v>
      </c>
      <c r="BF62" s="35">
        <v>56.72</v>
      </c>
      <c r="BG62" s="35">
        <v>56.88</v>
      </c>
      <c r="BH62" s="24">
        <f t="shared" si="9"/>
        <v>56.813333333333333</v>
      </c>
      <c r="BI62" s="35">
        <v>42.94</v>
      </c>
      <c r="BJ62" s="35">
        <v>42.19</v>
      </c>
      <c r="BK62" s="35">
        <v>42.94</v>
      </c>
      <c r="BL62" s="24">
        <f t="shared" si="10"/>
        <v>42.69</v>
      </c>
      <c r="BM62" s="35">
        <v>42.47</v>
      </c>
      <c r="BN62" s="35">
        <v>42.47</v>
      </c>
      <c r="BO62" s="35">
        <v>42.64</v>
      </c>
      <c r="BP62" s="24">
        <f t="shared" si="11"/>
        <v>42.526666666666664</v>
      </c>
      <c r="BQ62" s="35">
        <v>31.17</v>
      </c>
      <c r="BR62" s="35">
        <v>31.81</v>
      </c>
      <c r="BS62" s="35">
        <v>31.76</v>
      </c>
      <c r="BT62" s="24">
        <f t="shared" si="12"/>
        <v>31.580000000000002</v>
      </c>
      <c r="BU62" s="35">
        <v>62.21</v>
      </c>
      <c r="BV62" s="35">
        <v>62</v>
      </c>
      <c r="BW62" s="35">
        <v>62.07</v>
      </c>
      <c r="BX62" s="24">
        <f t="shared" si="13"/>
        <v>62.093333333333334</v>
      </c>
      <c r="BY62" t="s">
        <v>1252</v>
      </c>
      <c r="BZ62" t="s">
        <v>1252</v>
      </c>
      <c r="CA62" t="s">
        <v>1252</v>
      </c>
      <c r="CB62" s="100">
        <v>43235</v>
      </c>
      <c r="CE62" s="35">
        <v>0.6</v>
      </c>
    </row>
    <row r="63" spans="1:86" x14ac:dyDescent="0.25">
      <c r="A63" s="260" t="s">
        <v>1387</v>
      </c>
      <c r="B63" s="260" t="s">
        <v>49</v>
      </c>
      <c r="C63" s="15">
        <v>39</v>
      </c>
      <c r="D63" s="35">
        <v>1638</v>
      </c>
      <c r="E63" s="15" t="s">
        <v>379</v>
      </c>
      <c r="F63" s="100">
        <v>43235</v>
      </c>
      <c r="G63" t="s">
        <v>1388</v>
      </c>
      <c r="H63" s="9" t="s">
        <v>1111</v>
      </c>
      <c r="I63" s="10">
        <v>1</v>
      </c>
      <c r="J63" s="10" t="s">
        <v>64</v>
      </c>
      <c r="K63">
        <v>319</v>
      </c>
      <c r="L63">
        <v>96</v>
      </c>
      <c r="M63" s="9">
        <f t="shared" si="0"/>
        <v>223</v>
      </c>
      <c r="N63" s="35">
        <v>152</v>
      </c>
      <c r="O63" s="35">
        <v>153</v>
      </c>
      <c r="P63" s="35">
        <v>153</v>
      </c>
      <c r="Q63" s="24">
        <f t="shared" si="1"/>
        <v>152.66666666666666</v>
      </c>
      <c r="R63" s="35">
        <v>220</v>
      </c>
      <c r="S63" s="35">
        <v>220</v>
      </c>
      <c r="T63" s="35">
        <v>220</v>
      </c>
      <c r="U63" s="24">
        <f t="shared" si="14"/>
        <v>220</v>
      </c>
      <c r="V63" s="35">
        <v>9.77</v>
      </c>
      <c r="W63" s="35">
        <v>9.92</v>
      </c>
      <c r="X63" s="35">
        <v>9.86</v>
      </c>
      <c r="Y63" s="24">
        <f t="shared" si="3"/>
        <v>9.85</v>
      </c>
      <c r="Z63" s="35">
        <v>30.28</v>
      </c>
      <c r="AA63" s="35">
        <v>30.14</v>
      </c>
      <c r="AB63" s="35">
        <v>30.11</v>
      </c>
      <c r="AC63" s="24">
        <f t="shared" si="4"/>
        <v>30.176666666666666</v>
      </c>
      <c r="AD63" s="35">
        <v>38.92</v>
      </c>
      <c r="AE63" s="35">
        <v>38.86</v>
      </c>
      <c r="AF63" s="35">
        <v>39</v>
      </c>
      <c r="AG63" s="24">
        <f t="shared" si="5"/>
        <v>38.926666666666669</v>
      </c>
      <c r="AH63" s="35">
        <v>57.11</v>
      </c>
      <c r="AI63" s="35">
        <v>57.15</v>
      </c>
      <c r="AJ63" s="35">
        <v>56.99</v>
      </c>
      <c r="AK63" s="24">
        <f t="shared" si="6"/>
        <v>57.083333333333336</v>
      </c>
      <c r="AT63" s="10" t="s">
        <v>1389</v>
      </c>
      <c r="AU63">
        <v>8</v>
      </c>
      <c r="AV63" s="9">
        <v>0</v>
      </c>
      <c r="AW63" s="35">
        <v>30.09</v>
      </c>
      <c r="AX63" s="35">
        <v>30.01</v>
      </c>
      <c r="AY63" s="35">
        <v>30.04</v>
      </c>
      <c r="AZ63" s="24">
        <f t="shared" si="7"/>
        <v>30.046666666666667</v>
      </c>
      <c r="BA63" s="35">
        <v>38.01</v>
      </c>
      <c r="BB63" s="35">
        <v>38.29</v>
      </c>
      <c r="BC63" s="35">
        <v>38.229999999999997</v>
      </c>
      <c r="BD63" s="24">
        <f t="shared" si="8"/>
        <v>38.176666666666669</v>
      </c>
      <c r="BE63" s="35">
        <v>58.22</v>
      </c>
      <c r="BF63" s="35">
        <v>58.24</v>
      </c>
      <c r="BG63" s="35">
        <v>58.22</v>
      </c>
      <c r="BH63" s="24">
        <f t="shared" si="9"/>
        <v>58.226666666666667</v>
      </c>
      <c r="BI63" s="35">
        <v>43.13</v>
      </c>
      <c r="BJ63" s="35">
        <v>43.19</v>
      </c>
      <c r="BK63" s="35">
        <v>43.43</v>
      </c>
      <c r="BL63" s="24">
        <f t="shared" si="10"/>
        <v>43.25</v>
      </c>
      <c r="BM63" s="35">
        <v>43.99</v>
      </c>
      <c r="BN63" s="35">
        <v>43.94</v>
      </c>
      <c r="BO63" s="35">
        <v>43.92</v>
      </c>
      <c r="BP63" s="24">
        <f t="shared" si="11"/>
        <v>43.95000000000001</v>
      </c>
      <c r="BQ63" s="35">
        <v>32.89</v>
      </c>
      <c r="BR63" s="35">
        <v>32.700000000000003</v>
      </c>
      <c r="BS63" s="35">
        <v>32.69</v>
      </c>
      <c r="BT63" s="24">
        <f t="shared" si="12"/>
        <v>32.76</v>
      </c>
      <c r="BU63" s="35">
        <v>65.260000000000005</v>
      </c>
      <c r="BV63" s="35">
        <v>65.77</v>
      </c>
      <c r="BW63" s="35">
        <v>65.53</v>
      </c>
      <c r="BX63" s="24">
        <f t="shared" si="13"/>
        <v>65.52</v>
      </c>
      <c r="BY63" t="s">
        <v>1252</v>
      </c>
      <c r="BZ63" t="s">
        <v>1252</v>
      </c>
      <c r="CA63" t="s">
        <v>1252</v>
      </c>
      <c r="CB63" s="100">
        <v>43235</v>
      </c>
      <c r="CE63" s="35">
        <v>0.5</v>
      </c>
      <c r="CH63" t="s">
        <v>1390</v>
      </c>
    </row>
    <row r="64" spans="1:86" x14ac:dyDescent="0.25">
      <c r="A64" t="s">
        <v>1391</v>
      </c>
      <c r="B64" s="260" t="s">
        <v>49</v>
      </c>
      <c r="C64" s="15">
        <v>40</v>
      </c>
      <c r="D64" s="35">
        <v>1639</v>
      </c>
      <c r="E64" s="15" t="s">
        <v>379</v>
      </c>
      <c r="F64" s="100">
        <v>43236</v>
      </c>
      <c r="G64" t="s">
        <v>1392</v>
      </c>
      <c r="H64" s="9" t="s">
        <v>1111</v>
      </c>
      <c r="I64" s="10">
        <v>1</v>
      </c>
      <c r="J64" s="10" t="s">
        <v>64</v>
      </c>
      <c r="K64">
        <v>416</v>
      </c>
      <c r="L64">
        <v>89</v>
      </c>
      <c r="M64" s="9">
        <f t="shared" si="0"/>
        <v>327</v>
      </c>
      <c r="N64" s="35">
        <v>162</v>
      </c>
      <c r="O64" s="35">
        <v>163</v>
      </c>
      <c r="P64" s="35">
        <v>163</v>
      </c>
      <c r="Q64" s="24">
        <f t="shared" si="1"/>
        <v>162.66666666666666</v>
      </c>
      <c r="R64" s="35">
        <v>235</v>
      </c>
      <c r="S64" s="35">
        <v>235</v>
      </c>
      <c r="T64" s="35">
        <v>235</v>
      </c>
      <c r="U64" s="24">
        <f t="shared" si="14"/>
        <v>235</v>
      </c>
      <c r="V64" s="35">
        <v>13.24</v>
      </c>
      <c r="W64" s="35">
        <v>13.41</v>
      </c>
      <c r="X64" s="35">
        <v>13.26</v>
      </c>
      <c r="Y64" s="24">
        <f t="shared" si="3"/>
        <v>13.303333333333333</v>
      </c>
      <c r="Z64" s="35">
        <v>31.19</v>
      </c>
      <c r="AA64" s="35">
        <v>31.31</v>
      </c>
      <c r="AB64" s="35">
        <v>31.26</v>
      </c>
      <c r="AC64" s="24">
        <f t="shared" si="4"/>
        <v>31.253333333333334</v>
      </c>
      <c r="AD64" s="35">
        <v>40.65</v>
      </c>
      <c r="AE64" s="35">
        <v>40.06</v>
      </c>
      <c r="AF64" s="35">
        <v>40.520000000000003</v>
      </c>
      <c r="AG64" s="24">
        <f t="shared" si="5"/>
        <v>40.410000000000004</v>
      </c>
      <c r="AH64" s="35">
        <v>64.069999999999993</v>
      </c>
      <c r="AI64" s="35">
        <v>64.23</v>
      </c>
      <c r="AJ64" s="35">
        <v>64.08</v>
      </c>
      <c r="AK64" s="24">
        <f t="shared" si="6"/>
        <v>64.126666666666665</v>
      </c>
      <c r="AT64" s="10" t="s">
        <v>1258</v>
      </c>
      <c r="AU64">
        <v>8</v>
      </c>
      <c r="AV64" s="9">
        <v>0</v>
      </c>
      <c r="AW64" s="35">
        <v>31.5</v>
      </c>
      <c r="AX64" s="35">
        <v>31.66</v>
      </c>
      <c r="AY64" s="35">
        <v>31.64</v>
      </c>
      <c r="AZ64" s="24">
        <f t="shared" si="7"/>
        <v>31.599999999999998</v>
      </c>
      <c r="BA64" s="35">
        <v>40.72</v>
      </c>
      <c r="BB64" s="35">
        <v>40.770000000000003</v>
      </c>
      <c r="BC64" s="35">
        <v>40.94</v>
      </c>
      <c r="BD64" s="24">
        <f t="shared" si="8"/>
        <v>40.81</v>
      </c>
      <c r="BE64" s="35">
        <v>64.62</v>
      </c>
      <c r="BF64" s="35">
        <v>64.09</v>
      </c>
      <c r="BG64" s="35">
        <v>64.349999999999994</v>
      </c>
      <c r="BH64" s="24">
        <f t="shared" si="9"/>
        <v>64.353333333333339</v>
      </c>
      <c r="BI64" s="35">
        <v>48.9</v>
      </c>
      <c r="BJ64" s="35">
        <v>48.32</v>
      </c>
      <c r="BK64" s="35">
        <v>48.3</v>
      </c>
      <c r="BL64" s="24">
        <f t="shared" si="10"/>
        <v>48.506666666666661</v>
      </c>
      <c r="BM64" s="35">
        <v>48.51</v>
      </c>
      <c r="BN64" s="35">
        <v>48.27</v>
      </c>
      <c r="BO64" s="35">
        <v>48.44</v>
      </c>
      <c r="BP64" s="24">
        <f t="shared" si="11"/>
        <v>48.406666666666666</v>
      </c>
      <c r="BQ64" s="35">
        <v>34.979999999999997</v>
      </c>
      <c r="BR64" s="35">
        <v>34.92</v>
      </c>
      <c r="BS64" s="35">
        <v>34.85</v>
      </c>
      <c r="BT64" s="24">
        <f t="shared" si="12"/>
        <v>34.916666666666664</v>
      </c>
      <c r="BU64" s="35">
        <v>66.989999999999995</v>
      </c>
      <c r="BV64" s="35">
        <v>66.180000000000007</v>
      </c>
      <c r="BW64" s="35">
        <v>66.95</v>
      </c>
      <c r="BX64" s="24">
        <f t="shared" si="13"/>
        <v>66.706666666666663</v>
      </c>
      <c r="BY64" t="s">
        <v>1252</v>
      </c>
      <c r="BZ64" t="s">
        <v>1252</v>
      </c>
      <c r="CA64" t="s">
        <v>1252</v>
      </c>
      <c r="CB64" s="100">
        <v>43236</v>
      </c>
      <c r="CE64" s="35">
        <v>0.5</v>
      </c>
      <c r="CH64" t="s">
        <v>1393</v>
      </c>
    </row>
    <row r="65" spans="1:86" x14ac:dyDescent="0.25">
      <c r="A65" s="260" t="s">
        <v>1394</v>
      </c>
      <c r="B65" s="260" t="s">
        <v>49</v>
      </c>
      <c r="C65" s="15">
        <v>41</v>
      </c>
      <c r="D65" s="35">
        <v>1640</v>
      </c>
      <c r="E65" s="15" t="s">
        <v>379</v>
      </c>
      <c r="F65" s="100">
        <v>43236</v>
      </c>
      <c r="G65" t="s">
        <v>1395</v>
      </c>
      <c r="H65" s="9" t="s">
        <v>1111</v>
      </c>
      <c r="I65" s="10">
        <v>3</v>
      </c>
      <c r="J65" s="10" t="s">
        <v>64</v>
      </c>
      <c r="K65">
        <v>530</v>
      </c>
      <c r="L65">
        <v>97</v>
      </c>
      <c r="M65" s="9">
        <f t="shared" si="0"/>
        <v>433</v>
      </c>
      <c r="N65" s="35">
        <v>188</v>
      </c>
      <c r="O65" s="35">
        <v>187</v>
      </c>
      <c r="P65" s="35">
        <v>188</v>
      </c>
      <c r="Q65" s="24">
        <f t="shared" si="1"/>
        <v>187.66666666666666</v>
      </c>
      <c r="R65" s="35">
        <v>240</v>
      </c>
      <c r="S65" s="35">
        <v>240</v>
      </c>
      <c r="T65" s="35">
        <v>240</v>
      </c>
      <c r="U65" s="24">
        <f t="shared" si="14"/>
        <v>240</v>
      </c>
      <c r="V65" s="35">
        <v>15.89</v>
      </c>
      <c r="W65" s="35">
        <v>15.74</v>
      </c>
      <c r="X65" s="35">
        <v>15.44</v>
      </c>
      <c r="Y65" s="24">
        <f t="shared" si="3"/>
        <v>15.69</v>
      </c>
      <c r="Z65" s="35">
        <v>31.17</v>
      </c>
      <c r="AA65" s="35">
        <v>31.13</v>
      </c>
      <c r="AB65" s="35">
        <v>31.38</v>
      </c>
      <c r="AC65" s="24">
        <f t="shared" si="4"/>
        <v>31.226666666666663</v>
      </c>
      <c r="AD65" s="35">
        <v>41.21</v>
      </c>
      <c r="AE65" s="35">
        <v>41.37</v>
      </c>
      <c r="AF65" s="35">
        <v>41.8</v>
      </c>
      <c r="AG65" s="253">
        <f t="shared" si="5"/>
        <v>41.46</v>
      </c>
      <c r="AH65" s="35">
        <v>62.54</v>
      </c>
      <c r="AI65" s="35">
        <v>62.48</v>
      </c>
      <c r="AJ65" s="35">
        <v>62.54</v>
      </c>
      <c r="AK65" s="24">
        <f t="shared" si="6"/>
        <v>62.52</v>
      </c>
      <c r="AT65" s="10" t="s">
        <v>1251</v>
      </c>
      <c r="AU65">
        <v>8</v>
      </c>
      <c r="AV65" s="9">
        <v>7</v>
      </c>
      <c r="AW65" s="35">
        <v>31.58</v>
      </c>
      <c r="AX65" s="35">
        <v>31.62</v>
      </c>
      <c r="AY65" s="35">
        <v>31.64</v>
      </c>
      <c r="AZ65" s="24">
        <f t="shared" si="7"/>
        <v>31.613333333333333</v>
      </c>
      <c r="BA65" s="35">
        <v>41.35</v>
      </c>
      <c r="BB65" s="35">
        <v>41.35</v>
      </c>
      <c r="BC65" s="35">
        <v>41.57</v>
      </c>
      <c r="BD65" s="24">
        <f t="shared" si="8"/>
        <v>41.423333333333339</v>
      </c>
      <c r="BE65" s="35">
        <v>62.37</v>
      </c>
      <c r="BF65" s="35">
        <v>62.45</v>
      </c>
      <c r="BG65" s="35">
        <v>62.33</v>
      </c>
      <c r="BH65" s="24">
        <f t="shared" si="9"/>
        <v>62.383333333333326</v>
      </c>
      <c r="BI65" s="35">
        <v>49.32</v>
      </c>
      <c r="BJ65" s="35">
        <v>49.3</v>
      </c>
      <c r="BK65" s="35">
        <v>49.37</v>
      </c>
      <c r="BL65" s="24">
        <f t="shared" si="10"/>
        <v>49.330000000000005</v>
      </c>
      <c r="BM65" s="35">
        <v>49.38</v>
      </c>
      <c r="BN65" s="35">
        <v>49.15</v>
      </c>
      <c r="BO65" s="35">
        <v>49.22</v>
      </c>
      <c r="BP65" s="24">
        <f t="shared" si="11"/>
        <v>49.25</v>
      </c>
      <c r="BQ65" s="35">
        <v>37.770000000000003</v>
      </c>
      <c r="BR65" s="35">
        <v>37.770000000000003</v>
      </c>
      <c r="BS65" s="35">
        <v>37.700000000000003</v>
      </c>
      <c r="BT65" s="24">
        <f t="shared" si="12"/>
        <v>37.74666666666667</v>
      </c>
      <c r="BU65" s="35">
        <v>70.53</v>
      </c>
      <c r="BV65" s="35">
        <v>70.45</v>
      </c>
      <c r="BW65" s="35">
        <v>70.63</v>
      </c>
      <c r="BX65" s="24">
        <f t="shared" si="13"/>
        <v>70.536666666666676</v>
      </c>
      <c r="BY65" t="s">
        <v>1252</v>
      </c>
      <c r="BZ65" t="s">
        <v>1252</v>
      </c>
      <c r="CA65" t="s">
        <v>1252</v>
      </c>
      <c r="CB65" s="100">
        <v>43236</v>
      </c>
      <c r="CE65" s="35">
        <v>0.6</v>
      </c>
      <c r="CH65" t="s">
        <v>1396</v>
      </c>
    </row>
    <row r="66" spans="1:86" x14ac:dyDescent="0.25">
      <c r="A66" t="s">
        <v>1397</v>
      </c>
      <c r="B66" s="260" t="s">
        <v>49</v>
      </c>
      <c r="C66" s="15">
        <v>42</v>
      </c>
      <c r="D66" s="35">
        <v>1641</v>
      </c>
      <c r="E66" s="15" t="s">
        <v>379</v>
      </c>
      <c r="F66" s="100">
        <v>43236</v>
      </c>
      <c r="G66" t="s">
        <v>1398</v>
      </c>
      <c r="H66" s="9" t="s">
        <v>1111</v>
      </c>
      <c r="I66" s="10">
        <v>1</v>
      </c>
      <c r="J66" s="10" t="s">
        <v>64</v>
      </c>
      <c r="K66">
        <v>443</v>
      </c>
      <c r="L66">
        <v>95</v>
      </c>
      <c r="M66" s="9">
        <f t="shared" ref="M66:M136" si="15">K66-L66</f>
        <v>348</v>
      </c>
      <c r="N66" s="35">
        <v>165</v>
      </c>
      <c r="O66" s="35">
        <v>166</v>
      </c>
      <c r="P66" s="35">
        <v>166</v>
      </c>
      <c r="Q66" s="24">
        <f t="shared" ref="Q66:Q139" si="16">(N66+O66+P66)/3</f>
        <v>165.66666666666666</v>
      </c>
      <c r="R66" s="35">
        <v>232</v>
      </c>
      <c r="S66" s="35">
        <v>232</v>
      </c>
      <c r="T66" s="35">
        <v>232</v>
      </c>
      <c r="U66" s="24">
        <f t="shared" si="14"/>
        <v>232</v>
      </c>
      <c r="V66" s="35">
        <v>12.82</v>
      </c>
      <c r="W66" s="35">
        <v>12.61</v>
      </c>
      <c r="X66" s="35">
        <v>12.22</v>
      </c>
      <c r="Y66" s="24">
        <f t="shared" ref="Y66:Y139" si="17">(V66+W66+X66)/3</f>
        <v>12.549999999999999</v>
      </c>
      <c r="Z66" s="35">
        <v>32.21</v>
      </c>
      <c r="AA66" s="35">
        <v>32.03</v>
      </c>
      <c r="AB66" s="35">
        <v>31.95</v>
      </c>
      <c r="AC66" s="24">
        <f t="shared" ref="AC66:AC129" si="18">(Z66+AA66+AB66)/3</f>
        <v>32.06333333333334</v>
      </c>
      <c r="AD66" s="35">
        <v>43.13</v>
      </c>
      <c r="AE66" s="35">
        <v>43.1</v>
      </c>
      <c r="AF66" s="35">
        <v>43.22</v>
      </c>
      <c r="AG66" s="24">
        <f t="shared" ref="AG66:AG129" si="19">(AD66+AE66+AF66)/3</f>
        <v>43.15</v>
      </c>
      <c r="AH66" s="35">
        <v>63.29</v>
      </c>
      <c r="AI66" s="35">
        <v>63.24</v>
      </c>
      <c r="AJ66" s="35">
        <v>63.35</v>
      </c>
      <c r="AK66" s="24">
        <f t="shared" ref="AK66:AK129" si="20">(AH66+AI66+AJ66)/3</f>
        <v>63.293333333333329</v>
      </c>
      <c r="AT66" s="10" t="s">
        <v>1258</v>
      </c>
      <c r="AU66">
        <v>8</v>
      </c>
      <c r="AV66" s="9">
        <v>0</v>
      </c>
      <c r="AW66" s="35">
        <v>32.68</v>
      </c>
      <c r="AX66" s="35">
        <v>32.54</v>
      </c>
      <c r="AY66" s="35">
        <v>32.57</v>
      </c>
      <c r="AZ66" s="24">
        <f t="shared" ref="AZ66:AZ139" si="21">(AW66+AX66+AY66)/3</f>
        <v>32.596666666666664</v>
      </c>
      <c r="BA66" s="35">
        <v>42.66</v>
      </c>
      <c r="BB66" s="35">
        <v>42.84</v>
      </c>
      <c r="BC66" s="35">
        <v>42.87</v>
      </c>
      <c r="BD66" s="24">
        <f t="shared" ref="BD66:BD129" si="22">(BA66+BB66+BC66)/3</f>
        <v>42.79</v>
      </c>
      <c r="BE66" s="35">
        <v>64.14</v>
      </c>
      <c r="BF66" s="35">
        <v>64.36</v>
      </c>
      <c r="BG66" s="35">
        <v>64.47</v>
      </c>
      <c r="BH66" s="24">
        <f t="shared" ref="BH66:BH129" si="23">(BE66+BF66+BG66)/3</f>
        <v>64.323333333333338</v>
      </c>
      <c r="BI66" s="35">
        <v>48.7</v>
      </c>
      <c r="BJ66" s="35">
        <v>48.75</v>
      </c>
      <c r="BK66" s="35">
        <v>48.89</v>
      </c>
      <c r="BL66" s="24">
        <f t="shared" ref="BL66:BL129" si="24">(BI66+BJ66+BK66)/3</f>
        <v>48.78</v>
      </c>
      <c r="BM66" s="35">
        <v>48.91</v>
      </c>
      <c r="BN66" s="35">
        <v>48.92</v>
      </c>
      <c r="BO66" s="35">
        <v>48.99</v>
      </c>
      <c r="BP66" s="24">
        <f t="shared" ref="BP66:BP129" si="25">(BM66+BN66+BO66)/3</f>
        <v>48.94</v>
      </c>
      <c r="BQ66" s="35">
        <v>35.24</v>
      </c>
      <c r="BR66" s="35">
        <v>35.57</v>
      </c>
      <c r="BS66" s="35">
        <v>35.479999999999997</v>
      </c>
      <c r="BT66" s="24">
        <f t="shared" ref="BT66:BT129" si="26">(BQ66+BR66+BS66)/3</f>
        <v>35.43</v>
      </c>
      <c r="BU66" s="35">
        <v>70.06</v>
      </c>
      <c r="BV66" s="35">
        <v>70.13</v>
      </c>
      <c r="BW66" s="35">
        <v>69.900000000000006</v>
      </c>
      <c r="BX66" s="24">
        <f t="shared" ref="BX66:BX129" si="27">(BU66+BV66+BW66)/3</f>
        <v>70.03</v>
      </c>
      <c r="BY66" t="s">
        <v>1252</v>
      </c>
      <c r="BZ66" t="s">
        <v>1252</v>
      </c>
      <c r="CA66" t="s">
        <v>1252</v>
      </c>
      <c r="CB66" s="100">
        <v>43236</v>
      </c>
      <c r="CE66" s="35">
        <v>0.6</v>
      </c>
    </row>
    <row r="67" spans="1:86" x14ac:dyDescent="0.25">
      <c r="A67" s="260" t="s">
        <v>1399</v>
      </c>
      <c r="B67" s="260" t="s">
        <v>49</v>
      </c>
      <c r="C67" s="15">
        <v>43</v>
      </c>
      <c r="D67" s="35">
        <v>1642</v>
      </c>
      <c r="E67" s="15" t="s">
        <v>379</v>
      </c>
      <c r="F67" s="100">
        <v>43236</v>
      </c>
      <c r="G67" t="s">
        <v>1210</v>
      </c>
      <c r="H67" s="9" t="s">
        <v>1111</v>
      </c>
      <c r="I67" s="10">
        <v>1</v>
      </c>
      <c r="J67" s="10" t="s">
        <v>50</v>
      </c>
      <c r="K67">
        <v>695</v>
      </c>
      <c r="L67">
        <v>94</v>
      </c>
      <c r="M67" s="9">
        <f t="shared" si="15"/>
        <v>601</v>
      </c>
      <c r="N67" s="35">
        <v>206</v>
      </c>
      <c r="O67" s="35">
        <v>207</v>
      </c>
      <c r="P67" s="35">
        <v>206</v>
      </c>
      <c r="Q67" s="24">
        <f t="shared" si="16"/>
        <v>206.33333333333334</v>
      </c>
      <c r="R67" s="35">
        <v>254</v>
      </c>
      <c r="S67" s="35">
        <v>254</v>
      </c>
      <c r="T67" s="35">
        <v>255</v>
      </c>
      <c r="U67" s="24">
        <f t="shared" si="14"/>
        <v>254.33333333333334</v>
      </c>
      <c r="V67" s="35">
        <v>14.67</v>
      </c>
      <c r="W67" s="35">
        <v>14.63</v>
      </c>
      <c r="X67" s="35">
        <v>14.89</v>
      </c>
      <c r="Y67" s="24">
        <f t="shared" si="17"/>
        <v>14.729999999999999</v>
      </c>
      <c r="Z67" s="35">
        <v>36.22</v>
      </c>
      <c r="AA67" s="35">
        <v>36.28</v>
      </c>
      <c r="AB67" s="35">
        <v>36.67</v>
      </c>
      <c r="AC67" s="24">
        <f t="shared" si="18"/>
        <v>36.39</v>
      </c>
      <c r="AD67" s="35">
        <v>46.77</v>
      </c>
      <c r="AE67" s="35">
        <v>46.85</v>
      </c>
      <c r="AF67" s="35">
        <v>46.9</v>
      </c>
      <c r="AG67" s="24">
        <f t="shared" si="19"/>
        <v>46.84</v>
      </c>
      <c r="AH67" s="35">
        <v>74.64</v>
      </c>
      <c r="AI67" s="35">
        <v>74.540000000000006</v>
      </c>
      <c r="AJ67" s="35">
        <v>74.63</v>
      </c>
      <c r="AK67" s="24">
        <f t="shared" si="20"/>
        <v>74.603333333333339</v>
      </c>
      <c r="AL67" s="35">
        <v>17.149999999999999</v>
      </c>
      <c r="AM67" s="35">
        <v>17.27</v>
      </c>
      <c r="AN67" s="35">
        <v>17.54</v>
      </c>
      <c r="AP67" s="35">
        <v>28.05</v>
      </c>
      <c r="AQ67" s="35">
        <v>28.05</v>
      </c>
      <c r="AR67" s="35">
        <v>28.22</v>
      </c>
      <c r="AW67" s="35">
        <v>36.81</v>
      </c>
      <c r="AX67" s="35">
        <v>36.85</v>
      </c>
      <c r="AY67" s="35">
        <v>36.44</v>
      </c>
      <c r="AZ67" s="24">
        <f t="shared" si="21"/>
        <v>36.699999999999996</v>
      </c>
      <c r="BA67" s="35">
        <v>48.2</v>
      </c>
      <c r="BB67" s="35">
        <v>48.24</v>
      </c>
      <c r="BC67" s="35">
        <v>48.22</v>
      </c>
      <c r="BD67" s="24">
        <f t="shared" si="22"/>
        <v>48.22</v>
      </c>
      <c r="BE67" s="35">
        <v>76.19</v>
      </c>
      <c r="BF67" s="35">
        <v>76.38</v>
      </c>
      <c r="BG67" s="35">
        <v>76.38</v>
      </c>
      <c r="BH67" s="24">
        <f t="shared" si="23"/>
        <v>76.316666666666663</v>
      </c>
      <c r="BI67" s="35">
        <v>59.42</v>
      </c>
      <c r="BJ67" s="35">
        <v>59.42</v>
      </c>
      <c r="BK67" s="35">
        <v>59.28</v>
      </c>
      <c r="BL67" s="24">
        <f t="shared" si="24"/>
        <v>59.373333333333335</v>
      </c>
      <c r="BM67" s="35">
        <v>59.29</v>
      </c>
      <c r="BN67" s="35">
        <v>59.24</v>
      </c>
      <c r="BO67" s="35">
        <v>59.64</v>
      </c>
      <c r="BP67" s="24">
        <f t="shared" si="25"/>
        <v>59.390000000000008</v>
      </c>
      <c r="BQ67" s="35">
        <v>42.71</v>
      </c>
      <c r="BR67" s="35">
        <v>42.67</v>
      </c>
      <c r="BS67" s="35">
        <v>42.62</v>
      </c>
      <c r="BT67" s="24">
        <f t="shared" si="26"/>
        <v>42.666666666666664</v>
      </c>
      <c r="BU67" s="35">
        <v>78.58</v>
      </c>
      <c r="BV67" s="35">
        <v>78.959999999999994</v>
      </c>
      <c r="BW67" s="35">
        <v>78.84</v>
      </c>
      <c r="BX67" s="24">
        <f t="shared" si="27"/>
        <v>78.793333333333337</v>
      </c>
      <c r="BY67" t="s">
        <v>1252</v>
      </c>
      <c r="BZ67" t="s">
        <v>1252</v>
      </c>
      <c r="CA67" t="s">
        <v>1252</v>
      </c>
      <c r="CB67" s="252">
        <v>43236</v>
      </c>
      <c r="CE67" s="35">
        <v>0.7</v>
      </c>
    </row>
    <row r="68" spans="1:86" x14ac:dyDescent="0.25">
      <c r="A68" t="s">
        <v>1400</v>
      </c>
      <c r="B68" s="260" t="s">
        <v>49</v>
      </c>
      <c r="C68" s="15">
        <v>44</v>
      </c>
      <c r="D68" s="35">
        <v>1643</v>
      </c>
      <c r="E68" s="15" t="s">
        <v>379</v>
      </c>
      <c r="F68" s="100">
        <v>43236</v>
      </c>
      <c r="G68" t="s">
        <v>1401</v>
      </c>
      <c r="H68" s="9" t="s">
        <v>1111</v>
      </c>
      <c r="I68" s="10">
        <v>1</v>
      </c>
      <c r="J68" s="10" t="s">
        <v>64</v>
      </c>
      <c r="K68">
        <v>408</v>
      </c>
      <c r="L68">
        <v>93</v>
      </c>
      <c r="M68" s="9">
        <f t="shared" si="15"/>
        <v>315</v>
      </c>
      <c r="N68" s="35">
        <v>165</v>
      </c>
      <c r="O68" s="35">
        <v>165</v>
      </c>
      <c r="P68" s="35">
        <v>165</v>
      </c>
      <c r="Q68" s="24">
        <f t="shared" si="16"/>
        <v>165</v>
      </c>
      <c r="R68" s="35">
        <v>236</v>
      </c>
      <c r="S68" s="35">
        <v>236</v>
      </c>
      <c r="T68" s="35">
        <v>235</v>
      </c>
      <c r="U68" s="24">
        <f t="shared" si="14"/>
        <v>235.66666666666666</v>
      </c>
      <c r="V68" s="35">
        <v>12.96</v>
      </c>
      <c r="W68" s="35">
        <v>12.93</v>
      </c>
      <c r="X68" s="35">
        <v>12.64</v>
      </c>
      <c r="Y68" s="24">
        <f t="shared" si="17"/>
        <v>12.843333333333334</v>
      </c>
      <c r="Z68" s="35">
        <v>32.07</v>
      </c>
      <c r="AA68" s="35">
        <v>31.85</v>
      </c>
      <c r="AB68" s="35">
        <v>32.06</v>
      </c>
      <c r="AC68" s="24">
        <f t="shared" si="18"/>
        <v>31.993333333333336</v>
      </c>
      <c r="AD68" s="35">
        <v>41.95</v>
      </c>
      <c r="AE68" s="35">
        <v>42.02</v>
      </c>
      <c r="AF68" s="35">
        <v>42</v>
      </c>
      <c r="AG68" s="24">
        <f t="shared" si="19"/>
        <v>41.99</v>
      </c>
      <c r="AH68" s="35">
        <v>63.68</v>
      </c>
      <c r="AI68" s="35">
        <v>63.68</v>
      </c>
      <c r="AJ68" s="35">
        <v>63.63</v>
      </c>
      <c r="AK68" s="24">
        <f t="shared" si="20"/>
        <v>63.663333333333334</v>
      </c>
      <c r="AT68" s="10" t="s">
        <v>1258</v>
      </c>
      <c r="AU68">
        <v>8</v>
      </c>
      <c r="AV68" s="9">
        <v>0</v>
      </c>
      <c r="AW68" s="35">
        <v>31.96</v>
      </c>
      <c r="AX68" s="35">
        <v>32.07</v>
      </c>
      <c r="AY68" s="35">
        <v>31.99</v>
      </c>
      <c r="AZ68" s="24">
        <f t="shared" si="21"/>
        <v>32.006666666666668</v>
      </c>
      <c r="BA68" s="35">
        <v>41.97</v>
      </c>
      <c r="BB68" s="35">
        <v>41.78</v>
      </c>
      <c r="BC68" s="35">
        <v>41.83</v>
      </c>
      <c r="BD68" s="24">
        <f t="shared" si="22"/>
        <v>41.86</v>
      </c>
      <c r="BE68" s="35">
        <v>64.25</v>
      </c>
      <c r="BF68" s="35">
        <v>64.040000000000006</v>
      </c>
      <c r="BG68" s="35">
        <v>64.34</v>
      </c>
      <c r="BH68" s="24">
        <f t="shared" si="23"/>
        <v>64.210000000000008</v>
      </c>
      <c r="BI68" s="35">
        <v>48.83</v>
      </c>
      <c r="BJ68" s="35">
        <v>48.91</v>
      </c>
      <c r="BK68" s="35">
        <v>48.94</v>
      </c>
      <c r="BL68" s="24">
        <f t="shared" si="24"/>
        <v>48.893333333333338</v>
      </c>
      <c r="BM68" s="35">
        <v>48.52</v>
      </c>
      <c r="BN68" s="35">
        <v>48.85</v>
      </c>
      <c r="BO68" s="35">
        <v>48.31</v>
      </c>
      <c r="BP68" s="24">
        <f t="shared" si="25"/>
        <v>48.56</v>
      </c>
      <c r="BQ68" s="35">
        <v>35.14</v>
      </c>
      <c r="BR68" s="35">
        <v>35.130000000000003</v>
      </c>
      <c r="BS68" s="35">
        <v>35.159999999999997</v>
      </c>
      <c r="BT68" s="24">
        <f t="shared" si="26"/>
        <v>35.143333333333338</v>
      </c>
      <c r="BU68" s="35">
        <v>66.41</v>
      </c>
      <c r="BV68" s="35">
        <v>66.75</v>
      </c>
      <c r="BW68" s="35">
        <v>66.67</v>
      </c>
      <c r="BX68" s="24">
        <f t="shared" si="27"/>
        <v>66.61</v>
      </c>
      <c r="BY68" t="s">
        <v>1252</v>
      </c>
      <c r="BZ68" t="s">
        <v>1252</v>
      </c>
      <c r="CA68" t="s">
        <v>1252</v>
      </c>
      <c r="CB68" t="s">
        <v>1402</v>
      </c>
      <c r="CE68" s="12">
        <v>0.6</v>
      </c>
      <c r="CH68" t="s">
        <v>1403</v>
      </c>
    </row>
    <row r="69" spans="1:86" x14ac:dyDescent="0.25">
      <c r="A69" s="260" t="s">
        <v>1404</v>
      </c>
      <c r="B69" s="260" t="s">
        <v>49</v>
      </c>
      <c r="C69" s="15">
        <v>45</v>
      </c>
      <c r="D69" s="35">
        <v>1644</v>
      </c>
      <c r="E69" s="15" t="s">
        <v>379</v>
      </c>
      <c r="F69" s="100">
        <v>43236</v>
      </c>
      <c r="G69" t="s">
        <v>1405</v>
      </c>
      <c r="H69" s="9" t="s">
        <v>1108</v>
      </c>
      <c r="I69" s="10">
        <v>1</v>
      </c>
      <c r="J69" s="10" t="s">
        <v>64</v>
      </c>
      <c r="K69">
        <v>292</v>
      </c>
      <c r="L69">
        <v>91</v>
      </c>
      <c r="M69" s="9">
        <f t="shared" si="15"/>
        <v>201</v>
      </c>
      <c r="N69" s="35">
        <v>152</v>
      </c>
      <c r="O69" s="35">
        <v>153</v>
      </c>
      <c r="P69" s="35">
        <v>153</v>
      </c>
      <c r="Q69" s="24">
        <f t="shared" si="16"/>
        <v>152.66666666666666</v>
      </c>
      <c r="R69" s="35">
        <v>221</v>
      </c>
      <c r="S69" s="35">
        <v>221</v>
      </c>
      <c r="T69" s="35">
        <v>221</v>
      </c>
      <c r="U69" s="24">
        <f t="shared" si="14"/>
        <v>221</v>
      </c>
      <c r="V69" s="35">
        <v>10.210000000000001</v>
      </c>
      <c r="W69" s="35">
        <v>10.18</v>
      </c>
      <c r="X69" s="35">
        <v>10.199999999999999</v>
      </c>
      <c r="Y69" s="24">
        <f t="shared" si="17"/>
        <v>10.196666666666667</v>
      </c>
      <c r="Z69" s="35">
        <v>30.24</v>
      </c>
      <c r="AA69" s="35">
        <v>30.32</v>
      </c>
      <c r="AB69" s="35">
        <v>30.26</v>
      </c>
      <c r="AC69" s="24">
        <f t="shared" si="18"/>
        <v>30.273333333333337</v>
      </c>
      <c r="AD69" s="35">
        <v>38.619999999999997</v>
      </c>
      <c r="AE69" s="35">
        <v>38.75</v>
      </c>
      <c r="AF69" s="35">
        <v>38.74</v>
      </c>
      <c r="AG69" s="24">
        <f t="shared" si="19"/>
        <v>38.70333333333334</v>
      </c>
      <c r="AH69" s="35">
        <v>55.44</v>
      </c>
      <c r="AI69" s="35">
        <v>55.24</v>
      </c>
      <c r="AJ69" s="35">
        <v>55.46</v>
      </c>
      <c r="AK69" s="24">
        <f t="shared" si="20"/>
        <v>55.38</v>
      </c>
      <c r="AT69" s="10" t="s">
        <v>1258</v>
      </c>
      <c r="AU69">
        <v>8</v>
      </c>
      <c r="AV69" s="9">
        <v>0</v>
      </c>
      <c r="AW69" s="35">
        <v>30.11</v>
      </c>
      <c r="AX69" s="35">
        <v>29.9</v>
      </c>
      <c r="AY69" s="35">
        <v>29.94</v>
      </c>
      <c r="AZ69" s="24">
        <f t="shared" si="21"/>
        <v>29.983333333333334</v>
      </c>
      <c r="BA69" s="35">
        <v>38.89</v>
      </c>
      <c r="BB69" s="35">
        <v>38.47</v>
      </c>
      <c r="BC69" s="35">
        <v>38.51</v>
      </c>
      <c r="BD69" s="24">
        <f t="shared" si="22"/>
        <v>38.623333333333335</v>
      </c>
      <c r="BE69" s="35">
        <v>56.5</v>
      </c>
      <c r="BF69" s="35">
        <v>56.66</v>
      </c>
      <c r="BG69" s="35">
        <v>56.44</v>
      </c>
      <c r="BH69" s="24">
        <f t="shared" si="23"/>
        <v>56.533333333333331</v>
      </c>
      <c r="BI69" s="35">
        <v>44.47</v>
      </c>
      <c r="BJ69" s="35">
        <v>44.73</v>
      </c>
      <c r="BK69">
        <v>44.62</v>
      </c>
      <c r="BL69" s="24">
        <f t="shared" si="24"/>
        <v>44.606666666666662</v>
      </c>
      <c r="BM69" s="35">
        <v>44.44</v>
      </c>
      <c r="BN69" s="35">
        <v>44.65</v>
      </c>
      <c r="BO69" s="35">
        <v>44.45</v>
      </c>
      <c r="BP69" s="24">
        <f t="shared" si="25"/>
        <v>44.513333333333343</v>
      </c>
      <c r="BQ69" s="35">
        <v>31.83</v>
      </c>
      <c r="BR69" s="35">
        <v>31.52</v>
      </c>
      <c r="BS69" s="35">
        <v>31.73</v>
      </c>
      <c r="BT69" s="24">
        <f t="shared" si="26"/>
        <v>31.693333333333332</v>
      </c>
      <c r="BU69" s="35">
        <v>64.52</v>
      </c>
      <c r="BV69" s="35">
        <v>64.86</v>
      </c>
      <c r="BW69" s="35">
        <v>64.89</v>
      </c>
      <c r="BX69" s="24">
        <f t="shared" si="27"/>
        <v>64.756666666666661</v>
      </c>
      <c r="BY69" t="s">
        <v>1252</v>
      </c>
      <c r="BZ69" t="s">
        <v>1252</v>
      </c>
      <c r="CA69" t="s">
        <v>1252</v>
      </c>
      <c r="CB69" s="252">
        <v>43236</v>
      </c>
      <c r="CE69" s="35">
        <v>0.9</v>
      </c>
    </row>
    <row r="70" spans="1:86" x14ac:dyDescent="0.25">
      <c r="A70" t="s">
        <v>1406</v>
      </c>
      <c r="B70" s="260" t="s">
        <v>49</v>
      </c>
      <c r="C70" s="15">
        <v>46</v>
      </c>
      <c r="D70" s="35">
        <v>1645</v>
      </c>
      <c r="E70" s="15" t="s">
        <v>379</v>
      </c>
      <c r="F70" s="100">
        <v>43236</v>
      </c>
      <c r="G70" t="s">
        <v>1407</v>
      </c>
      <c r="H70" s="9" t="s">
        <v>1108</v>
      </c>
      <c r="I70" s="10">
        <v>1</v>
      </c>
      <c r="J70" s="10" t="s">
        <v>64</v>
      </c>
      <c r="K70">
        <v>334</v>
      </c>
      <c r="L70">
        <v>91</v>
      </c>
      <c r="M70" s="9">
        <f t="shared" si="15"/>
        <v>243</v>
      </c>
      <c r="N70" s="35">
        <v>160</v>
      </c>
      <c r="O70" s="35">
        <v>160</v>
      </c>
      <c r="P70" s="35">
        <v>161</v>
      </c>
      <c r="Q70" s="24">
        <f t="shared" si="16"/>
        <v>160.33333333333334</v>
      </c>
      <c r="R70" s="35">
        <v>225</v>
      </c>
      <c r="S70" s="35">
        <v>225</v>
      </c>
      <c r="T70" s="35">
        <v>226</v>
      </c>
      <c r="U70" s="24">
        <f t="shared" si="14"/>
        <v>225.33333333333334</v>
      </c>
      <c r="V70" s="35">
        <v>11.32</v>
      </c>
      <c r="W70" s="35">
        <v>11.23</v>
      </c>
      <c r="X70" s="35">
        <v>11.34</v>
      </c>
      <c r="Y70" s="24">
        <f t="shared" si="17"/>
        <v>11.296666666666667</v>
      </c>
      <c r="Z70" s="35">
        <v>30.63</v>
      </c>
      <c r="AA70" s="35">
        <v>30.41</v>
      </c>
      <c r="AB70" s="35">
        <v>30.16</v>
      </c>
      <c r="AC70" s="24">
        <f t="shared" si="18"/>
        <v>30.400000000000002</v>
      </c>
      <c r="AD70" s="35">
        <v>39.18</v>
      </c>
      <c r="AE70" s="35">
        <v>39.11</v>
      </c>
      <c r="AF70" s="35">
        <v>39.25</v>
      </c>
      <c r="AG70" s="24">
        <f t="shared" si="19"/>
        <v>39.18</v>
      </c>
      <c r="AH70" s="35">
        <v>58.1</v>
      </c>
      <c r="AI70" s="35">
        <v>58.16</v>
      </c>
      <c r="AJ70" s="35">
        <v>58.13</v>
      </c>
      <c r="AK70" s="24">
        <f t="shared" si="20"/>
        <v>58.129999999999995</v>
      </c>
      <c r="AT70" s="10" t="s">
        <v>1258</v>
      </c>
      <c r="AU70">
        <v>8</v>
      </c>
      <c r="AV70" s="9">
        <v>0</v>
      </c>
      <c r="AW70" s="35">
        <v>30.17</v>
      </c>
      <c r="AX70" s="35">
        <v>30.36</v>
      </c>
      <c r="AY70" s="35">
        <v>30.34</v>
      </c>
      <c r="AZ70" s="24">
        <f t="shared" si="21"/>
        <v>30.290000000000003</v>
      </c>
      <c r="BA70" s="35">
        <v>39.18</v>
      </c>
      <c r="BB70" s="35">
        <v>38.979999999999997</v>
      </c>
      <c r="BC70" s="35">
        <v>38.86</v>
      </c>
      <c r="BD70" s="24">
        <f t="shared" si="22"/>
        <v>39.006666666666668</v>
      </c>
      <c r="BE70" s="35">
        <v>58.42</v>
      </c>
      <c r="BF70" s="35">
        <v>58.49</v>
      </c>
      <c r="BG70" s="35">
        <v>58.64</v>
      </c>
      <c r="BH70" s="24">
        <f t="shared" si="23"/>
        <v>58.516666666666673</v>
      </c>
      <c r="BI70" s="35">
        <v>44.09</v>
      </c>
      <c r="BJ70" s="35">
        <v>43.97</v>
      </c>
      <c r="BK70" s="35">
        <v>44.04</v>
      </c>
      <c r="BL70" s="24">
        <f t="shared" si="24"/>
        <v>44.033333333333331</v>
      </c>
      <c r="BM70" s="35">
        <v>44.42</v>
      </c>
      <c r="BN70" s="35">
        <v>44.42</v>
      </c>
      <c r="BO70" s="35">
        <v>44.56</v>
      </c>
      <c r="BP70" s="24">
        <f t="shared" si="25"/>
        <v>44.466666666666669</v>
      </c>
      <c r="BQ70" s="35">
        <v>32.69</v>
      </c>
      <c r="BR70" s="35">
        <v>32.86</v>
      </c>
      <c r="BS70" s="35">
        <v>32.86</v>
      </c>
      <c r="BT70" s="24">
        <f t="shared" si="26"/>
        <v>32.803333333333335</v>
      </c>
      <c r="BU70" s="35">
        <v>64.95</v>
      </c>
      <c r="BV70" s="35">
        <v>64.98</v>
      </c>
      <c r="BW70" s="35">
        <v>64.86</v>
      </c>
      <c r="BX70" s="24">
        <f t="shared" si="27"/>
        <v>64.930000000000007</v>
      </c>
      <c r="BY70" t="s">
        <v>1252</v>
      </c>
      <c r="BZ70" t="s">
        <v>1252</v>
      </c>
      <c r="CA70" t="s">
        <v>1252</v>
      </c>
      <c r="CB70" s="252">
        <v>43236</v>
      </c>
      <c r="CE70" s="35">
        <v>0.2</v>
      </c>
    </row>
    <row r="71" spans="1:86" x14ac:dyDescent="0.25">
      <c r="A71" s="260" t="s">
        <v>1408</v>
      </c>
      <c r="B71" s="260" t="s">
        <v>49</v>
      </c>
      <c r="C71" s="15">
        <v>47</v>
      </c>
      <c r="D71" s="35">
        <v>1646</v>
      </c>
      <c r="E71" s="15" t="s">
        <v>379</v>
      </c>
      <c r="F71" s="100">
        <v>43236</v>
      </c>
      <c r="G71" t="s">
        <v>1409</v>
      </c>
      <c r="H71" s="9" t="s">
        <v>1108</v>
      </c>
      <c r="I71" s="10">
        <v>1</v>
      </c>
      <c r="J71" s="10" t="s">
        <v>50</v>
      </c>
      <c r="K71">
        <v>416</v>
      </c>
      <c r="L71">
        <v>93</v>
      </c>
      <c r="M71" s="9">
        <f t="shared" si="15"/>
        <v>323</v>
      </c>
      <c r="N71" s="35">
        <v>173</v>
      </c>
      <c r="O71" s="35">
        <v>173</v>
      </c>
      <c r="P71" s="35">
        <v>173</v>
      </c>
      <c r="Q71" s="24">
        <f t="shared" si="16"/>
        <v>173</v>
      </c>
      <c r="R71" s="35">
        <v>235</v>
      </c>
      <c r="S71" s="35">
        <v>234</v>
      </c>
      <c r="T71" s="35">
        <v>235</v>
      </c>
      <c r="U71" s="24">
        <f t="shared" si="14"/>
        <v>234.66666666666666</v>
      </c>
      <c r="V71" s="35">
        <v>12.49</v>
      </c>
      <c r="W71" s="35">
        <v>12.69</v>
      </c>
      <c r="X71" s="35">
        <v>12.89</v>
      </c>
      <c r="Y71" s="24">
        <f t="shared" si="17"/>
        <v>12.69</v>
      </c>
      <c r="Z71" s="35">
        <v>30.73</v>
      </c>
      <c r="AA71" s="35">
        <v>30.5</v>
      </c>
      <c r="AB71" s="35">
        <v>30.62</v>
      </c>
      <c r="AC71" s="24">
        <f t="shared" si="18"/>
        <v>30.616666666666671</v>
      </c>
      <c r="AD71" s="35">
        <v>40.549999999999997</v>
      </c>
      <c r="AE71" s="35">
        <v>40.56</v>
      </c>
      <c r="AF71" s="35">
        <v>40.57</v>
      </c>
      <c r="AG71" s="24">
        <f t="shared" si="19"/>
        <v>40.56</v>
      </c>
      <c r="AH71" s="35">
        <v>62.05</v>
      </c>
      <c r="AI71" s="35">
        <v>62.11</v>
      </c>
      <c r="AJ71" s="35">
        <v>62.1</v>
      </c>
      <c r="AK71" s="24">
        <f t="shared" si="20"/>
        <v>62.086666666666666</v>
      </c>
      <c r="AL71" s="35">
        <v>16.559999999999999</v>
      </c>
      <c r="AM71" s="35">
        <v>16.22</v>
      </c>
      <c r="AN71" s="35">
        <v>16.829999999999998</v>
      </c>
      <c r="AP71" s="35">
        <v>23.08</v>
      </c>
      <c r="AQ71" s="35">
        <v>23.04</v>
      </c>
      <c r="AR71" s="35">
        <v>23.42</v>
      </c>
      <c r="AW71" s="35">
        <v>31.72</v>
      </c>
      <c r="AX71" s="35">
        <v>31.75</v>
      </c>
      <c r="AY71" s="35">
        <v>31.77</v>
      </c>
      <c r="AZ71" s="24">
        <f t="shared" si="21"/>
        <v>31.746666666666666</v>
      </c>
      <c r="BA71" s="35">
        <v>41.53</v>
      </c>
      <c r="BB71" s="35">
        <v>41.84</v>
      </c>
      <c r="BC71" s="35">
        <v>41.79</v>
      </c>
      <c r="BD71" s="24">
        <f t="shared" si="22"/>
        <v>41.72</v>
      </c>
      <c r="BE71" s="35">
        <v>63.11</v>
      </c>
      <c r="BF71" s="35">
        <v>63.03</v>
      </c>
      <c r="BG71" s="35">
        <v>63.04</v>
      </c>
      <c r="BH71" s="24">
        <f t="shared" si="23"/>
        <v>63.06</v>
      </c>
      <c r="BI71" s="35">
        <v>49.58</v>
      </c>
      <c r="BJ71" s="35">
        <v>49.78</v>
      </c>
      <c r="BK71" s="35">
        <v>49.62</v>
      </c>
      <c r="BL71" s="24">
        <f t="shared" si="24"/>
        <v>49.66</v>
      </c>
      <c r="BM71" s="35">
        <v>49.65</v>
      </c>
      <c r="BN71" s="35">
        <v>49.77</v>
      </c>
      <c r="BO71" s="35">
        <v>49.7</v>
      </c>
      <c r="BP71" s="24">
        <f t="shared" si="25"/>
        <v>49.706666666666671</v>
      </c>
      <c r="BQ71" s="35">
        <v>36.25</v>
      </c>
      <c r="BR71" s="35">
        <v>36.56</v>
      </c>
      <c r="BS71" s="35">
        <v>36.46</v>
      </c>
      <c r="BT71" s="24">
        <f t="shared" si="26"/>
        <v>36.423333333333339</v>
      </c>
      <c r="BU71" s="35">
        <v>67.69</v>
      </c>
      <c r="BV71" s="35">
        <v>67.72</v>
      </c>
      <c r="BW71" s="35">
        <v>67.8</v>
      </c>
      <c r="BX71" s="24">
        <f t="shared" si="27"/>
        <v>67.736666666666665</v>
      </c>
      <c r="BY71" t="s">
        <v>1252</v>
      </c>
      <c r="BZ71" t="s">
        <v>1252</v>
      </c>
      <c r="CA71" t="s">
        <v>1252</v>
      </c>
      <c r="CB71" s="252">
        <v>43236</v>
      </c>
      <c r="CE71" s="35">
        <v>0.1</v>
      </c>
    </row>
    <row r="72" spans="1:86" x14ac:dyDescent="0.25">
      <c r="A72" t="s">
        <v>1410</v>
      </c>
      <c r="B72" s="260" t="s">
        <v>49</v>
      </c>
      <c r="C72" s="15">
        <v>48</v>
      </c>
      <c r="D72" s="35">
        <v>1647</v>
      </c>
      <c r="E72" s="15" t="s">
        <v>379</v>
      </c>
      <c r="F72" s="100">
        <v>43236</v>
      </c>
      <c r="G72" t="s">
        <v>1411</v>
      </c>
      <c r="H72" s="9" t="s">
        <v>1108</v>
      </c>
      <c r="I72" s="10">
        <v>1</v>
      </c>
      <c r="J72" s="10" t="s">
        <v>64</v>
      </c>
      <c r="K72">
        <v>334</v>
      </c>
      <c r="L72">
        <v>93</v>
      </c>
      <c r="M72" s="9">
        <f t="shared" si="15"/>
        <v>241</v>
      </c>
      <c r="N72" s="35">
        <v>163</v>
      </c>
      <c r="O72" s="35">
        <v>163</v>
      </c>
      <c r="P72" s="35">
        <v>163</v>
      </c>
      <c r="Q72" s="24">
        <f t="shared" si="16"/>
        <v>163</v>
      </c>
      <c r="R72" s="35">
        <v>212</v>
      </c>
      <c r="S72" s="35">
        <v>212</v>
      </c>
      <c r="T72" s="35">
        <v>212</v>
      </c>
      <c r="U72" s="24">
        <f t="shared" si="14"/>
        <v>212</v>
      </c>
      <c r="V72" s="35">
        <v>10.96</v>
      </c>
      <c r="W72" s="35">
        <v>10.94</v>
      </c>
      <c r="X72" s="35">
        <v>10.68</v>
      </c>
      <c r="Y72" s="24">
        <f t="shared" si="17"/>
        <v>10.86</v>
      </c>
      <c r="Z72" s="35">
        <v>29.75</v>
      </c>
      <c r="AA72" s="35">
        <v>29.67</v>
      </c>
      <c r="AB72" s="35">
        <v>29.54</v>
      </c>
      <c r="AC72" s="24">
        <f t="shared" si="18"/>
        <v>29.653333333333336</v>
      </c>
      <c r="AD72" s="35">
        <v>38.11</v>
      </c>
      <c r="AE72" s="35">
        <v>38.14</v>
      </c>
      <c r="AF72" s="35">
        <v>38.380000000000003</v>
      </c>
      <c r="AG72" s="24">
        <f t="shared" si="19"/>
        <v>38.21</v>
      </c>
      <c r="AH72" s="35">
        <v>57.2</v>
      </c>
      <c r="AI72" s="35">
        <v>57.29</v>
      </c>
      <c r="AJ72" s="35">
        <v>57.54</v>
      </c>
      <c r="AK72" s="24">
        <f t="shared" si="20"/>
        <v>57.343333333333334</v>
      </c>
      <c r="AT72" s="10" t="s">
        <v>1258</v>
      </c>
      <c r="AU72">
        <v>8</v>
      </c>
      <c r="AV72" s="9">
        <v>0</v>
      </c>
      <c r="AW72" s="35">
        <v>29.82</v>
      </c>
      <c r="AX72" s="35">
        <v>29.42</v>
      </c>
      <c r="AY72" s="35">
        <v>29.66</v>
      </c>
      <c r="AZ72" s="24">
        <f t="shared" si="21"/>
        <v>29.633333333333336</v>
      </c>
      <c r="BA72" s="35">
        <v>38.21</v>
      </c>
      <c r="BB72" s="35">
        <v>38.28</v>
      </c>
      <c r="BC72" s="35">
        <v>38.21</v>
      </c>
      <c r="BD72" s="24">
        <f t="shared" si="22"/>
        <v>38.233333333333341</v>
      </c>
      <c r="BE72" s="35">
        <v>57.12</v>
      </c>
      <c r="BF72" s="35">
        <v>57.27</v>
      </c>
      <c r="BG72" s="35">
        <v>57.15</v>
      </c>
      <c r="BH72" s="24">
        <f t="shared" si="23"/>
        <v>57.18</v>
      </c>
      <c r="BI72" s="35">
        <v>43.09</v>
      </c>
      <c r="BJ72" s="35">
        <v>43.43</v>
      </c>
      <c r="BK72" s="35">
        <v>43.38</v>
      </c>
      <c r="BL72" s="24">
        <f t="shared" si="24"/>
        <v>43.300000000000004</v>
      </c>
      <c r="BM72" s="35">
        <v>43.1</v>
      </c>
      <c r="BN72" s="35">
        <v>43.29</v>
      </c>
      <c r="BO72" s="35">
        <v>43.37</v>
      </c>
      <c r="BP72" s="24">
        <f t="shared" si="25"/>
        <v>43.25333333333333</v>
      </c>
      <c r="BQ72" s="35">
        <v>31.33</v>
      </c>
      <c r="BR72" s="35">
        <v>31.28</v>
      </c>
      <c r="BS72" s="35">
        <v>31.21</v>
      </c>
      <c r="BT72" s="24">
        <f t="shared" si="26"/>
        <v>31.27333333333333</v>
      </c>
      <c r="BU72" s="35">
        <v>63.28</v>
      </c>
      <c r="BV72" s="35">
        <v>63.72</v>
      </c>
      <c r="BW72" s="35">
        <v>63.66</v>
      </c>
      <c r="BX72" s="24">
        <f t="shared" si="27"/>
        <v>63.553333333333335</v>
      </c>
      <c r="BY72" t="s">
        <v>1252</v>
      </c>
      <c r="BZ72" t="s">
        <v>1252</v>
      </c>
      <c r="CA72" t="s">
        <v>1252</v>
      </c>
      <c r="CB72" s="252">
        <v>43236</v>
      </c>
      <c r="CE72" s="12">
        <v>0.6</v>
      </c>
    </row>
    <row r="73" spans="1:86" x14ac:dyDescent="0.25">
      <c r="A73" s="260" t="s">
        <v>1412</v>
      </c>
      <c r="B73" s="260" t="s">
        <v>49</v>
      </c>
      <c r="C73" s="15">
        <v>49</v>
      </c>
      <c r="D73" s="35">
        <v>1648</v>
      </c>
      <c r="E73" s="15" t="s">
        <v>379</v>
      </c>
      <c r="F73" s="100">
        <v>43236</v>
      </c>
      <c r="G73" t="s">
        <v>1413</v>
      </c>
      <c r="H73" s="9" t="s">
        <v>1108</v>
      </c>
      <c r="I73" s="10">
        <v>1</v>
      </c>
      <c r="J73" s="10" t="s">
        <v>50</v>
      </c>
      <c r="K73">
        <v>446</v>
      </c>
      <c r="L73">
        <v>93</v>
      </c>
      <c r="M73" s="9">
        <f t="shared" si="15"/>
        <v>353</v>
      </c>
      <c r="N73" s="35">
        <v>188</v>
      </c>
      <c r="O73" s="35">
        <v>187</v>
      </c>
      <c r="P73" s="35">
        <v>188</v>
      </c>
      <c r="Q73" s="24">
        <f t="shared" si="16"/>
        <v>187.66666666666666</v>
      </c>
      <c r="R73" s="35">
        <v>255</v>
      </c>
      <c r="S73" s="35">
        <v>255</v>
      </c>
      <c r="T73" s="35">
        <v>254</v>
      </c>
      <c r="U73" s="24">
        <f t="shared" si="14"/>
        <v>254.66666666666666</v>
      </c>
      <c r="V73" s="35">
        <v>11.76</v>
      </c>
      <c r="W73" s="35">
        <v>11.95</v>
      </c>
      <c r="X73" s="35">
        <v>12.05</v>
      </c>
      <c r="Y73" s="24">
        <f t="shared" si="17"/>
        <v>11.920000000000002</v>
      </c>
      <c r="Z73" s="35">
        <v>33.61</v>
      </c>
      <c r="AA73" s="35">
        <v>33.69</v>
      </c>
      <c r="AB73">
        <v>33.51</v>
      </c>
      <c r="AC73" s="24">
        <f t="shared" si="18"/>
        <v>33.603333333333332</v>
      </c>
      <c r="AD73" s="35">
        <v>43.17</v>
      </c>
      <c r="AE73">
        <v>43.14</v>
      </c>
      <c r="AF73" s="35">
        <v>43.18</v>
      </c>
      <c r="AG73" s="24">
        <f t="shared" si="19"/>
        <v>43.163333333333334</v>
      </c>
      <c r="AH73" s="35">
        <v>64.290000000000006</v>
      </c>
      <c r="AI73" s="35">
        <v>64.48</v>
      </c>
      <c r="AJ73" s="35">
        <v>64.61</v>
      </c>
      <c r="AK73" s="24">
        <f t="shared" si="20"/>
        <v>64.459999999999994</v>
      </c>
      <c r="AL73" s="35">
        <v>17.91</v>
      </c>
      <c r="AM73" s="35">
        <v>17.940000000000001</v>
      </c>
      <c r="AN73" s="35">
        <v>17.79</v>
      </c>
      <c r="AP73" s="35">
        <v>21.05</v>
      </c>
      <c r="AQ73" s="35">
        <v>21.58</v>
      </c>
      <c r="AR73" s="35">
        <v>21.39</v>
      </c>
      <c r="AW73" s="35">
        <v>33.130000000000003</v>
      </c>
      <c r="AX73" s="35">
        <v>33.119999999999997</v>
      </c>
      <c r="AY73" s="35">
        <v>33.24</v>
      </c>
      <c r="AZ73" s="24">
        <f t="shared" si="21"/>
        <v>33.163333333333334</v>
      </c>
      <c r="BA73" s="35">
        <v>42.97</v>
      </c>
      <c r="BB73" s="35">
        <v>43.09</v>
      </c>
      <c r="BC73" s="35">
        <v>43.03</v>
      </c>
      <c r="BD73" s="24">
        <f t="shared" si="22"/>
        <v>43.03</v>
      </c>
      <c r="BE73" s="35">
        <v>64.05</v>
      </c>
      <c r="BF73" s="35">
        <v>64.069999999999993</v>
      </c>
      <c r="BG73" s="35">
        <v>64</v>
      </c>
      <c r="BH73" s="24">
        <f t="shared" si="23"/>
        <v>64.040000000000006</v>
      </c>
      <c r="BI73" s="35">
        <v>52.13</v>
      </c>
      <c r="BJ73" s="35">
        <v>52.27</v>
      </c>
      <c r="BK73" s="35">
        <v>56.53</v>
      </c>
      <c r="BL73" s="24">
        <f t="shared" si="24"/>
        <v>53.643333333333338</v>
      </c>
      <c r="BM73" s="35">
        <v>51.64</v>
      </c>
      <c r="BN73" s="12">
        <v>51.88</v>
      </c>
      <c r="BO73" s="35">
        <v>51.72</v>
      </c>
      <c r="BP73" s="24">
        <f t="shared" si="25"/>
        <v>51.74666666666667</v>
      </c>
      <c r="BQ73" s="35">
        <v>34.909999999999997</v>
      </c>
      <c r="BR73" s="35">
        <v>34.61</v>
      </c>
      <c r="BS73" s="35">
        <v>34.53</v>
      </c>
      <c r="BT73" s="24">
        <f t="shared" si="26"/>
        <v>34.68333333333333</v>
      </c>
      <c r="BU73" s="35">
        <v>75.06</v>
      </c>
      <c r="BV73" s="35">
        <v>75.27</v>
      </c>
      <c r="BW73" s="35">
        <v>75.430000000000007</v>
      </c>
      <c r="BX73" s="24">
        <f t="shared" si="27"/>
        <v>75.25333333333333</v>
      </c>
      <c r="BY73" t="s">
        <v>1252</v>
      </c>
      <c r="BZ73" t="s">
        <v>1252</v>
      </c>
      <c r="CA73" t="s">
        <v>1252</v>
      </c>
      <c r="CB73" s="252">
        <v>43236</v>
      </c>
      <c r="CD73" s="100">
        <v>43236</v>
      </c>
      <c r="CE73" s="12">
        <v>0.9</v>
      </c>
    </row>
    <row r="74" spans="1:86" x14ac:dyDescent="0.25">
      <c r="A74" t="s">
        <v>1414</v>
      </c>
      <c r="B74" s="260" t="s">
        <v>49</v>
      </c>
      <c r="C74" s="15">
        <v>50</v>
      </c>
      <c r="D74" s="35">
        <v>1649</v>
      </c>
      <c r="E74" s="15" t="s">
        <v>379</v>
      </c>
      <c r="F74" s="100">
        <v>43236</v>
      </c>
      <c r="G74" t="s">
        <v>1415</v>
      </c>
      <c r="H74" s="9" t="s">
        <v>1108</v>
      </c>
      <c r="I74" s="10">
        <v>1</v>
      </c>
      <c r="J74" s="10" t="s">
        <v>64</v>
      </c>
      <c r="K74">
        <v>295</v>
      </c>
      <c r="L74">
        <v>93</v>
      </c>
      <c r="M74" s="9">
        <f t="shared" si="15"/>
        <v>202</v>
      </c>
      <c r="N74" s="35">
        <v>146</v>
      </c>
      <c r="O74" s="35">
        <v>146</v>
      </c>
      <c r="P74" s="35">
        <v>146</v>
      </c>
      <c r="Q74" s="24">
        <f t="shared" si="16"/>
        <v>146</v>
      </c>
      <c r="R74" s="35">
        <v>200</v>
      </c>
      <c r="S74" s="35">
        <v>200</v>
      </c>
      <c r="T74" s="35">
        <v>199</v>
      </c>
      <c r="U74" s="24">
        <f t="shared" si="14"/>
        <v>199.66666666666666</v>
      </c>
      <c r="V74" s="35">
        <v>9.18</v>
      </c>
      <c r="W74" s="35">
        <v>9.14</v>
      </c>
      <c r="X74" s="35">
        <v>8.99</v>
      </c>
      <c r="Y74" s="24">
        <f t="shared" si="17"/>
        <v>9.1033333333333335</v>
      </c>
      <c r="Z74" s="35">
        <v>29.57</v>
      </c>
      <c r="AA74" s="35">
        <v>29.44</v>
      </c>
      <c r="AB74" s="35">
        <v>29.38</v>
      </c>
      <c r="AC74" s="24">
        <f t="shared" si="18"/>
        <v>29.463333333333335</v>
      </c>
      <c r="AD74" s="35">
        <v>38.67</v>
      </c>
      <c r="AE74" s="35">
        <v>38.880000000000003</v>
      </c>
      <c r="AF74" s="35">
        <v>38.96</v>
      </c>
      <c r="AG74" s="24">
        <f t="shared" si="19"/>
        <v>38.836666666666673</v>
      </c>
      <c r="AH74" s="35">
        <v>55.72</v>
      </c>
      <c r="AI74" s="35">
        <v>55.71</v>
      </c>
      <c r="AJ74" s="35">
        <v>55.62</v>
      </c>
      <c r="AK74" s="24">
        <f t="shared" si="20"/>
        <v>55.683333333333337</v>
      </c>
      <c r="AT74" s="10" t="s">
        <v>1258</v>
      </c>
      <c r="AU74">
        <v>8</v>
      </c>
      <c r="AV74" s="9">
        <v>0</v>
      </c>
      <c r="AW74" s="35">
        <v>29.22</v>
      </c>
      <c r="AX74" s="35">
        <v>29.41</v>
      </c>
      <c r="AY74" s="35">
        <v>29.43</v>
      </c>
      <c r="AZ74" s="24">
        <f t="shared" si="21"/>
        <v>29.353333333333335</v>
      </c>
      <c r="BA74" s="35">
        <v>38.299999999999997</v>
      </c>
      <c r="BB74" s="35">
        <v>37.86</v>
      </c>
      <c r="BC74" s="35">
        <v>38.22</v>
      </c>
      <c r="BD74" s="24">
        <f t="shared" si="22"/>
        <v>38.126666666666665</v>
      </c>
      <c r="BE74" s="35">
        <v>56.37</v>
      </c>
      <c r="BF74" s="35">
        <v>56.65</v>
      </c>
      <c r="BG74" s="35">
        <v>56.47</v>
      </c>
      <c r="BH74" s="24">
        <f t="shared" si="23"/>
        <v>56.49666666666667</v>
      </c>
      <c r="BI74" s="35">
        <v>43.42</v>
      </c>
      <c r="BJ74" s="35">
        <v>43.52</v>
      </c>
      <c r="BK74" s="35">
        <v>43.15</v>
      </c>
      <c r="BL74" s="24">
        <f t="shared" si="24"/>
        <v>43.363333333333337</v>
      </c>
      <c r="BM74" s="35">
        <v>43.16</v>
      </c>
      <c r="BN74" s="35">
        <v>43.07</v>
      </c>
      <c r="BO74" s="35">
        <v>43.07</v>
      </c>
      <c r="BP74" s="24">
        <f t="shared" si="25"/>
        <v>43.099999999999994</v>
      </c>
      <c r="BQ74" s="35">
        <v>30.75</v>
      </c>
      <c r="BR74" s="35">
        <v>30.54</v>
      </c>
      <c r="BS74" s="35">
        <v>30.68</v>
      </c>
      <c r="BT74" s="24">
        <f t="shared" si="26"/>
        <v>30.656666666666666</v>
      </c>
      <c r="BU74" s="35">
        <v>63.58</v>
      </c>
      <c r="BV74" s="35">
        <v>63.55</v>
      </c>
      <c r="BW74" s="35">
        <v>63.57</v>
      </c>
      <c r="BX74" s="24">
        <f t="shared" si="27"/>
        <v>63.566666666666663</v>
      </c>
      <c r="BY74" t="s">
        <v>1252</v>
      </c>
      <c r="BZ74" t="s">
        <v>1252</v>
      </c>
      <c r="CA74" t="s">
        <v>1252</v>
      </c>
      <c r="CB74" s="252">
        <v>43236</v>
      </c>
      <c r="CD74" s="252">
        <v>43236</v>
      </c>
      <c r="CE74" s="12">
        <v>0.5</v>
      </c>
      <c r="CH74" t="s">
        <v>1403</v>
      </c>
    </row>
    <row r="75" spans="1:86" x14ac:dyDescent="0.25">
      <c r="A75" s="260" t="s">
        <v>1416</v>
      </c>
      <c r="B75" s="260" t="s">
        <v>49</v>
      </c>
      <c r="C75" s="15">
        <v>51</v>
      </c>
      <c r="D75" s="35">
        <v>1601</v>
      </c>
      <c r="E75" s="15" t="s">
        <v>379</v>
      </c>
      <c r="F75" s="100">
        <v>43236</v>
      </c>
      <c r="G75" t="s">
        <v>1417</v>
      </c>
      <c r="H75" s="9" t="s">
        <v>1108</v>
      </c>
      <c r="I75" s="10">
        <v>1</v>
      </c>
      <c r="J75" s="10" t="s">
        <v>64</v>
      </c>
      <c r="K75">
        <v>341</v>
      </c>
      <c r="L75">
        <v>95</v>
      </c>
      <c r="M75" s="9">
        <f t="shared" si="15"/>
        <v>246</v>
      </c>
      <c r="N75" s="35">
        <v>157</v>
      </c>
      <c r="O75" s="35">
        <v>158</v>
      </c>
      <c r="P75" s="35">
        <v>158</v>
      </c>
      <c r="Q75" s="24">
        <f t="shared" si="16"/>
        <v>157.66666666666666</v>
      </c>
      <c r="R75" s="35">
        <v>215</v>
      </c>
      <c r="S75" s="35">
        <v>215</v>
      </c>
      <c r="T75" s="35">
        <v>215</v>
      </c>
      <c r="U75" s="24">
        <f t="shared" si="14"/>
        <v>215</v>
      </c>
      <c r="V75" s="35">
        <v>10.8</v>
      </c>
      <c r="W75" s="35">
        <v>10.57</v>
      </c>
      <c r="X75" s="35">
        <v>10.72</v>
      </c>
      <c r="Y75" s="24">
        <f t="shared" si="17"/>
        <v>10.696666666666667</v>
      </c>
      <c r="Z75" s="35">
        <v>29.77</v>
      </c>
      <c r="AA75" s="35">
        <v>29.57</v>
      </c>
      <c r="AB75" s="35">
        <v>29.81</v>
      </c>
      <c r="AC75" s="24">
        <f t="shared" si="18"/>
        <v>29.716666666666669</v>
      </c>
      <c r="AD75" s="35">
        <v>40.270000000000003</v>
      </c>
      <c r="AE75" s="35">
        <v>40.119999999999997</v>
      </c>
      <c r="AF75" s="35">
        <v>40.340000000000003</v>
      </c>
      <c r="AG75" s="24">
        <f t="shared" si="19"/>
        <v>40.243333333333332</v>
      </c>
      <c r="AH75" s="35">
        <v>56.84</v>
      </c>
      <c r="AI75" s="35">
        <v>56.9</v>
      </c>
      <c r="AJ75" s="35">
        <v>56.86</v>
      </c>
      <c r="AK75" s="24">
        <f t="shared" si="20"/>
        <v>56.866666666666674</v>
      </c>
      <c r="AT75" s="10" t="s">
        <v>1258</v>
      </c>
      <c r="AU75">
        <v>8</v>
      </c>
      <c r="AV75" s="9">
        <v>0</v>
      </c>
      <c r="AW75" s="35">
        <v>30.38</v>
      </c>
      <c r="AX75" s="35">
        <v>30.72</v>
      </c>
      <c r="AY75" s="35">
        <v>30.59</v>
      </c>
      <c r="AZ75" s="24">
        <f t="shared" si="21"/>
        <v>30.563333333333333</v>
      </c>
      <c r="BA75" s="35">
        <v>40.409999999999997</v>
      </c>
      <c r="BB75" s="35">
        <v>40.4</v>
      </c>
      <c r="BC75" s="35">
        <v>40.299999999999997</v>
      </c>
      <c r="BD75" s="24">
        <f t="shared" si="22"/>
        <v>40.369999999999997</v>
      </c>
      <c r="BE75" s="35">
        <v>57.46</v>
      </c>
      <c r="BF75" s="35">
        <v>57.48</v>
      </c>
      <c r="BG75" s="35">
        <v>57.96</v>
      </c>
      <c r="BH75" s="24">
        <f t="shared" si="23"/>
        <v>57.633333333333333</v>
      </c>
      <c r="BI75" s="35">
        <v>44.03</v>
      </c>
      <c r="BJ75" s="35">
        <v>44.22</v>
      </c>
      <c r="BK75" s="35">
        <v>44.08</v>
      </c>
      <c r="BL75" s="24">
        <f t="shared" si="24"/>
        <v>44.109999999999992</v>
      </c>
      <c r="BM75" s="35">
        <v>44.27</v>
      </c>
      <c r="BN75" s="35">
        <v>44.12</v>
      </c>
      <c r="BO75" s="35">
        <v>44.29</v>
      </c>
      <c r="BP75" s="24">
        <f t="shared" si="25"/>
        <v>44.226666666666667</v>
      </c>
      <c r="BQ75" s="35">
        <v>31.12</v>
      </c>
      <c r="BR75" s="35">
        <v>31.27</v>
      </c>
      <c r="BS75" s="35">
        <v>31.11</v>
      </c>
      <c r="BT75" s="24">
        <f t="shared" si="26"/>
        <v>31.166666666666668</v>
      </c>
      <c r="BU75" s="35">
        <v>63.14</v>
      </c>
      <c r="BV75" s="35">
        <v>63.2</v>
      </c>
      <c r="BW75" s="35">
        <v>63.05</v>
      </c>
      <c r="BX75" s="24">
        <f t="shared" si="27"/>
        <v>63.129999999999995</v>
      </c>
      <c r="BY75" t="s">
        <v>1252</v>
      </c>
      <c r="BZ75" t="s">
        <v>1252</v>
      </c>
      <c r="CA75" t="s">
        <v>1252</v>
      </c>
      <c r="CB75" s="252">
        <v>43236</v>
      </c>
      <c r="CC75" s="100">
        <v>43237</v>
      </c>
      <c r="CE75" s="12">
        <v>0.2</v>
      </c>
    </row>
    <row r="76" spans="1:86" x14ac:dyDescent="0.25">
      <c r="A76" t="s">
        <v>1418</v>
      </c>
      <c r="B76" s="260" t="s">
        <v>49</v>
      </c>
      <c r="C76" s="15">
        <v>52</v>
      </c>
      <c r="D76" s="35">
        <v>1602</v>
      </c>
      <c r="E76" s="15" t="s">
        <v>379</v>
      </c>
      <c r="F76" s="100">
        <v>43236</v>
      </c>
      <c r="G76" t="s">
        <v>1419</v>
      </c>
      <c r="H76" s="9" t="s">
        <v>1108</v>
      </c>
      <c r="I76" s="10">
        <v>1</v>
      </c>
      <c r="J76" s="10" t="s">
        <v>64</v>
      </c>
      <c r="K76">
        <v>297</v>
      </c>
      <c r="L76">
        <v>93</v>
      </c>
      <c r="M76" s="9">
        <f t="shared" si="15"/>
        <v>204</v>
      </c>
      <c r="N76" s="35">
        <v>153</v>
      </c>
      <c r="O76" s="35">
        <v>154</v>
      </c>
      <c r="P76" s="35">
        <v>154</v>
      </c>
      <c r="Q76" s="24">
        <f t="shared" si="16"/>
        <v>153.66666666666666</v>
      </c>
      <c r="R76" s="35">
        <v>220</v>
      </c>
      <c r="S76" s="35">
        <v>221</v>
      </c>
      <c r="T76" s="35">
        <v>221</v>
      </c>
      <c r="U76" s="24">
        <f t="shared" si="14"/>
        <v>220.66666666666666</v>
      </c>
      <c r="V76" s="35">
        <v>9.99</v>
      </c>
      <c r="W76" s="35">
        <v>9.91</v>
      </c>
      <c r="X76" s="35">
        <v>9.86</v>
      </c>
      <c r="Y76" s="24">
        <f t="shared" si="17"/>
        <v>9.92</v>
      </c>
      <c r="Z76" s="35">
        <v>30.07</v>
      </c>
      <c r="AA76" s="35">
        <v>30.03</v>
      </c>
      <c r="AB76" s="35">
        <v>30.19</v>
      </c>
      <c r="AC76" s="24">
        <f t="shared" si="18"/>
        <v>30.096666666666668</v>
      </c>
      <c r="AD76" s="35">
        <v>39.81</v>
      </c>
      <c r="AE76" s="35">
        <v>39.880000000000003</v>
      </c>
      <c r="AF76" s="35">
        <v>39.71</v>
      </c>
      <c r="AG76" s="24">
        <f t="shared" si="19"/>
        <v>39.800000000000004</v>
      </c>
      <c r="AH76" s="35">
        <v>56.47</v>
      </c>
      <c r="AI76" s="35">
        <v>56.45</v>
      </c>
      <c r="AJ76" s="35">
        <v>56.42</v>
      </c>
      <c r="AK76" s="24">
        <f t="shared" si="20"/>
        <v>56.446666666666665</v>
      </c>
      <c r="AT76" s="10" t="s">
        <v>1258</v>
      </c>
      <c r="AU76">
        <v>8</v>
      </c>
      <c r="AV76" s="9">
        <v>0</v>
      </c>
      <c r="AW76" s="35">
        <v>29.95</v>
      </c>
      <c r="AX76" s="35">
        <v>29.98</v>
      </c>
      <c r="AY76" s="35">
        <v>30.02</v>
      </c>
      <c r="AZ76" s="24">
        <f t="shared" si="21"/>
        <v>29.983333333333334</v>
      </c>
      <c r="BA76" s="35">
        <v>39.86</v>
      </c>
      <c r="BB76" s="35">
        <v>39.86</v>
      </c>
      <c r="BC76" s="35">
        <v>39.89</v>
      </c>
      <c r="BD76" s="24">
        <f t="shared" si="22"/>
        <v>39.869999999999997</v>
      </c>
      <c r="BE76" s="35">
        <v>58.03</v>
      </c>
      <c r="BF76" s="35">
        <v>58.18</v>
      </c>
      <c r="BG76" s="35">
        <v>58.1</v>
      </c>
      <c r="BH76" s="24">
        <f t="shared" si="23"/>
        <v>58.103333333333332</v>
      </c>
      <c r="BI76" s="35">
        <v>44.65</v>
      </c>
      <c r="BJ76" s="35">
        <v>44.58</v>
      </c>
      <c r="BK76" s="35">
        <v>44.6</v>
      </c>
      <c r="BL76" s="24">
        <f t="shared" si="24"/>
        <v>44.609999999999992</v>
      </c>
      <c r="BM76" s="35">
        <v>44.4</v>
      </c>
      <c r="BN76" s="35">
        <v>44.33</v>
      </c>
      <c r="BO76" s="35">
        <v>44.29</v>
      </c>
      <c r="BP76" s="24">
        <f t="shared" si="25"/>
        <v>44.339999999999996</v>
      </c>
      <c r="BQ76" s="35">
        <v>62.36</v>
      </c>
      <c r="BR76" s="35">
        <v>62.29</v>
      </c>
      <c r="BS76" s="35">
        <v>62.63</v>
      </c>
      <c r="BT76" s="24">
        <f t="shared" si="26"/>
        <v>62.426666666666669</v>
      </c>
      <c r="BU76" s="35">
        <v>66.25</v>
      </c>
      <c r="BV76" s="35">
        <v>66.319999999999993</v>
      </c>
      <c r="BW76" s="35">
        <v>66.38</v>
      </c>
      <c r="BX76" s="24">
        <f t="shared" si="27"/>
        <v>66.316666666666663</v>
      </c>
      <c r="BY76" t="s">
        <v>1252</v>
      </c>
      <c r="BZ76" t="s">
        <v>1252</v>
      </c>
      <c r="CA76" t="s">
        <v>1252</v>
      </c>
      <c r="CB76" s="252">
        <v>43236</v>
      </c>
      <c r="CE76" s="12">
        <v>0.5</v>
      </c>
    </row>
    <row r="77" spans="1:86" x14ac:dyDescent="0.25">
      <c r="A77" s="260" t="s">
        <v>1420</v>
      </c>
      <c r="B77" s="260" t="s">
        <v>49</v>
      </c>
      <c r="C77" s="15">
        <v>53</v>
      </c>
      <c r="D77" s="35">
        <v>1625</v>
      </c>
      <c r="E77" s="15" t="s">
        <v>379</v>
      </c>
      <c r="F77" s="100">
        <v>43237</v>
      </c>
      <c r="G77" t="s">
        <v>1421</v>
      </c>
      <c r="H77" s="9" t="s">
        <v>1108</v>
      </c>
      <c r="I77" s="10">
        <v>1</v>
      </c>
      <c r="J77" s="10" t="s">
        <v>64</v>
      </c>
      <c r="K77">
        <v>344</v>
      </c>
      <c r="L77">
        <v>93</v>
      </c>
      <c r="M77" s="9">
        <f t="shared" si="15"/>
        <v>251</v>
      </c>
      <c r="N77" s="35">
        <v>148</v>
      </c>
      <c r="O77" s="35">
        <v>149</v>
      </c>
      <c r="P77" s="35">
        <v>149</v>
      </c>
      <c r="Q77" s="24">
        <f t="shared" si="16"/>
        <v>148.66666666666666</v>
      </c>
      <c r="R77" s="35">
        <v>215</v>
      </c>
      <c r="S77" s="35">
        <v>216</v>
      </c>
      <c r="T77" s="35">
        <v>215</v>
      </c>
      <c r="U77" s="24">
        <f t="shared" si="14"/>
        <v>215.33333333333334</v>
      </c>
      <c r="V77" s="35">
        <v>11.51</v>
      </c>
      <c r="W77" s="35">
        <v>11.8</v>
      </c>
      <c r="X77" s="35">
        <v>11.8</v>
      </c>
      <c r="Y77" s="24">
        <f t="shared" si="17"/>
        <v>11.703333333333333</v>
      </c>
      <c r="Z77" s="35">
        <v>29.67</v>
      </c>
      <c r="AA77" s="35">
        <v>29.48</v>
      </c>
      <c r="AB77" s="35">
        <v>29.43</v>
      </c>
      <c r="AC77" s="24">
        <f t="shared" si="18"/>
        <v>29.526666666666671</v>
      </c>
      <c r="AD77" s="35">
        <v>39.17</v>
      </c>
      <c r="AE77" s="35">
        <v>39.04</v>
      </c>
      <c r="AF77" s="35">
        <v>39.200000000000003</v>
      </c>
      <c r="AG77" s="24">
        <f t="shared" si="19"/>
        <v>39.13666666666667</v>
      </c>
      <c r="AH77" s="35">
        <v>57.89</v>
      </c>
      <c r="AI77" s="35">
        <v>57.73</v>
      </c>
      <c r="AJ77" s="35">
        <v>57.81</v>
      </c>
      <c r="AK77" s="24">
        <f t="shared" si="20"/>
        <v>57.81</v>
      </c>
      <c r="AT77" s="10" t="s">
        <v>1258</v>
      </c>
      <c r="AU77">
        <v>8</v>
      </c>
      <c r="AV77" s="9">
        <v>0</v>
      </c>
      <c r="AW77" s="35">
        <v>30.22</v>
      </c>
      <c r="AX77" s="35">
        <v>30.44</v>
      </c>
      <c r="AY77" s="35">
        <v>30.28</v>
      </c>
      <c r="AZ77" s="24">
        <f t="shared" si="21"/>
        <v>30.313333333333333</v>
      </c>
      <c r="BA77" s="35">
        <v>39.79</v>
      </c>
      <c r="BB77" s="35">
        <v>39.64</v>
      </c>
      <c r="BC77" s="35">
        <v>39.78</v>
      </c>
      <c r="BD77" s="24">
        <f t="shared" si="22"/>
        <v>39.736666666666672</v>
      </c>
      <c r="BE77" s="35">
        <v>57.73</v>
      </c>
      <c r="BF77" s="35">
        <v>57.63</v>
      </c>
      <c r="BG77" s="35">
        <v>57.64</v>
      </c>
      <c r="BH77" s="24">
        <f t="shared" si="23"/>
        <v>57.666666666666664</v>
      </c>
      <c r="BI77" s="35">
        <v>44.85</v>
      </c>
      <c r="BJ77" s="35">
        <v>44.93</v>
      </c>
      <c r="BK77" s="35">
        <v>44.84</v>
      </c>
      <c r="BL77" s="24">
        <f t="shared" si="24"/>
        <v>44.873333333333335</v>
      </c>
      <c r="BM77" s="35">
        <v>44.93</v>
      </c>
      <c r="BN77" s="35">
        <v>44.85</v>
      </c>
      <c r="BO77" s="35">
        <v>44.76</v>
      </c>
      <c r="BP77" s="24">
        <f t="shared" si="25"/>
        <v>44.846666666666664</v>
      </c>
      <c r="BQ77" s="35">
        <v>33.14</v>
      </c>
      <c r="BR77" s="35">
        <v>33.08</v>
      </c>
      <c r="BS77" s="35">
        <v>33.119999999999997</v>
      </c>
      <c r="BT77" s="24">
        <f t="shared" si="26"/>
        <v>33.113333333333337</v>
      </c>
      <c r="BU77" s="35">
        <v>63.31</v>
      </c>
      <c r="BV77" s="35">
        <v>63.16</v>
      </c>
      <c r="BW77" s="35">
        <v>63.43</v>
      </c>
      <c r="BX77" s="24">
        <f t="shared" si="27"/>
        <v>63.300000000000004</v>
      </c>
      <c r="BY77" t="s">
        <v>1252</v>
      </c>
      <c r="BZ77" t="s">
        <v>1252</v>
      </c>
      <c r="CA77" t="s">
        <v>1252</v>
      </c>
      <c r="CB77" s="100">
        <v>43237</v>
      </c>
      <c r="CE77" s="35">
        <v>0.9</v>
      </c>
      <c r="CH77" t="s">
        <v>1403</v>
      </c>
    </row>
    <row r="78" spans="1:86" x14ac:dyDescent="0.25">
      <c r="A78" t="s">
        <v>1422</v>
      </c>
      <c r="B78" s="260" t="s">
        <v>49</v>
      </c>
      <c r="C78" s="15">
        <v>54</v>
      </c>
      <c r="D78" s="35">
        <v>1604</v>
      </c>
      <c r="E78" s="15" t="s">
        <v>379</v>
      </c>
      <c r="F78" s="100">
        <v>43237</v>
      </c>
      <c r="G78" t="s">
        <v>1419</v>
      </c>
      <c r="H78" s="9" t="s">
        <v>1108</v>
      </c>
      <c r="I78" s="10">
        <v>1</v>
      </c>
      <c r="J78" s="10" t="s">
        <v>50</v>
      </c>
      <c r="K78">
        <v>504</v>
      </c>
      <c r="L78">
        <v>94</v>
      </c>
      <c r="M78" s="9">
        <f t="shared" si="15"/>
        <v>410</v>
      </c>
      <c r="N78" s="35">
        <v>179</v>
      </c>
      <c r="O78" s="35">
        <v>180</v>
      </c>
      <c r="P78" s="35">
        <v>180</v>
      </c>
      <c r="Q78" s="24">
        <f t="shared" si="16"/>
        <v>179.66666666666666</v>
      </c>
      <c r="R78" s="35">
        <v>225</v>
      </c>
      <c r="S78" s="35">
        <v>225</v>
      </c>
      <c r="T78" s="35">
        <v>225</v>
      </c>
      <c r="U78" s="24">
        <f t="shared" si="14"/>
        <v>225</v>
      </c>
      <c r="V78" s="35">
        <v>14.22</v>
      </c>
      <c r="W78" s="35">
        <v>14.15</v>
      </c>
      <c r="X78" s="35">
        <v>14.25</v>
      </c>
      <c r="Y78" s="24">
        <f t="shared" si="17"/>
        <v>14.206666666666669</v>
      </c>
      <c r="Z78" s="35">
        <v>33.61</v>
      </c>
      <c r="AA78" s="35">
        <v>33.729999999999997</v>
      </c>
      <c r="AB78" s="35">
        <v>33.950000000000003</v>
      </c>
      <c r="AC78" s="24">
        <f t="shared" si="18"/>
        <v>33.763333333333335</v>
      </c>
      <c r="AD78" s="35">
        <v>43.92</v>
      </c>
      <c r="AE78" s="35">
        <v>43.95</v>
      </c>
      <c r="AF78" s="35">
        <v>43.87</v>
      </c>
      <c r="AG78" s="24">
        <f t="shared" si="19"/>
        <v>43.913333333333334</v>
      </c>
      <c r="AH78" s="35">
        <v>65.400000000000006</v>
      </c>
      <c r="AI78" s="35">
        <v>65.400000000000006</v>
      </c>
      <c r="AJ78" s="35">
        <v>65.400000000000006</v>
      </c>
      <c r="AK78" s="24">
        <f t="shared" si="20"/>
        <v>65.400000000000006</v>
      </c>
      <c r="AL78" s="35">
        <v>17.09</v>
      </c>
      <c r="AM78" s="35">
        <v>16.98</v>
      </c>
      <c r="AN78" s="35">
        <v>17</v>
      </c>
      <c r="AP78" s="35">
        <v>26.81</v>
      </c>
      <c r="AQ78" s="35">
        <v>26.51</v>
      </c>
      <c r="AR78" s="35">
        <v>26.78</v>
      </c>
      <c r="AW78" s="35">
        <v>33.53</v>
      </c>
      <c r="AX78" s="35">
        <v>33.619999999999997</v>
      </c>
      <c r="AY78" s="35">
        <v>33.82</v>
      </c>
      <c r="AZ78" s="24">
        <f t="shared" si="21"/>
        <v>33.656666666666666</v>
      </c>
      <c r="BA78" s="35">
        <v>43.4</v>
      </c>
      <c r="BB78" s="35">
        <v>43.16</v>
      </c>
      <c r="BC78" s="35">
        <v>43.15</v>
      </c>
      <c r="BD78" s="24">
        <f t="shared" si="22"/>
        <v>43.236666666666672</v>
      </c>
      <c r="BE78" s="35">
        <v>66.2</v>
      </c>
      <c r="BF78" s="35">
        <v>66.400000000000006</v>
      </c>
      <c r="BG78" s="35">
        <v>66.33</v>
      </c>
      <c r="BH78" s="24">
        <f t="shared" si="23"/>
        <v>66.31</v>
      </c>
      <c r="BI78" s="35">
        <v>51.98</v>
      </c>
      <c r="BJ78" s="35">
        <v>51.82</v>
      </c>
      <c r="BK78" s="35">
        <v>51.72</v>
      </c>
      <c r="BL78" s="24">
        <f t="shared" si="24"/>
        <v>51.839999999999996</v>
      </c>
      <c r="BM78" s="35">
        <v>51.73</v>
      </c>
      <c r="BN78" s="35">
        <v>51.86</v>
      </c>
      <c r="BO78" s="35">
        <v>51.85</v>
      </c>
      <c r="BP78" s="24">
        <f t="shared" si="25"/>
        <v>51.813333333333333</v>
      </c>
      <c r="BQ78" s="35">
        <v>38.04</v>
      </c>
      <c r="BR78" s="35">
        <v>38.159999999999997</v>
      </c>
      <c r="BS78" s="35">
        <v>38.26</v>
      </c>
      <c r="BT78" s="24">
        <f t="shared" si="26"/>
        <v>38.153333333333329</v>
      </c>
      <c r="BU78" s="35">
        <v>69.819999999999993</v>
      </c>
      <c r="BV78" s="35">
        <v>69.84</v>
      </c>
      <c r="BW78" s="35">
        <v>69.87</v>
      </c>
      <c r="BX78" s="24">
        <f t="shared" si="27"/>
        <v>69.843333333333334</v>
      </c>
      <c r="BY78" t="s">
        <v>1252</v>
      </c>
      <c r="BZ78" t="s">
        <v>1252</v>
      </c>
      <c r="CA78" t="s">
        <v>1252</v>
      </c>
      <c r="CB78" s="100">
        <v>43237</v>
      </c>
      <c r="CE78" s="35">
        <v>0.9</v>
      </c>
    </row>
    <row r="79" spans="1:86" x14ac:dyDescent="0.25">
      <c r="A79" s="260" t="s">
        <v>1423</v>
      </c>
      <c r="B79" s="260" t="s">
        <v>49</v>
      </c>
      <c r="C79" s="15">
        <v>55</v>
      </c>
      <c r="D79" s="35">
        <v>1605</v>
      </c>
      <c r="E79" s="15" t="s">
        <v>379</v>
      </c>
      <c r="F79" s="100">
        <v>43237</v>
      </c>
      <c r="G79" t="s">
        <v>1424</v>
      </c>
      <c r="H79" s="9" t="s">
        <v>1108</v>
      </c>
      <c r="I79" s="10">
        <v>1</v>
      </c>
      <c r="J79" s="10" t="s">
        <v>50</v>
      </c>
      <c r="K79">
        <v>459</v>
      </c>
      <c r="L79">
        <v>91</v>
      </c>
      <c r="M79" s="9">
        <f t="shared" si="15"/>
        <v>368</v>
      </c>
      <c r="N79" s="35">
        <v>160</v>
      </c>
      <c r="O79" s="35">
        <v>159</v>
      </c>
      <c r="P79" s="35">
        <v>159</v>
      </c>
      <c r="Q79" s="24">
        <f t="shared" si="16"/>
        <v>159.33333333333334</v>
      </c>
      <c r="R79" s="35">
        <v>234</v>
      </c>
      <c r="S79" s="35">
        <v>234</v>
      </c>
      <c r="T79" s="35">
        <v>234</v>
      </c>
      <c r="U79" s="24">
        <f t="shared" si="14"/>
        <v>234</v>
      </c>
      <c r="V79" s="35">
        <v>13.25</v>
      </c>
      <c r="W79" s="35">
        <v>13.45</v>
      </c>
      <c r="X79" s="35">
        <v>13.12</v>
      </c>
      <c r="Y79" s="24">
        <f t="shared" si="17"/>
        <v>13.273333333333333</v>
      </c>
      <c r="Z79" s="35">
        <v>30.56</v>
      </c>
      <c r="AA79" s="35">
        <v>30.52</v>
      </c>
      <c r="AB79" s="35">
        <v>30.7</v>
      </c>
      <c r="AC79" s="24">
        <f t="shared" si="18"/>
        <v>30.593333333333334</v>
      </c>
      <c r="AD79" s="35">
        <v>41.95</v>
      </c>
      <c r="AE79" s="35">
        <v>41.69</v>
      </c>
      <c r="AF79" s="35">
        <v>41.93</v>
      </c>
      <c r="AG79" s="24">
        <f t="shared" si="19"/>
        <v>41.856666666666662</v>
      </c>
      <c r="AH79" s="35">
        <v>61.29</v>
      </c>
      <c r="AI79" s="35">
        <v>61.25</v>
      </c>
      <c r="AJ79" s="35">
        <v>61.26</v>
      </c>
      <c r="AK79" s="24">
        <f t="shared" si="20"/>
        <v>61.266666666666659</v>
      </c>
      <c r="AL79" s="35">
        <v>16.440000000000001</v>
      </c>
      <c r="AM79" s="35">
        <v>16.89</v>
      </c>
      <c r="AN79" s="35">
        <v>16.489999999999998</v>
      </c>
      <c r="AP79" s="35">
        <v>23.03</v>
      </c>
      <c r="AQ79" s="35">
        <v>23.1</v>
      </c>
      <c r="AR79" s="35">
        <v>23.21</v>
      </c>
      <c r="AW79" s="35">
        <v>31.24</v>
      </c>
      <c r="AX79" s="35">
        <v>31.64</v>
      </c>
      <c r="AY79" s="35">
        <v>31.66</v>
      </c>
      <c r="AZ79" s="24">
        <f t="shared" si="21"/>
        <v>31.513333333333332</v>
      </c>
      <c r="BA79" s="35">
        <v>40.619999999999997</v>
      </c>
      <c r="BB79" s="35">
        <v>40.81</v>
      </c>
      <c r="BC79" s="35">
        <v>40.590000000000003</v>
      </c>
      <c r="BD79" s="24">
        <f t="shared" si="22"/>
        <v>40.673333333333339</v>
      </c>
      <c r="BE79" s="35">
        <v>61.98</v>
      </c>
      <c r="BF79" s="35">
        <v>61.86</v>
      </c>
      <c r="BG79" s="35">
        <v>61.75</v>
      </c>
      <c r="BH79" s="24">
        <f t="shared" si="23"/>
        <v>61.863333333333337</v>
      </c>
      <c r="BI79" s="35">
        <v>48.35</v>
      </c>
      <c r="BJ79" s="35">
        <v>48.37</v>
      </c>
      <c r="BK79" s="35">
        <v>48.47</v>
      </c>
      <c r="BL79" s="24">
        <f t="shared" si="24"/>
        <v>48.396666666666668</v>
      </c>
      <c r="BM79" s="35">
        <v>48.7</v>
      </c>
      <c r="BN79" s="35">
        <v>48.81</v>
      </c>
      <c r="BO79" s="35">
        <v>48.78</v>
      </c>
      <c r="BP79" s="24">
        <f t="shared" si="25"/>
        <v>48.763333333333343</v>
      </c>
      <c r="BQ79" s="35">
        <v>36.32</v>
      </c>
      <c r="BR79" s="35">
        <v>36.46</v>
      </c>
      <c r="BS79" s="35">
        <v>36.56</v>
      </c>
      <c r="BT79" s="24">
        <f t="shared" si="26"/>
        <v>36.446666666666665</v>
      </c>
      <c r="BU79" s="35">
        <v>68.510000000000005</v>
      </c>
      <c r="BV79" s="35">
        <v>68.209999999999994</v>
      </c>
      <c r="BW79" s="35">
        <v>68.2</v>
      </c>
      <c r="BX79" s="24">
        <f t="shared" si="27"/>
        <v>68.306666666666672</v>
      </c>
      <c r="BY79" t="s">
        <v>1252</v>
      </c>
      <c r="BZ79" t="s">
        <v>1252</v>
      </c>
      <c r="CA79" t="s">
        <v>1252</v>
      </c>
      <c r="CB79" s="252">
        <v>43237</v>
      </c>
      <c r="CE79" s="35">
        <v>1</v>
      </c>
    </row>
    <row r="80" spans="1:86" x14ac:dyDescent="0.25">
      <c r="A80" t="s">
        <v>1425</v>
      </c>
      <c r="B80" s="260" t="s">
        <v>49</v>
      </c>
      <c r="C80" s="15">
        <v>56</v>
      </c>
      <c r="D80" s="35">
        <v>1606</v>
      </c>
      <c r="E80" s="15" t="s">
        <v>379</v>
      </c>
      <c r="F80" s="100">
        <v>43237</v>
      </c>
      <c r="G80" t="s">
        <v>1413</v>
      </c>
      <c r="H80" s="9" t="s">
        <v>1108</v>
      </c>
      <c r="I80" s="10">
        <v>1</v>
      </c>
      <c r="J80" s="10" t="s">
        <v>50</v>
      </c>
      <c r="K80">
        <v>647</v>
      </c>
      <c r="L80">
        <v>96</v>
      </c>
      <c r="M80" s="9">
        <f t="shared" si="15"/>
        <v>551</v>
      </c>
      <c r="N80" s="35">
        <v>208</v>
      </c>
      <c r="O80" s="35">
        <v>208</v>
      </c>
      <c r="P80" s="35">
        <v>208</v>
      </c>
      <c r="Q80" s="24">
        <f t="shared" si="16"/>
        <v>208</v>
      </c>
      <c r="R80" s="35">
        <v>268</v>
      </c>
      <c r="S80" s="35">
        <v>268</v>
      </c>
      <c r="T80" s="35">
        <v>268</v>
      </c>
      <c r="U80" s="24">
        <f t="shared" si="14"/>
        <v>268</v>
      </c>
      <c r="V80" s="35">
        <v>15.9</v>
      </c>
      <c r="W80" s="35">
        <v>16</v>
      </c>
      <c r="X80" s="35">
        <v>15.91</v>
      </c>
      <c r="Y80" s="24">
        <f t="shared" si="17"/>
        <v>15.936666666666667</v>
      </c>
      <c r="Z80" s="35">
        <v>35.19</v>
      </c>
      <c r="AA80" s="35">
        <v>35.01</v>
      </c>
      <c r="AB80" s="35">
        <v>35.19</v>
      </c>
      <c r="AC80" s="24">
        <f t="shared" si="18"/>
        <v>35.129999999999995</v>
      </c>
      <c r="AD80" s="35">
        <v>46.29</v>
      </c>
      <c r="AE80" s="35">
        <v>46.11</v>
      </c>
      <c r="AF80" s="35">
        <v>46.2</v>
      </c>
      <c r="AG80" s="24">
        <f t="shared" si="19"/>
        <v>46.20000000000001</v>
      </c>
      <c r="AH80" s="35">
        <v>68.680000000000007</v>
      </c>
      <c r="AI80" s="35">
        <v>68.66</v>
      </c>
      <c r="AJ80" s="35">
        <v>68.77</v>
      </c>
      <c r="AK80" s="24">
        <f t="shared" si="20"/>
        <v>68.703333333333333</v>
      </c>
      <c r="AL80" s="35">
        <v>19.100000000000001</v>
      </c>
      <c r="AM80" s="35">
        <v>19.53</v>
      </c>
      <c r="AN80" s="35">
        <v>19.86</v>
      </c>
      <c r="AO80" s="24">
        <f t="shared" ref="AO80" si="28">(AL80+AM80+AN80)/3</f>
        <v>19.496666666666666</v>
      </c>
      <c r="AP80" s="35">
        <v>29.02</v>
      </c>
      <c r="AQ80" s="35">
        <v>29.08</v>
      </c>
      <c r="AR80" s="35">
        <v>29.18</v>
      </c>
      <c r="AW80" s="35">
        <v>36.03</v>
      </c>
      <c r="AX80" s="35">
        <v>36.049999999999997</v>
      </c>
      <c r="AY80" s="35">
        <v>35.880000000000003</v>
      </c>
      <c r="AZ80" s="24">
        <f t="shared" si="21"/>
        <v>35.986666666666672</v>
      </c>
      <c r="BA80" s="35">
        <v>45.44</v>
      </c>
      <c r="BB80" s="35">
        <v>45.45</v>
      </c>
      <c r="BC80" s="35">
        <v>45.4</v>
      </c>
      <c r="BD80" s="24">
        <f t="shared" si="22"/>
        <v>45.43</v>
      </c>
      <c r="BE80" s="35">
        <v>69.58</v>
      </c>
      <c r="BF80" s="35">
        <v>69.900000000000006</v>
      </c>
      <c r="BG80" s="35">
        <v>69.88</v>
      </c>
      <c r="BH80" s="24">
        <f t="shared" si="23"/>
        <v>69.786666666666676</v>
      </c>
      <c r="BI80" s="35">
        <v>55.04</v>
      </c>
      <c r="BJ80" s="35">
        <v>55.03</v>
      </c>
      <c r="BK80" s="35">
        <v>55.08</v>
      </c>
      <c r="BL80" s="24">
        <f t="shared" si="24"/>
        <v>55.04999999999999</v>
      </c>
      <c r="BM80" s="35">
        <v>55.2</v>
      </c>
      <c r="BN80" s="35">
        <v>55.18</v>
      </c>
      <c r="BO80" s="35">
        <v>55.23</v>
      </c>
      <c r="BP80" s="24">
        <f t="shared" si="25"/>
        <v>55.203333333333326</v>
      </c>
      <c r="BQ80" s="35">
        <v>40.450000000000003</v>
      </c>
      <c r="BR80" s="35">
        <v>40.58</v>
      </c>
      <c r="BS80" s="35">
        <v>40.81</v>
      </c>
      <c r="BT80" s="24">
        <f t="shared" si="26"/>
        <v>40.613333333333337</v>
      </c>
      <c r="BU80" s="35">
        <v>76.97</v>
      </c>
      <c r="BV80" s="35">
        <v>76.739999999999995</v>
      </c>
      <c r="BW80" s="35">
        <v>76.760000000000005</v>
      </c>
      <c r="BX80" s="24">
        <f t="shared" si="27"/>
        <v>76.823333333333323</v>
      </c>
      <c r="BY80" t="s">
        <v>1252</v>
      </c>
      <c r="BZ80" t="s">
        <v>1252</v>
      </c>
      <c r="CA80" t="s">
        <v>1252</v>
      </c>
      <c r="CB80" s="100">
        <v>43237</v>
      </c>
      <c r="CE80" s="35">
        <v>0</v>
      </c>
    </row>
    <row r="81" spans="1:86" x14ac:dyDescent="0.25">
      <c r="A81" s="260" t="s">
        <v>1426</v>
      </c>
      <c r="B81" s="260" t="s">
        <v>49</v>
      </c>
      <c r="C81" s="15">
        <v>57</v>
      </c>
      <c r="D81" s="35">
        <v>1607</v>
      </c>
      <c r="E81" s="15" t="s">
        <v>379</v>
      </c>
      <c r="F81" s="100">
        <v>43237</v>
      </c>
      <c r="G81" t="s">
        <v>1427</v>
      </c>
      <c r="H81" s="9" t="s">
        <v>1108</v>
      </c>
      <c r="I81" s="10">
        <v>2</v>
      </c>
      <c r="J81" s="10" t="s">
        <v>64</v>
      </c>
      <c r="K81">
        <v>469</v>
      </c>
      <c r="L81">
        <v>91</v>
      </c>
      <c r="M81" s="9">
        <f t="shared" si="15"/>
        <v>378</v>
      </c>
      <c r="N81" s="35">
        <v>169</v>
      </c>
      <c r="O81" s="35">
        <v>168</v>
      </c>
      <c r="P81" s="35">
        <v>168</v>
      </c>
      <c r="Q81" s="24">
        <f t="shared" si="16"/>
        <v>168.33333333333334</v>
      </c>
      <c r="R81" s="35">
        <v>225</v>
      </c>
      <c r="S81" s="35">
        <v>225</v>
      </c>
      <c r="T81" s="35">
        <v>225</v>
      </c>
      <c r="U81" s="24">
        <f t="shared" si="14"/>
        <v>225</v>
      </c>
      <c r="V81" s="35">
        <v>14.71</v>
      </c>
      <c r="W81" s="35">
        <v>14.61</v>
      </c>
      <c r="X81" s="35">
        <v>14.58</v>
      </c>
      <c r="Y81" s="24">
        <f t="shared" si="17"/>
        <v>14.633333333333333</v>
      </c>
      <c r="Z81" s="35">
        <v>28.41</v>
      </c>
      <c r="AA81" s="35">
        <v>28.21</v>
      </c>
      <c r="AB81" s="35">
        <v>28.59</v>
      </c>
      <c r="AC81" s="24">
        <f t="shared" si="18"/>
        <v>28.403333333333336</v>
      </c>
      <c r="AD81" s="35">
        <v>38.29</v>
      </c>
      <c r="AE81" s="35">
        <v>38.19</v>
      </c>
      <c r="AF81" s="35">
        <v>38.229999999999997</v>
      </c>
      <c r="AG81" s="24">
        <f t="shared" si="19"/>
        <v>38.236666666666657</v>
      </c>
      <c r="AH81" s="35">
        <v>58.74</v>
      </c>
      <c r="AI81" s="35">
        <v>58.75</v>
      </c>
      <c r="AJ81" s="35">
        <v>58.76</v>
      </c>
      <c r="AK81" s="24">
        <f t="shared" si="20"/>
        <v>58.75</v>
      </c>
      <c r="AT81" s="10" t="s">
        <v>1251</v>
      </c>
      <c r="AU81">
        <v>8</v>
      </c>
      <c r="AV81" s="9">
        <v>8</v>
      </c>
      <c r="AW81" s="35">
        <v>28.87</v>
      </c>
      <c r="AX81" s="35">
        <v>28.48</v>
      </c>
      <c r="AY81" s="35">
        <v>28.35</v>
      </c>
      <c r="AZ81" s="24">
        <f t="shared" si="21"/>
        <v>28.566666666666666</v>
      </c>
      <c r="BA81" s="35">
        <v>38.159999999999997</v>
      </c>
      <c r="BB81" s="35">
        <v>37.22</v>
      </c>
      <c r="BC81" s="35">
        <v>38.020000000000003</v>
      </c>
      <c r="BD81" s="24">
        <f t="shared" si="22"/>
        <v>37.800000000000004</v>
      </c>
      <c r="BE81" s="35">
        <v>58.7</v>
      </c>
      <c r="BF81" s="35">
        <v>58.78</v>
      </c>
      <c r="BG81" s="35">
        <v>58.75</v>
      </c>
      <c r="BH81" s="24">
        <f t="shared" si="23"/>
        <v>58.743333333333339</v>
      </c>
      <c r="BI81" s="35">
        <v>46.26</v>
      </c>
      <c r="BJ81" s="35">
        <v>46.36</v>
      </c>
      <c r="BK81" s="35">
        <v>46.37</v>
      </c>
      <c r="BL81" s="24">
        <f t="shared" si="24"/>
        <v>46.330000000000005</v>
      </c>
      <c r="BM81" s="35">
        <v>45.48</v>
      </c>
      <c r="BN81" s="35">
        <v>45.6</v>
      </c>
      <c r="BO81" s="35">
        <v>45.55</v>
      </c>
      <c r="BP81" s="24">
        <f t="shared" si="25"/>
        <v>45.543333333333329</v>
      </c>
      <c r="BQ81" s="35">
        <v>35.31</v>
      </c>
      <c r="BR81" s="35">
        <v>35.14</v>
      </c>
      <c r="BS81" s="35">
        <v>35.47</v>
      </c>
      <c r="BT81" s="24">
        <f t="shared" si="26"/>
        <v>35.306666666666665</v>
      </c>
      <c r="BU81" s="35">
        <v>67.489999999999995</v>
      </c>
      <c r="BV81" s="35">
        <v>67.56</v>
      </c>
      <c r="BW81" s="35">
        <v>67.5</v>
      </c>
      <c r="BX81" s="24">
        <f t="shared" si="27"/>
        <v>67.516666666666666</v>
      </c>
      <c r="BY81" t="s">
        <v>1252</v>
      </c>
      <c r="BZ81" t="s">
        <v>1252</v>
      </c>
      <c r="CA81" t="s">
        <v>1252</v>
      </c>
      <c r="CB81" s="100">
        <v>43237</v>
      </c>
      <c r="CE81" s="35">
        <v>1</v>
      </c>
    </row>
    <row r="82" spans="1:86" x14ac:dyDescent="0.25">
      <c r="A82" t="s">
        <v>1428</v>
      </c>
      <c r="B82" s="260" t="s">
        <v>49</v>
      </c>
      <c r="C82" s="15">
        <v>58</v>
      </c>
      <c r="D82" s="35">
        <v>1624</v>
      </c>
      <c r="E82" s="15" t="s">
        <v>379</v>
      </c>
      <c r="F82" s="100">
        <v>43237</v>
      </c>
      <c r="G82" t="s">
        <v>1429</v>
      </c>
      <c r="H82" s="9" t="s">
        <v>1108</v>
      </c>
      <c r="I82" s="10">
        <v>1</v>
      </c>
      <c r="J82" s="10" t="s">
        <v>50</v>
      </c>
      <c r="K82">
        <v>372</v>
      </c>
      <c r="L82">
        <v>93</v>
      </c>
      <c r="M82" s="9">
        <f t="shared" si="15"/>
        <v>279</v>
      </c>
      <c r="N82" s="35">
        <v>163</v>
      </c>
      <c r="O82" s="35">
        <v>163</v>
      </c>
      <c r="P82" s="35">
        <v>163</v>
      </c>
      <c r="Q82" s="24">
        <f t="shared" si="16"/>
        <v>163</v>
      </c>
      <c r="R82" s="35">
        <v>215</v>
      </c>
      <c r="S82" s="35">
        <v>215</v>
      </c>
      <c r="T82" s="35">
        <v>215</v>
      </c>
      <c r="U82" s="24">
        <f t="shared" si="14"/>
        <v>215</v>
      </c>
      <c r="V82" s="35">
        <v>11.13</v>
      </c>
      <c r="W82" s="35">
        <v>11.3</v>
      </c>
      <c r="X82" s="35">
        <v>11.38</v>
      </c>
      <c r="Y82" s="24">
        <f t="shared" si="17"/>
        <v>11.270000000000001</v>
      </c>
      <c r="Z82" s="35">
        <v>29.84</v>
      </c>
      <c r="AA82" s="35">
        <v>29.81</v>
      </c>
      <c r="AB82" s="35">
        <v>29.85</v>
      </c>
      <c r="AC82" s="24">
        <f t="shared" si="18"/>
        <v>29.833333333333332</v>
      </c>
      <c r="AD82" s="35">
        <v>38.83</v>
      </c>
      <c r="AE82" s="35">
        <v>38.85</v>
      </c>
      <c r="AF82" s="35">
        <v>38.69</v>
      </c>
      <c r="AG82" s="24">
        <f t="shared" si="19"/>
        <v>38.79</v>
      </c>
      <c r="AH82" s="35">
        <v>59.98</v>
      </c>
      <c r="AI82" s="35">
        <v>60.07</v>
      </c>
      <c r="AJ82" s="35">
        <v>60.09</v>
      </c>
      <c r="AK82" s="24">
        <f t="shared" si="20"/>
        <v>60.04666666666666</v>
      </c>
      <c r="AL82" s="35">
        <v>17.260000000000002</v>
      </c>
      <c r="AM82" s="35">
        <v>17.329999999999998</v>
      </c>
      <c r="AN82" s="35">
        <v>17.62</v>
      </c>
      <c r="AP82" s="35">
        <v>23.76</v>
      </c>
      <c r="AQ82" s="35">
        <v>23.59</v>
      </c>
      <c r="AR82" s="35">
        <v>23.7</v>
      </c>
      <c r="AW82" s="35">
        <v>29.82</v>
      </c>
      <c r="AX82" s="35">
        <v>29.59</v>
      </c>
      <c r="AY82" s="35">
        <v>29.78</v>
      </c>
      <c r="AZ82" s="24">
        <f t="shared" si="21"/>
        <v>29.73</v>
      </c>
      <c r="BA82" s="35">
        <v>38.89</v>
      </c>
      <c r="BB82" s="35">
        <v>38.72</v>
      </c>
      <c r="BC82" s="35">
        <v>38.76</v>
      </c>
      <c r="BD82" s="24">
        <f t="shared" si="22"/>
        <v>38.79</v>
      </c>
      <c r="BE82" s="35">
        <v>58.63</v>
      </c>
      <c r="BF82" s="35">
        <v>58.76</v>
      </c>
      <c r="BG82" s="35">
        <v>58.94</v>
      </c>
      <c r="BH82" s="24">
        <f t="shared" si="23"/>
        <v>58.776666666666664</v>
      </c>
      <c r="BI82" s="35">
        <v>47.6</v>
      </c>
      <c r="BJ82" s="35">
        <v>47.6</v>
      </c>
      <c r="BK82" s="35">
        <v>47.48</v>
      </c>
      <c r="BL82" s="24">
        <f t="shared" si="24"/>
        <v>47.56</v>
      </c>
      <c r="BM82" s="35">
        <v>47.2</v>
      </c>
      <c r="BN82" s="35">
        <v>47.18</v>
      </c>
      <c r="BO82" s="35">
        <v>47.28</v>
      </c>
      <c r="BP82" s="24">
        <f t="shared" si="25"/>
        <v>47.22</v>
      </c>
      <c r="BQ82" s="35">
        <v>33.26</v>
      </c>
      <c r="BR82" s="35">
        <v>33.270000000000003</v>
      </c>
      <c r="BS82" s="35">
        <v>33.4</v>
      </c>
      <c r="BT82" s="24">
        <f t="shared" si="26"/>
        <v>33.31</v>
      </c>
      <c r="BU82" s="35">
        <v>67.260000000000005</v>
      </c>
      <c r="BV82" s="35">
        <v>67.430000000000007</v>
      </c>
      <c r="BW82" s="35">
        <v>67.48</v>
      </c>
      <c r="BX82" s="24">
        <f t="shared" si="27"/>
        <v>67.39</v>
      </c>
      <c r="BY82" t="s">
        <v>1252</v>
      </c>
      <c r="BZ82" t="s">
        <v>1252</v>
      </c>
      <c r="CA82" t="s">
        <v>1252</v>
      </c>
      <c r="CB82" s="100">
        <v>43237</v>
      </c>
      <c r="CE82" s="35">
        <v>0.2</v>
      </c>
    </row>
    <row r="83" spans="1:86" x14ac:dyDescent="0.25">
      <c r="A83" s="260" t="s">
        <v>1430</v>
      </c>
      <c r="B83" s="260" t="s">
        <v>49</v>
      </c>
      <c r="C83" s="15">
        <v>59</v>
      </c>
      <c r="D83" s="35">
        <v>1608</v>
      </c>
      <c r="E83" s="15" t="s">
        <v>379</v>
      </c>
      <c r="F83" s="100">
        <v>43238</v>
      </c>
      <c r="G83" t="s">
        <v>1431</v>
      </c>
      <c r="H83" s="9" t="s">
        <v>1108</v>
      </c>
      <c r="I83" s="10">
        <v>2</v>
      </c>
      <c r="J83" s="10" t="s">
        <v>64</v>
      </c>
      <c r="K83">
        <v>364</v>
      </c>
      <c r="L83">
        <v>95</v>
      </c>
      <c r="M83" s="9">
        <f t="shared" si="15"/>
        <v>269</v>
      </c>
      <c r="N83" s="35">
        <v>163</v>
      </c>
      <c r="O83" s="35">
        <v>163</v>
      </c>
      <c r="P83" s="35">
        <v>163</v>
      </c>
      <c r="Q83" s="24">
        <f t="shared" si="16"/>
        <v>163</v>
      </c>
      <c r="R83" s="35">
        <v>233</v>
      </c>
      <c r="S83" s="35">
        <v>233</v>
      </c>
      <c r="T83" s="35">
        <v>233</v>
      </c>
      <c r="U83" s="24">
        <f t="shared" si="14"/>
        <v>233</v>
      </c>
      <c r="V83" s="35">
        <v>14.44</v>
      </c>
      <c r="W83" s="35">
        <v>14.08</v>
      </c>
      <c r="X83" s="35">
        <v>14.21</v>
      </c>
      <c r="Y83" s="24">
        <f t="shared" si="17"/>
        <v>14.243333333333334</v>
      </c>
      <c r="Z83" s="35">
        <v>30.48</v>
      </c>
      <c r="AA83" s="35">
        <v>30.6</v>
      </c>
      <c r="AB83" s="35">
        <v>30.46</v>
      </c>
      <c r="AC83" s="24">
        <f t="shared" si="18"/>
        <v>30.513333333333332</v>
      </c>
      <c r="AD83" s="35">
        <v>39.479999999999997</v>
      </c>
      <c r="AE83" s="35">
        <v>39.49</v>
      </c>
      <c r="AF83" s="35">
        <v>39.68</v>
      </c>
      <c r="AG83" s="24">
        <f t="shared" si="19"/>
        <v>39.550000000000004</v>
      </c>
      <c r="AH83" s="35">
        <v>59.45</v>
      </c>
      <c r="AI83" s="35">
        <v>59.77</v>
      </c>
      <c r="AJ83" s="35">
        <v>59.43</v>
      </c>
      <c r="AK83" s="24">
        <f t="shared" si="20"/>
        <v>59.550000000000004</v>
      </c>
      <c r="AT83" s="10" t="s">
        <v>1251</v>
      </c>
      <c r="AU83">
        <v>8</v>
      </c>
      <c r="AV83" s="9">
        <v>6</v>
      </c>
      <c r="AW83" s="35">
        <v>30.53</v>
      </c>
      <c r="AX83" s="35">
        <v>30.26</v>
      </c>
      <c r="AY83" s="35">
        <v>30.53</v>
      </c>
      <c r="AZ83" s="24">
        <f t="shared" si="21"/>
        <v>30.44</v>
      </c>
      <c r="BA83" s="35">
        <v>40.26</v>
      </c>
      <c r="BB83" s="35">
        <v>40.090000000000003</v>
      </c>
      <c r="BC83" s="35">
        <v>40.1</v>
      </c>
      <c r="BD83" s="24">
        <f t="shared" si="22"/>
        <v>40.15</v>
      </c>
      <c r="BE83" s="35">
        <v>60.06</v>
      </c>
      <c r="BF83" s="35">
        <v>60</v>
      </c>
      <c r="BG83" s="35">
        <v>60.12</v>
      </c>
      <c r="BH83" s="24">
        <f t="shared" si="23"/>
        <v>60.06</v>
      </c>
      <c r="BI83" s="35">
        <v>46.45</v>
      </c>
      <c r="BJ83" s="35">
        <v>46.4</v>
      </c>
      <c r="BK83" s="35">
        <v>46.59</v>
      </c>
      <c r="BL83" s="24">
        <f t="shared" si="24"/>
        <v>46.48</v>
      </c>
      <c r="BM83" s="35">
        <v>46.46</v>
      </c>
      <c r="BN83" s="35">
        <v>46.64</v>
      </c>
      <c r="BO83" s="35">
        <v>46.35</v>
      </c>
      <c r="BP83" s="24">
        <f t="shared" si="25"/>
        <v>46.483333333333327</v>
      </c>
      <c r="BQ83" s="35">
        <v>35.42</v>
      </c>
      <c r="BR83" s="35">
        <v>35.57</v>
      </c>
      <c r="BS83" s="35">
        <v>35.61</v>
      </c>
      <c r="BT83" s="24">
        <f t="shared" si="26"/>
        <v>35.533333333333339</v>
      </c>
      <c r="BU83" s="35">
        <v>63.65</v>
      </c>
      <c r="BV83" s="35">
        <v>63.45</v>
      </c>
      <c r="BW83" s="35">
        <v>63.6</v>
      </c>
      <c r="BX83" s="24">
        <f t="shared" si="27"/>
        <v>63.566666666666663</v>
      </c>
      <c r="BY83" t="s">
        <v>1252</v>
      </c>
      <c r="BZ83" t="s">
        <v>1252</v>
      </c>
      <c r="CA83" t="s">
        <v>1252</v>
      </c>
      <c r="CB83" s="100">
        <v>43238</v>
      </c>
      <c r="CE83" s="35">
        <v>0.3</v>
      </c>
    </row>
    <row r="84" spans="1:86" x14ac:dyDescent="0.25">
      <c r="A84" t="s">
        <v>1432</v>
      </c>
      <c r="B84" s="260" t="s">
        <v>49</v>
      </c>
      <c r="C84" s="15">
        <v>60</v>
      </c>
      <c r="D84" s="35">
        <v>1609</v>
      </c>
      <c r="E84" s="15" t="s">
        <v>379</v>
      </c>
      <c r="F84" s="100">
        <v>43238</v>
      </c>
      <c r="G84" t="s">
        <v>1433</v>
      </c>
      <c r="H84" s="9" t="s">
        <v>1108</v>
      </c>
      <c r="I84" s="10">
        <v>1</v>
      </c>
      <c r="J84" s="10" t="s">
        <v>64</v>
      </c>
      <c r="K84">
        <v>302</v>
      </c>
      <c r="L84">
        <v>95</v>
      </c>
      <c r="M84" s="9">
        <f t="shared" si="15"/>
        <v>207</v>
      </c>
      <c r="N84" s="35">
        <v>145</v>
      </c>
      <c r="O84" s="35">
        <v>145</v>
      </c>
      <c r="P84" s="35">
        <v>145</v>
      </c>
      <c r="Q84" s="24">
        <f t="shared" si="16"/>
        <v>145</v>
      </c>
      <c r="R84" s="35">
        <v>233</v>
      </c>
      <c r="S84" s="35">
        <v>232</v>
      </c>
      <c r="T84" s="35">
        <v>232</v>
      </c>
      <c r="U84" s="24">
        <f t="shared" si="14"/>
        <v>232.33333333333334</v>
      </c>
      <c r="V84" s="35">
        <v>9.4700000000000006</v>
      </c>
      <c r="W84" s="35">
        <v>9.5399999999999991</v>
      </c>
      <c r="X84" s="35">
        <v>9.73</v>
      </c>
      <c r="Y84" s="24">
        <f t="shared" si="17"/>
        <v>9.58</v>
      </c>
      <c r="Z84" s="35">
        <v>29.21</v>
      </c>
      <c r="AA84" s="35">
        <v>29.33</v>
      </c>
      <c r="AB84" s="35">
        <v>29.5</v>
      </c>
      <c r="AC84" s="24">
        <f t="shared" si="18"/>
        <v>29.346666666666664</v>
      </c>
      <c r="AD84" s="35">
        <v>39.35</v>
      </c>
      <c r="AE84" s="35">
        <v>39.29</v>
      </c>
      <c r="AF84" s="35">
        <v>39.14</v>
      </c>
      <c r="AG84" s="24">
        <f t="shared" si="19"/>
        <v>39.26</v>
      </c>
      <c r="AH84" s="35">
        <v>57.27</v>
      </c>
      <c r="AI84" s="35">
        <v>57.4</v>
      </c>
      <c r="AJ84" s="35">
        <v>57.27</v>
      </c>
      <c r="AK84" s="24">
        <f t="shared" si="20"/>
        <v>57.313333333333333</v>
      </c>
      <c r="AT84" s="10" t="s">
        <v>1258</v>
      </c>
      <c r="AU84">
        <v>8</v>
      </c>
      <c r="AV84" s="9">
        <v>0</v>
      </c>
      <c r="AW84" s="35">
        <v>29.62</v>
      </c>
      <c r="AX84" s="35">
        <v>29.43</v>
      </c>
      <c r="AY84" s="35">
        <v>29.33</v>
      </c>
      <c r="AZ84" s="24">
        <f t="shared" si="21"/>
        <v>29.459999999999997</v>
      </c>
      <c r="BA84" s="35">
        <v>39.43</v>
      </c>
      <c r="BB84" s="35">
        <v>39.4</v>
      </c>
      <c r="BC84" s="35">
        <v>39.1</v>
      </c>
      <c r="BD84" s="24">
        <f t="shared" si="22"/>
        <v>39.31</v>
      </c>
      <c r="BE84" s="35">
        <v>56.85</v>
      </c>
      <c r="BF84" s="35">
        <v>56.87</v>
      </c>
      <c r="BG84" s="35">
        <v>56.88</v>
      </c>
      <c r="BH84" s="24">
        <f t="shared" si="23"/>
        <v>56.866666666666667</v>
      </c>
      <c r="BI84" s="35">
        <v>43.78</v>
      </c>
      <c r="BJ84" s="35">
        <v>43.52</v>
      </c>
      <c r="BK84" s="35">
        <v>43.65</v>
      </c>
      <c r="BL84" s="24">
        <f t="shared" si="24"/>
        <v>43.650000000000006</v>
      </c>
      <c r="BM84" s="35">
        <v>43.78</v>
      </c>
      <c r="BN84" s="35">
        <v>43.48</v>
      </c>
      <c r="BO84" s="35">
        <v>43.53</v>
      </c>
      <c r="BP84" s="24">
        <f t="shared" si="25"/>
        <v>43.596666666666664</v>
      </c>
      <c r="BQ84" s="35">
        <v>32.43</v>
      </c>
      <c r="BR84" s="35">
        <v>32.590000000000003</v>
      </c>
      <c r="BS84" s="35">
        <v>32.54</v>
      </c>
      <c r="BT84" s="24">
        <f t="shared" si="26"/>
        <v>32.520000000000003</v>
      </c>
      <c r="BU84" s="35">
        <v>62.36</v>
      </c>
      <c r="BV84" s="35">
        <v>62.35</v>
      </c>
      <c r="BW84" s="35">
        <v>62.38</v>
      </c>
      <c r="BX84" s="24">
        <f t="shared" si="27"/>
        <v>62.363333333333337</v>
      </c>
      <c r="BY84" t="s">
        <v>1252</v>
      </c>
      <c r="BZ84" t="s">
        <v>1252</v>
      </c>
      <c r="CA84" t="s">
        <v>1252</v>
      </c>
      <c r="CB84" s="100">
        <v>43238</v>
      </c>
      <c r="CE84" s="35">
        <v>0.9</v>
      </c>
    </row>
    <row r="85" spans="1:86" x14ac:dyDescent="0.25">
      <c r="A85" s="260" t="s">
        <v>1434</v>
      </c>
      <c r="B85" s="260" t="s">
        <v>49</v>
      </c>
      <c r="C85" s="15">
        <v>61</v>
      </c>
      <c r="D85" s="35">
        <v>1610</v>
      </c>
      <c r="E85" s="15" t="s">
        <v>379</v>
      </c>
      <c r="F85" s="100">
        <v>43238</v>
      </c>
      <c r="G85" t="s">
        <v>1435</v>
      </c>
      <c r="H85" s="9" t="s">
        <v>1108</v>
      </c>
      <c r="I85" s="10">
        <v>1</v>
      </c>
      <c r="J85" s="10" t="s">
        <v>64</v>
      </c>
      <c r="K85">
        <v>307</v>
      </c>
      <c r="L85">
        <v>94</v>
      </c>
      <c r="M85" s="9">
        <f t="shared" si="15"/>
        <v>213</v>
      </c>
      <c r="N85" s="35">
        <v>148</v>
      </c>
      <c r="O85" s="35">
        <v>149</v>
      </c>
      <c r="P85" s="35">
        <v>148</v>
      </c>
      <c r="Q85" s="24">
        <f t="shared" si="16"/>
        <v>148.33333333333334</v>
      </c>
      <c r="R85" s="35">
        <v>226</v>
      </c>
      <c r="S85" s="35">
        <v>226</v>
      </c>
      <c r="T85" s="35">
        <v>227</v>
      </c>
      <c r="U85" s="24">
        <f t="shared" si="14"/>
        <v>226.33333333333334</v>
      </c>
      <c r="V85" s="35">
        <v>10.39</v>
      </c>
      <c r="W85" s="35">
        <v>10.78</v>
      </c>
      <c r="X85" s="35">
        <v>10.47</v>
      </c>
      <c r="Y85" s="24">
        <f t="shared" si="17"/>
        <v>10.546666666666667</v>
      </c>
      <c r="Z85" s="35">
        <v>30.33</v>
      </c>
      <c r="AA85" s="35">
        <v>30.15</v>
      </c>
      <c r="AB85" s="35">
        <v>30.46</v>
      </c>
      <c r="AC85" s="24">
        <f t="shared" si="18"/>
        <v>30.313333333333333</v>
      </c>
      <c r="AD85" s="35">
        <v>39.93</v>
      </c>
      <c r="AE85" s="35">
        <v>39.83</v>
      </c>
      <c r="AF85" s="35">
        <v>39.9</v>
      </c>
      <c r="AG85" s="24">
        <f t="shared" si="19"/>
        <v>39.886666666666663</v>
      </c>
      <c r="AH85" s="35">
        <v>59.22</v>
      </c>
      <c r="AI85" s="35">
        <v>59.21</v>
      </c>
      <c r="AJ85" s="35">
        <v>59.22</v>
      </c>
      <c r="AK85" s="24">
        <f t="shared" si="20"/>
        <v>59.216666666666669</v>
      </c>
      <c r="AT85" s="10" t="s">
        <v>1258</v>
      </c>
      <c r="AU85">
        <v>8</v>
      </c>
      <c r="AV85" s="9">
        <v>0</v>
      </c>
      <c r="AW85" s="35">
        <v>31.05</v>
      </c>
      <c r="AX85" s="35">
        <v>31.02</v>
      </c>
      <c r="AY85" s="35">
        <v>31.12</v>
      </c>
      <c r="AZ85" s="24">
        <f t="shared" si="21"/>
        <v>31.063333333333333</v>
      </c>
      <c r="BA85" s="35">
        <v>39.15</v>
      </c>
      <c r="BB85" s="35">
        <v>39.65</v>
      </c>
      <c r="BC85" s="35">
        <v>39.74</v>
      </c>
      <c r="BD85" s="24">
        <f t="shared" si="22"/>
        <v>39.513333333333328</v>
      </c>
      <c r="BE85" s="35">
        <v>61.35</v>
      </c>
      <c r="BF85" s="35">
        <v>61.22</v>
      </c>
      <c r="BG85" s="35">
        <v>61.57</v>
      </c>
      <c r="BH85" s="24">
        <f t="shared" si="23"/>
        <v>61.379999999999995</v>
      </c>
      <c r="BI85" s="35">
        <v>45.92</v>
      </c>
      <c r="BJ85" s="35">
        <v>45.98</v>
      </c>
      <c r="BK85" s="35">
        <v>45.92</v>
      </c>
      <c r="BL85" s="24">
        <f t="shared" si="24"/>
        <v>45.94</v>
      </c>
      <c r="BM85" s="35">
        <v>45.98</v>
      </c>
      <c r="BN85" s="35">
        <v>45.88</v>
      </c>
      <c r="BO85" s="35">
        <v>45.9</v>
      </c>
      <c r="BP85" s="24">
        <f t="shared" si="25"/>
        <v>45.919999999999995</v>
      </c>
      <c r="BQ85" s="35">
        <v>32.22</v>
      </c>
      <c r="BR85" s="35">
        <v>32.28</v>
      </c>
      <c r="BS85" s="35">
        <v>32.380000000000003</v>
      </c>
      <c r="BT85" s="24">
        <f t="shared" si="26"/>
        <v>32.293333333333329</v>
      </c>
      <c r="BU85" s="35">
        <v>62.42</v>
      </c>
      <c r="BV85" s="35">
        <v>62.25</v>
      </c>
      <c r="BW85" s="35">
        <v>62.44</v>
      </c>
      <c r="BX85" s="24">
        <f t="shared" si="27"/>
        <v>62.370000000000005</v>
      </c>
      <c r="BY85" t="s">
        <v>1252</v>
      </c>
      <c r="BZ85" t="s">
        <v>1252</v>
      </c>
      <c r="CA85" t="s">
        <v>1252</v>
      </c>
      <c r="CB85" s="252">
        <v>43238</v>
      </c>
      <c r="CD85" s="100">
        <v>43238</v>
      </c>
      <c r="CE85" s="12">
        <v>0</v>
      </c>
      <c r="CH85" t="s">
        <v>1403</v>
      </c>
    </row>
    <row r="86" spans="1:86" x14ac:dyDescent="0.25">
      <c r="A86" t="s">
        <v>1436</v>
      </c>
      <c r="B86" s="260" t="s">
        <v>49</v>
      </c>
      <c r="C86" s="15">
        <v>62</v>
      </c>
      <c r="D86" s="35">
        <v>1611</v>
      </c>
      <c r="E86" s="15" t="s">
        <v>379</v>
      </c>
      <c r="F86" s="100">
        <v>43238</v>
      </c>
      <c r="G86" t="s">
        <v>1437</v>
      </c>
      <c r="H86" s="9" t="s">
        <v>1108</v>
      </c>
      <c r="I86" s="10">
        <v>2</v>
      </c>
      <c r="J86" s="10" t="s">
        <v>64</v>
      </c>
      <c r="K86">
        <v>401</v>
      </c>
      <c r="L86">
        <v>91</v>
      </c>
      <c r="M86" s="9">
        <f t="shared" si="15"/>
        <v>310</v>
      </c>
      <c r="N86" s="35">
        <v>170</v>
      </c>
      <c r="O86" s="35">
        <v>171</v>
      </c>
      <c r="P86" s="35">
        <v>170</v>
      </c>
      <c r="Q86" s="24">
        <f t="shared" si="16"/>
        <v>170.33333333333334</v>
      </c>
      <c r="R86" s="35">
        <v>227</v>
      </c>
      <c r="S86" s="35">
        <v>226</v>
      </c>
      <c r="T86" s="35">
        <v>227</v>
      </c>
      <c r="U86" s="24">
        <f t="shared" si="14"/>
        <v>226.66666666666666</v>
      </c>
      <c r="V86" s="35">
        <v>14.11</v>
      </c>
      <c r="W86" s="35">
        <v>13.9</v>
      </c>
      <c r="X86" s="35">
        <v>14.17</v>
      </c>
      <c r="Y86" s="24">
        <f t="shared" si="17"/>
        <v>14.06</v>
      </c>
      <c r="Z86" s="35">
        <v>30.79</v>
      </c>
      <c r="AA86" s="35">
        <v>30.62</v>
      </c>
      <c r="AB86" s="35">
        <v>30.4</v>
      </c>
      <c r="AC86" s="24">
        <f t="shared" si="18"/>
        <v>30.603333333333335</v>
      </c>
      <c r="AD86" s="35">
        <v>39.79</v>
      </c>
      <c r="AE86" s="35">
        <v>39.61</v>
      </c>
      <c r="AF86" s="35">
        <v>39.81</v>
      </c>
      <c r="AG86" s="24">
        <f t="shared" si="19"/>
        <v>39.736666666666672</v>
      </c>
      <c r="AH86">
        <v>60.8</v>
      </c>
      <c r="AI86" s="35">
        <v>60.88</v>
      </c>
      <c r="AJ86" s="35">
        <v>60.8</v>
      </c>
      <c r="AK86" s="24">
        <f t="shared" si="20"/>
        <v>60.826666666666675</v>
      </c>
      <c r="AT86" s="10" t="s">
        <v>1251</v>
      </c>
      <c r="AU86">
        <v>8</v>
      </c>
      <c r="AV86" s="9">
        <v>8</v>
      </c>
      <c r="AW86" s="35">
        <v>31.19</v>
      </c>
      <c r="AX86" s="35">
        <v>31.25</v>
      </c>
      <c r="AY86" s="35">
        <v>31.15</v>
      </c>
      <c r="AZ86" s="24">
        <f t="shared" si="21"/>
        <v>31.196666666666669</v>
      </c>
      <c r="BA86" s="35">
        <v>39.99</v>
      </c>
      <c r="BB86" s="35">
        <v>39.65</v>
      </c>
      <c r="BC86" s="35">
        <v>39.99</v>
      </c>
      <c r="BD86" s="24">
        <f t="shared" si="22"/>
        <v>39.876666666666665</v>
      </c>
      <c r="BE86" s="35">
        <v>61.64</v>
      </c>
      <c r="BF86" s="35">
        <v>61.55</v>
      </c>
      <c r="BG86" s="35">
        <v>61.83</v>
      </c>
      <c r="BH86" s="24">
        <f t="shared" si="23"/>
        <v>61.673333333333325</v>
      </c>
      <c r="BI86" s="35">
        <v>47.55</v>
      </c>
      <c r="BJ86" s="35">
        <v>47.7</v>
      </c>
      <c r="BK86" s="35">
        <v>47.75</v>
      </c>
      <c r="BL86" s="24">
        <f t="shared" si="24"/>
        <v>47.666666666666664</v>
      </c>
      <c r="BM86" s="35">
        <v>47.35</v>
      </c>
      <c r="BN86" s="35">
        <v>47.2</v>
      </c>
      <c r="BO86" s="35">
        <v>47.46</v>
      </c>
      <c r="BP86" s="24">
        <f t="shared" si="25"/>
        <v>47.336666666666673</v>
      </c>
      <c r="BQ86" s="35">
        <v>34.39</v>
      </c>
      <c r="BR86" s="35">
        <v>34.380000000000003</v>
      </c>
      <c r="BS86" s="35">
        <v>34.25</v>
      </c>
      <c r="BT86" s="24">
        <f t="shared" si="26"/>
        <v>34.340000000000003</v>
      </c>
      <c r="BU86" s="35">
        <v>65.73</v>
      </c>
      <c r="BV86" s="35">
        <v>65.64</v>
      </c>
      <c r="BW86" s="35">
        <v>65.52</v>
      </c>
      <c r="BX86" s="24">
        <f t="shared" si="27"/>
        <v>65.63</v>
      </c>
      <c r="BY86" t="s">
        <v>1252</v>
      </c>
      <c r="BZ86" t="s">
        <v>1252</v>
      </c>
      <c r="CA86" t="s">
        <v>1252</v>
      </c>
      <c r="CB86" s="100">
        <v>43238</v>
      </c>
      <c r="CE86" s="263">
        <v>0.6</v>
      </c>
    </row>
    <row r="87" spans="1:86" x14ac:dyDescent="0.25">
      <c r="A87" s="260" t="s">
        <v>1438</v>
      </c>
      <c r="B87" s="260" t="s">
        <v>49</v>
      </c>
      <c r="C87" s="15">
        <v>63</v>
      </c>
      <c r="D87" s="35">
        <v>1623</v>
      </c>
      <c r="E87" s="15" t="s">
        <v>379</v>
      </c>
      <c r="F87" s="100">
        <v>43238</v>
      </c>
      <c r="G87" t="s">
        <v>1439</v>
      </c>
      <c r="H87" s="9" t="s">
        <v>1108</v>
      </c>
      <c r="I87" s="10">
        <v>1</v>
      </c>
      <c r="J87" s="10" t="s">
        <v>64</v>
      </c>
      <c r="K87">
        <v>299</v>
      </c>
      <c r="L87">
        <v>95</v>
      </c>
      <c r="M87" s="9">
        <f t="shared" si="15"/>
        <v>204</v>
      </c>
      <c r="N87" s="35">
        <v>144</v>
      </c>
      <c r="O87" s="35">
        <v>144</v>
      </c>
      <c r="P87" s="35">
        <v>145</v>
      </c>
      <c r="Q87" s="24">
        <f t="shared" si="16"/>
        <v>144.33333333333334</v>
      </c>
      <c r="R87" s="35">
        <v>225</v>
      </c>
      <c r="S87" s="35">
        <v>225</v>
      </c>
      <c r="T87" s="35">
        <v>226</v>
      </c>
      <c r="U87" s="24">
        <f t="shared" si="14"/>
        <v>225.33333333333334</v>
      </c>
      <c r="V87" s="35">
        <v>10.96</v>
      </c>
      <c r="W87" s="35">
        <v>10.73</v>
      </c>
      <c r="X87" s="35">
        <v>10.62</v>
      </c>
      <c r="Y87" s="24">
        <f t="shared" si="17"/>
        <v>10.770000000000001</v>
      </c>
      <c r="Z87" s="35">
        <v>30.96</v>
      </c>
      <c r="AA87" s="35">
        <v>30.87</v>
      </c>
      <c r="AB87" s="35">
        <v>30.91</v>
      </c>
      <c r="AC87" s="24">
        <f t="shared" si="18"/>
        <v>30.91333333333333</v>
      </c>
      <c r="AD87" s="35">
        <v>39.270000000000003</v>
      </c>
      <c r="AE87" s="35">
        <v>39.24</v>
      </c>
      <c r="AF87" s="35">
        <v>39.28</v>
      </c>
      <c r="AG87" s="24">
        <f t="shared" si="19"/>
        <v>39.263333333333335</v>
      </c>
      <c r="AH87" s="35">
        <v>56.07</v>
      </c>
      <c r="AI87" s="35">
        <v>56</v>
      </c>
      <c r="AJ87" s="35">
        <v>56.15</v>
      </c>
      <c r="AK87" s="24">
        <f t="shared" si="20"/>
        <v>56.073333333333331</v>
      </c>
      <c r="AT87" s="10" t="s">
        <v>1258</v>
      </c>
      <c r="AU87">
        <v>8</v>
      </c>
      <c r="AV87" s="9">
        <v>0</v>
      </c>
      <c r="AW87" s="35">
        <v>30.03</v>
      </c>
      <c r="AX87" s="35">
        <v>30.05</v>
      </c>
      <c r="AY87" s="35">
        <v>30.05</v>
      </c>
      <c r="AZ87" s="24">
        <f t="shared" si="21"/>
        <v>30.043333333333333</v>
      </c>
      <c r="BA87" s="35">
        <v>40.31</v>
      </c>
      <c r="BB87" s="35">
        <v>40.04</v>
      </c>
      <c r="BC87" s="35">
        <v>40.049999999999997</v>
      </c>
      <c r="BD87" s="24">
        <f t="shared" si="22"/>
        <v>40.133333333333333</v>
      </c>
      <c r="BE87" s="35">
        <v>57.17</v>
      </c>
      <c r="BF87" s="35">
        <v>57.78</v>
      </c>
      <c r="BG87" s="35">
        <v>57.57</v>
      </c>
      <c r="BH87" s="24">
        <f t="shared" si="23"/>
        <v>57.506666666666668</v>
      </c>
      <c r="BI87" s="35">
        <v>44.71</v>
      </c>
      <c r="BJ87" s="35">
        <v>44.7</v>
      </c>
      <c r="BK87" s="35">
        <v>44.69</v>
      </c>
      <c r="BL87" s="24">
        <f t="shared" si="24"/>
        <v>44.699999999999996</v>
      </c>
      <c r="BM87" s="35">
        <v>44.85</v>
      </c>
      <c r="BN87" s="35">
        <v>44.75</v>
      </c>
      <c r="BO87" s="35">
        <v>44.92</v>
      </c>
      <c r="BP87" s="24">
        <f t="shared" si="25"/>
        <v>44.839999999999996</v>
      </c>
      <c r="BQ87" s="35">
        <v>32.19</v>
      </c>
      <c r="BR87" s="35">
        <v>32.200000000000003</v>
      </c>
      <c r="BS87" s="35">
        <v>32.26</v>
      </c>
      <c r="BT87" s="24">
        <f t="shared" si="26"/>
        <v>32.216666666666669</v>
      </c>
      <c r="BU87" s="35">
        <v>62.46</v>
      </c>
      <c r="BV87" s="35">
        <v>62.41</v>
      </c>
      <c r="BW87" s="35">
        <v>62.54</v>
      </c>
      <c r="BX87" s="24">
        <f t="shared" si="27"/>
        <v>62.47</v>
      </c>
      <c r="BY87" t="s">
        <v>1252</v>
      </c>
      <c r="BZ87" t="s">
        <v>1252</v>
      </c>
      <c r="CA87" t="s">
        <v>1252</v>
      </c>
      <c r="CB87" s="100">
        <v>43238</v>
      </c>
      <c r="CE87" s="12">
        <v>0.2</v>
      </c>
      <c r="CH87" t="s">
        <v>1403</v>
      </c>
    </row>
    <row r="88" spans="1:86" x14ac:dyDescent="0.25">
      <c r="A88" t="s">
        <v>1440</v>
      </c>
      <c r="B88" s="260" t="s">
        <v>49</v>
      </c>
      <c r="C88" s="15">
        <v>64</v>
      </c>
      <c r="D88" s="35">
        <v>1622</v>
      </c>
      <c r="E88" s="15" t="s">
        <v>379</v>
      </c>
      <c r="F88" s="100">
        <v>43238</v>
      </c>
      <c r="G88" t="s">
        <v>1441</v>
      </c>
      <c r="H88" s="9" t="s">
        <v>1108</v>
      </c>
      <c r="I88" s="10">
        <v>1</v>
      </c>
      <c r="J88" s="10" t="s">
        <v>64</v>
      </c>
      <c r="K88">
        <v>333</v>
      </c>
      <c r="L88">
        <v>95</v>
      </c>
      <c r="M88" s="9">
        <f t="shared" si="15"/>
        <v>238</v>
      </c>
      <c r="N88" s="35">
        <v>165</v>
      </c>
      <c r="O88" s="35">
        <v>166</v>
      </c>
      <c r="P88" s="35">
        <v>165</v>
      </c>
      <c r="Q88" s="24">
        <f t="shared" si="16"/>
        <v>165.33333333333334</v>
      </c>
      <c r="R88" s="35">
        <v>222</v>
      </c>
      <c r="S88" s="35">
        <v>222</v>
      </c>
      <c r="T88" s="35">
        <v>222</v>
      </c>
      <c r="U88" s="24">
        <f t="shared" si="14"/>
        <v>222</v>
      </c>
      <c r="V88" s="35">
        <v>10.6</v>
      </c>
      <c r="W88" s="35">
        <v>10.56</v>
      </c>
      <c r="X88" s="35">
        <v>10.59</v>
      </c>
      <c r="Y88" s="24">
        <f t="shared" si="17"/>
        <v>10.583333333333334</v>
      </c>
      <c r="Z88" s="35">
        <v>30.33</v>
      </c>
      <c r="AA88" s="35">
        <v>30.28</v>
      </c>
      <c r="AB88" s="35">
        <v>30.29</v>
      </c>
      <c r="AC88" s="24">
        <f t="shared" si="18"/>
        <v>30.3</v>
      </c>
      <c r="AD88" s="35">
        <v>40.08</v>
      </c>
      <c r="AE88" s="35">
        <v>40.04</v>
      </c>
      <c r="AF88" s="35">
        <v>40.159999999999997</v>
      </c>
      <c r="AG88" s="24">
        <f t="shared" si="19"/>
        <v>40.093333333333334</v>
      </c>
      <c r="AH88" s="35">
        <v>59.83</v>
      </c>
      <c r="AI88" s="35">
        <v>59.63</v>
      </c>
      <c r="AJ88" s="35">
        <v>59.28</v>
      </c>
      <c r="AK88" s="24">
        <f t="shared" si="20"/>
        <v>59.580000000000005</v>
      </c>
      <c r="AT88" s="10" t="s">
        <v>1258</v>
      </c>
      <c r="AU88">
        <v>8</v>
      </c>
      <c r="AV88" s="9">
        <v>0</v>
      </c>
      <c r="AW88" s="35">
        <v>30.02</v>
      </c>
      <c r="AX88" s="35">
        <v>30.06</v>
      </c>
      <c r="AY88" s="35">
        <v>30.18</v>
      </c>
      <c r="AZ88" s="24">
        <f t="shared" si="21"/>
        <v>30.086666666666662</v>
      </c>
      <c r="BA88" s="35">
        <v>39.119999999999997</v>
      </c>
      <c r="BB88" s="35">
        <v>39.31</v>
      </c>
      <c r="BC88" s="35">
        <v>39.299999999999997</v>
      </c>
      <c r="BD88" s="24">
        <f t="shared" si="22"/>
        <v>39.243333333333332</v>
      </c>
      <c r="BE88" s="35">
        <v>60.44</v>
      </c>
      <c r="BF88" s="35">
        <v>60.36</v>
      </c>
      <c r="BG88" s="35">
        <v>60.33</v>
      </c>
      <c r="BH88" s="24">
        <f t="shared" si="23"/>
        <v>60.376666666666665</v>
      </c>
      <c r="BI88" s="35">
        <v>46.73</v>
      </c>
      <c r="BJ88" s="35">
        <v>46.73</v>
      </c>
      <c r="BK88" s="35">
        <v>46.64</v>
      </c>
      <c r="BL88" s="24">
        <f t="shared" si="24"/>
        <v>46.699999999999996</v>
      </c>
      <c r="BM88" s="35">
        <v>46.15</v>
      </c>
      <c r="BN88" s="35">
        <v>46.35</v>
      </c>
      <c r="BO88" s="35">
        <v>46.58</v>
      </c>
      <c r="BP88" s="24">
        <f t="shared" si="25"/>
        <v>46.359999999999992</v>
      </c>
      <c r="BQ88" s="35">
        <v>33.92</v>
      </c>
      <c r="BR88" s="35">
        <v>33.71</v>
      </c>
      <c r="BS88" s="35">
        <v>33.840000000000003</v>
      </c>
      <c r="BT88" s="24">
        <f t="shared" si="26"/>
        <v>33.823333333333331</v>
      </c>
      <c r="BU88" s="35">
        <v>66.58</v>
      </c>
      <c r="BV88" s="35">
        <v>66.63</v>
      </c>
      <c r="BW88" s="35">
        <v>66.540000000000006</v>
      </c>
      <c r="BX88" s="24">
        <f t="shared" si="27"/>
        <v>66.583333333333329</v>
      </c>
      <c r="BY88" t="s">
        <v>1252</v>
      </c>
      <c r="BZ88" t="s">
        <v>1252</v>
      </c>
      <c r="CA88" t="s">
        <v>1252</v>
      </c>
      <c r="CB88" s="252">
        <v>43238</v>
      </c>
      <c r="CE88" s="35">
        <v>0.4</v>
      </c>
    </row>
    <row r="89" spans="1:86" x14ac:dyDescent="0.25">
      <c r="A89" s="260" t="s">
        <v>1442</v>
      </c>
      <c r="B89" s="260" t="s">
        <v>49</v>
      </c>
      <c r="C89" s="15">
        <v>65</v>
      </c>
      <c r="D89" s="35">
        <v>1612</v>
      </c>
      <c r="E89" s="15" t="s">
        <v>379</v>
      </c>
      <c r="F89" s="100">
        <v>43238</v>
      </c>
      <c r="G89" t="s">
        <v>1443</v>
      </c>
      <c r="H89" s="9" t="s">
        <v>1108</v>
      </c>
      <c r="I89" s="10">
        <v>1</v>
      </c>
      <c r="J89" s="10" t="s">
        <v>50</v>
      </c>
      <c r="K89">
        <v>493</v>
      </c>
      <c r="L89">
        <v>94</v>
      </c>
      <c r="M89" s="9">
        <f t="shared" si="15"/>
        <v>399</v>
      </c>
      <c r="N89" s="35">
        <v>193</v>
      </c>
      <c r="O89" s="35">
        <v>193</v>
      </c>
      <c r="P89" s="35">
        <v>193</v>
      </c>
      <c r="Q89" s="24">
        <f t="shared" si="16"/>
        <v>193</v>
      </c>
      <c r="R89" s="35">
        <v>255</v>
      </c>
      <c r="S89" s="35">
        <v>256</v>
      </c>
      <c r="T89" s="35">
        <v>256</v>
      </c>
      <c r="U89" s="24">
        <f t="shared" si="14"/>
        <v>255.66666666666666</v>
      </c>
      <c r="V89" s="35">
        <v>12.52</v>
      </c>
      <c r="W89" s="35">
        <v>12.73</v>
      </c>
      <c r="X89" s="35">
        <v>12.56</v>
      </c>
      <c r="Y89" s="24">
        <f t="shared" si="17"/>
        <v>12.603333333333333</v>
      </c>
      <c r="Z89" s="35">
        <v>34.5</v>
      </c>
      <c r="AA89" s="35">
        <v>34.65</v>
      </c>
      <c r="AB89" s="35">
        <v>34.630000000000003</v>
      </c>
      <c r="AC89" s="24">
        <f t="shared" si="18"/>
        <v>34.593333333333334</v>
      </c>
      <c r="AD89" s="35">
        <v>45.13</v>
      </c>
      <c r="AE89" s="35">
        <v>45.18</v>
      </c>
      <c r="AF89" s="35">
        <v>45.17</v>
      </c>
      <c r="AG89" s="24">
        <f t="shared" si="19"/>
        <v>45.160000000000004</v>
      </c>
      <c r="AH89" s="35">
        <v>68.069999999999993</v>
      </c>
      <c r="AI89" s="35">
        <v>68.040000000000006</v>
      </c>
      <c r="AJ89" s="35">
        <v>68.05</v>
      </c>
      <c r="AK89" s="24">
        <f t="shared" si="20"/>
        <v>68.053333333333342</v>
      </c>
      <c r="AL89" s="35">
        <v>17.28</v>
      </c>
      <c r="AM89" s="35">
        <v>17.8</v>
      </c>
      <c r="AN89" s="35">
        <v>17.510000000000002</v>
      </c>
      <c r="AP89" s="35">
        <v>24.4</v>
      </c>
      <c r="AQ89" s="35">
        <v>24.49</v>
      </c>
      <c r="AR89" s="35">
        <v>24.15</v>
      </c>
      <c r="AW89" s="35">
        <v>34.9</v>
      </c>
      <c r="AX89" s="35">
        <v>34.74</v>
      </c>
      <c r="AY89" s="35">
        <v>34.9</v>
      </c>
      <c r="AZ89" s="24">
        <f t="shared" si="21"/>
        <v>34.846666666666664</v>
      </c>
      <c r="BA89" s="35">
        <v>45.54</v>
      </c>
      <c r="BB89" s="35">
        <v>45.28</v>
      </c>
      <c r="BC89" s="35">
        <v>45.61</v>
      </c>
      <c r="BD89" s="24">
        <f t="shared" si="22"/>
        <v>45.476666666666667</v>
      </c>
      <c r="BE89" s="35">
        <v>68.48</v>
      </c>
      <c r="BF89" s="35">
        <v>68.489999999999995</v>
      </c>
      <c r="BG89" s="35">
        <v>68.52</v>
      </c>
      <c r="BH89" s="24">
        <f t="shared" si="23"/>
        <v>68.49666666666667</v>
      </c>
      <c r="BI89" s="35">
        <v>55.3</v>
      </c>
      <c r="BJ89" s="35">
        <v>55.35</v>
      </c>
      <c r="BK89" s="35">
        <v>55.38</v>
      </c>
      <c r="BL89" s="24">
        <f t="shared" si="24"/>
        <v>55.343333333333334</v>
      </c>
      <c r="BM89" s="35">
        <v>55.42</v>
      </c>
      <c r="BN89" s="35">
        <v>55.64</v>
      </c>
      <c r="BO89" s="35">
        <v>55.52</v>
      </c>
      <c r="BP89" s="24">
        <f t="shared" si="25"/>
        <v>55.526666666666671</v>
      </c>
      <c r="BQ89" s="35">
        <v>40.4</v>
      </c>
      <c r="BR89" s="35">
        <v>40.32</v>
      </c>
      <c r="BS89" s="35">
        <v>40.5</v>
      </c>
      <c r="BT89" s="24">
        <f t="shared" si="26"/>
        <v>40.406666666666666</v>
      </c>
      <c r="BU89" s="35">
        <v>71.599999999999994</v>
      </c>
      <c r="BV89" s="35">
        <v>71.540000000000006</v>
      </c>
      <c r="BW89" s="35">
        <v>71.62</v>
      </c>
      <c r="BX89" s="24">
        <f t="shared" si="27"/>
        <v>71.586666666666659</v>
      </c>
      <c r="BY89" t="s">
        <v>1252</v>
      </c>
      <c r="BZ89" t="s">
        <v>1252</v>
      </c>
      <c r="CA89" t="s">
        <v>1252</v>
      </c>
      <c r="CB89" s="100">
        <v>43238</v>
      </c>
      <c r="CE89" s="12">
        <v>0.9</v>
      </c>
    </row>
    <row r="90" spans="1:86" x14ac:dyDescent="0.25">
      <c r="A90" t="s">
        <v>1444</v>
      </c>
      <c r="B90" s="260" t="s">
        <v>49</v>
      </c>
      <c r="C90" s="15">
        <v>66</v>
      </c>
      <c r="D90" s="35">
        <v>1613</v>
      </c>
      <c r="E90" s="15" t="s">
        <v>379</v>
      </c>
      <c r="F90" s="100">
        <v>43238</v>
      </c>
      <c r="G90" t="s">
        <v>1445</v>
      </c>
      <c r="H90" s="9" t="s">
        <v>1108</v>
      </c>
      <c r="I90" s="10">
        <v>3</v>
      </c>
      <c r="J90" s="10" t="s">
        <v>64</v>
      </c>
      <c r="K90">
        <v>486</v>
      </c>
      <c r="L90">
        <v>92</v>
      </c>
      <c r="M90" s="9">
        <f t="shared" si="15"/>
        <v>394</v>
      </c>
      <c r="N90" s="35">
        <v>189</v>
      </c>
      <c r="O90" s="35">
        <v>190</v>
      </c>
      <c r="P90" s="35">
        <v>189</v>
      </c>
      <c r="Q90" s="24">
        <f t="shared" si="16"/>
        <v>189.33333333333334</v>
      </c>
      <c r="R90" s="35">
        <v>234</v>
      </c>
      <c r="S90" s="35">
        <v>234</v>
      </c>
      <c r="T90" s="35">
        <v>233</v>
      </c>
      <c r="U90" s="24">
        <f t="shared" si="14"/>
        <v>233.66666666666666</v>
      </c>
      <c r="V90" s="35">
        <v>13</v>
      </c>
      <c r="W90" s="35">
        <v>12.87</v>
      </c>
      <c r="X90" s="35">
        <v>12.95</v>
      </c>
      <c r="Y90" s="24">
        <f t="shared" si="17"/>
        <v>12.939999999999998</v>
      </c>
      <c r="Z90" s="35">
        <v>30.02</v>
      </c>
      <c r="AA90" s="35">
        <v>29.99</v>
      </c>
      <c r="AB90" s="35">
        <v>30.08</v>
      </c>
      <c r="AC90" s="24">
        <f t="shared" si="18"/>
        <v>30.03</v>
      </c>
      <c r="AD90" s="35">
        <v>39.479999999999997</v>
      </c>
      <c r="AE90" s="35">
        <v>39.69</v>
      </c>
      <c r="AF90" s="35">
        <v>39.68</v>
      </c>
      <c r="AG90" s="24">
        <f t="shared" si="19"/>
        <v>39.616666666666667</v>
      </c>
      <c r="AH90" s="35">
        <v>61.29</v>
      </c>
      <c r="AI90" s="35">
        <v>61.57</v>
      </c>
      <c r="AJ90" s="35">
        <v>61.46</v>
      </c>
      <c r="AK90" s="24">
        <f t="shared" si="20"/>
        <v>61.44</v>
      </c>
      <c r="AT90" s="10" t="s">
        <v>1251</v>
      </c>
      <c r="AU90">
        <v>8</v>
      </c>
      <c r="AV90" s="9">
        <v>6</v>
      </c>
      <c r="AW90" s="35">
        <v>30.65</v>
      </c>
      <c r="AX90" s="35">
        <v>30.48</v>
      </c>
      <c r="AY90" s="35">
        <v>30.18</v>
      </c>
      <c r="AZ90" s="24">
        <f t="shared" si="21"/>
        <v>30.436666666666667</v>
      </c>
      <c r="BA90" s="35">
        <v>39.619999999999997</v>
      </c>
      <c r="BB90" s="35">
        <v>39.68</v>
      </c>
      <c r="BC90" s="35">
        <v>39.69</v>
      </c>
      <c r="BD90" s="24">
        <f t="shared" si="22"/>
        <v>39.663333333333334</v>
      </c>
      <c r="BE90" s="35">
        <v>62.77</v>
      </c>
      <c r="BF90" s="35">
        <v>62.75</v>
      </c>
      <c r="BG90" s="35">
        <v>62.43</v>
      </c>
      <c r="BH90" s="24">
        <f t="shared" si="23"/>
        <v>62.650000000000006</v>
      </c>
      <c r="BI90" s="35">
        <v>49.1</v>
      </c>
      <c r="BJ90" s="35">
        <v>49.14</v>
      </c>
      <c r="BK90" s="35">
        <v>49.1</v>
      </c>
      <c r="BL90" s="24">
        <f t="shared" si="24"/>
        <v>49.113333333333337</v>
      </c>
      <c r="BM90" s="35">
        <v>49.23</v>
      </c>
      <c r="BN90" s="35">
        <v>49.15</v>
      </c>
      <c r="BO90" s="35">
        <v>49.32</v>
      </c>
      <c r="BP90" s="24">
        <f t="shared" si="25"/>
        <v>49.233333333333327</v>
      </c>
      <c r="BQ90" s="35">
        <v>36.67</v>
      </c>
      <c r="BR90" s="35">
        <v>36.92</v>
      </c>
      <c r="BS90" s="35">
        <v>36.93</v>
      </c>
      <c r="BT90" s="24">
        <f t="shared" si="26"/>
        <v>36.840000000000003</v>
      </c>
      <c r="BU90" s="35">
        <v>69.66</v>
      </c>
      <c r="BV90" s="35">
        <v>69.59</v>
      </c>
      <c r="BW90" s="35">
        <v>69.599999999999994</v>
      </c>
      <c r="BX90" s="24">
        <f t="shared" si="27"/>
        <v>69.61666666666666</v>
      </c>
      <c r="BY90" t="s">
        <v>1252</v>
      </c>
      <c r="BZ90" t="s">
        <v>1252</v>
      </c>
      <c r="CA90" t="s">
        <v>1252</v>
      </c>
      <c r="CB90" s="100">
        <v>43238</v>
      </c>
      <c r="CD90" s="100">
        <v>43238</v>
      </c>
      <c r="CE90" s="35">
        <v>0.7</v>
      </c>
    </row>
    <row r="91" spans="1:86" x14ac:dyDescent="0.25">
      <c r="A91" s="260" t="s">
        <v>1446</v>
      </c>
      <c r="B91" s="260" t="s">
        <v>49</v>
      </c>
      <c r="C91" s="15">
        <v>67</v>
      </c>
      <c r="D91" s="35">
        <v>1614</v>
      </c>
      <c r="E91" s="15" t="s">
        <v>379</v>
      </c>
      <c r="F91" s="100">
        <v>43238</v>
      </c>
      <c r="G91" t="s">
        <v>1447</v>
      </c>
      <c r="H91" s="9" t="s">
        <v>1108</v>
      </c>
      <c r="I91" s="10">
        <v>1</v>
      </c>
      <c r="J91" s="10" t="s">
        <v>64</v>
      </c>
      <c r="K91">
        <v>249</v>
      </c>
      <c r="L91">
        <v>93</v>
      </c>
      <c r="M91" s="9">
        <f t="shared" si="15"/>
        <v>156</v>
      </c>
      <c r="N91" s="35">
        <v>134</v>
      </c>
      <c r="O91" s="35">
        <v>134</v>
      </c>
      <c r="P91" s="35">
        <v>134</v>
      </c>
      <c r="Q91" s="24">
        <f t="shared" si="16"/>
        <v>134</v>
      </c>
      <c r="R91" s="35">
        <v>185</v>
      </c>
      <c r="S91" s="35">
        <v>185</v>
      </c>
      <c r="T91" s="35">
        <v>185</v>
      </c>
      <c r="U91" s="24">
        <f t="shared" si="14"/>
        <v>185</v>
      </c>
      <c r="V91" s="35">
        <v>7.77</v>
      </c>
      <c r="W91" s="35">
        <v>7.79</v>
      </c>
      <c r="X91" s="35">
        <v>7.8</v>
      </c>
      <c r="Y91" s="24">
        <f t="shared" si="17"/>
        <v>7.7866666666666662</v>
      </c>
      <c r="Z91" s="35">
        <v>28.32</v>
      </c>
      <c r="AA91" s="35">
        <v>28.1</v>
      </c>
      <c r="AB91" s="35">
        <v>28.19</v>
      </c>
      <c r="AC91" s="24">
        <f t="shared" si="18"/>
        <v>28.203333333333333</v>
      </c>
      <c r="AD91" s="35">
        <v>37.119999999999997</v>
      </c>
      <c r="AE91" s="35">
        <v>37.04</v>
      </c>
      <c r="AF91" s="35">
        <v>37.159999999999997</v>
      </c>
      <c r="AG91" s="24">
        <f t="shared" si="19"/>
        <v>37.106666666666662</v>
      </c>
      <c r="AH91" s="35">
        <v>51.1</v>
      </c>
      <c r="AI91" s="35">
        <v>51.24</v>
      </c>
      <c r="AJ91" s="35">
        <v>51.09</v>
      </c>
      <c r="AK91" s="24">
        <f t="shared" si="20"/>
        <v>51.143333333333338</v>
      </c>
      <c r="AT91" s="10" t="s">
        <v>1258</v>
      </c>
      <c r="AU91">
        <v>8</v>
      </c>
      <c r="AV91" s="9">
        <v>0</v>
      </c>
      <c r="AW91" s="35">
        <v>27.7</v>
      </c>
      <c r="AX91" s="35">
        <v>27.99</v>
      </c>
      <c r="AY91" s="35">
        <v>27.98</v>
      </c>
      <c r="AZ91" s="24">
        <f t="shared" si="21"/>
        <v>27.89</v>
      </c>
      <c r="BA91" s="35">
        <v>36.049999999999997</v>
      </c>
      <c r="BB91" s="35">
        <v>35.979999999999997</v>
      </c>
      <c r="BC91" s="35">
        <v>35.97</v>
      </c>
      <c r="BD91" s="24">
        <f t="shared" si="22"/>
        <v>36</v>
      </c>
      <c r="BE91" s="35">
        <v>51.51</v>
      </c>
      <c r="BF91" s="35">
        <v>51.64</v>
      </c>
      <c r="BG91" s="35">
        <v>51.64</v>
      </c>
      <c r="BH91" s="24">
        <f t="shared" si="23"/>
        <v>51.596666666666671</v>
      </c>
      <c r="BI91" s="35">
        <v>40.93</v>
      </c>
      <c r="BJ91" s="35">
        <v>41.05</v>
      </c>
      <c r="BK91" s="35">
        <v>41.04</v>
      </c>
      <c r="BL91" s="24">
        <f t="shared" si="24"/>
        <v>41.006666666666661</v>
      </c>
      <c r="BM91" s="35">
        <v>41.01</v>
      </c>
      <c r="BN91" s="35">
        <v>41.13</v>
      </c>
      <c r="BO91" s="35">
        <v>41.13</v>
      </c>
      <c r="BP91" s="24">
        <f t="shared" si="25"/>
        <v>41.09</v>
      </c>
      <c r="BQ91" s="35">
        <v>30.36</v>
      </c>
      <c r="BR91" s="35">
        <v>30.34</v>
      </c>
      <c r="BS91" s="35">
        <v>30.37</v>
      </c>
      <c r="BT91" s="24">
        <f t="shared" si="26"/>
        <v>30.356666666666669</v>
      </c>
      <c r="BU91" s="35">
        <v>60.05</v>
      </c>
      <c r="BV91" s="35">
        <v>60.02</v>
      </c>
      <c r="BW91" s="35">
        <v>59.96</v>
      </c>
      <c r="BX91" s="24">
        <f t="shared" si="27"/>
        <v>60.01</v>
      </c>
      <c r="BY91" t="s">
        <v>1252</v>
      </c>
      <c r="BZ91" t="s">
        <v>1252</v>
      </c>
      <c r="CA91" t="s">
        <v>1252</v>
      </c>
      <c r="CB91" s="100">
        <v>43238</v>
      </c>
      <c r="CD91" s="100">
        <v>43238</v>
      </c>
      <c r="CE91" s="12">
        <v>0.5</v>
      </c>
    </row>
    <row r="92" spans="1:86" x14ac:dyDescent="0.25">
      <c r="A92" t="s">
        <v>1448</v>
      </c>
      <c r="B92" s="260" t="s">
        <v>49</v>
      </c>
      <c r="C92" s="15">
        <v>68</v>
      </c>
      <c r="D92" s="35">
        <v>1615</v>
      </c>
      <c r="E92" s="15" t="s">
        <v>379</v>
      </c>
      <c r="F92" s="100">
        <v>43238</v>
      </c>
      <c r="G92" t="s">
        <v>1449</v>
      </c>
      <c r="H92" s="9" t="s">
        <v>1108</v>
      </c>
      <c r="I92" s="10">
        <v>2</v>
      </c>
      <c r="J92" s="10" t="s">
        <v>64</v>
      </c>
      <c r="K92">
        <v>420</v>
      </c>
      <c r="L92">
        <v>94</v>
      </c>
      <c r="M92" s="9">
        <f t="shared" si="15"/>
        <v>326</v>
      </c>
      <c r="N92" s="35">
        <v>163</v>
      </c>
      <c r="O92" s="35">
        <v>163</v>
      </c>
      <c r="P92" s="35">
        <v>163</v>
      </c>
      <c r="Q92" s="24">
        <f t="shared" si="16"/>
        <v>163</v>
      </c>
      <c r="R92" s="35">
        <v>233</v>
      </c>
      <c r="S92" s="35">
        <v>232</v>
      </c>
      <c r="T92" s="35">
        <v>233</v>
      </c>
      <c r="U92" s="24">
        <f t="shared" si="14"/>
        <v>232.66666666666666</v>
      </c>
      <c r="V92" s="35">
        <v>14.36</v>
      </c>
      <c r="W92" s="35">
        <v>14.43</v>
      </c>
      <c r="X92" s="35">
        <v>14.5</v>
      </c>
      <c r="Y92" s="24">
        <f t="shared" si="17"/>
        <v>14.43</v>
      </c>
      <c r="Z92" s="35">
        <v>29.16</v>
      </c>
      <c r="AA92" s="35">
        <v>29.16</v>
      </c>
      <c r="AB92" s="35">
        <v>29.25</v>
      </c>
      <c r="AC92" s="24">
        <f t="shared" si="18"/>
        <v>29.189999999999998</v>
      </c>
      <c r="AD92" s="35">
        <v>38.44</v>
      </c>
      <c r="AE92" s="35">
        <v>38.32</v>
      </c>
      <c r="AF92" s="35">
        <v>38.520000000000003</v>
      </c>
      <c r="AG92" s="24">
        <f t="shared" si="19"/>
        <v>38.426666666666669</v>
      </c>
      <c r="AH92" s="35">
        <v>58.53</v>
      </c>
      <c r="AI92" s="35">
        <v>58.62</v>
      </c>
      <c r="AJ92" s="35">
        <v>58.29</v>
      </c>
      <c r="AK92" s="24">
        <f t="shared" si="20"/>
        <v>58.48</v>
      </c>
      <c r="AT92" s="10" t="s">
        <v>1251</v>
      </c>
      <c r="AU92">
        <v>8</v>
      </c>
      <c r="AV92" s="9">
        <v>6</v>
      </c>
      <c r="AW92" s="35">
        <v>29.6</v>
      </c>
      <c r="AX92" s="35">
        <v>29.69</v>
      </c>
      <c r="AY92" s="35">
        <v>29.56</v>
      </c>
      <c r="AZ92" s="24">
        <f t="shared" si="21"/>
        <v>29.616666666666671</v>
      </c>
      <c r="BA92" s="35">
        <v>37.340000000000003</v>
      </c>
      <c r="BB92" s="35">
        <v>37.840000000000003</v>
      </c>
      <c r="BC92" s="35">
        <v>37.71</v>
      </c>
      <c r="BD92" s="24">
        <f t="shared" si="22"/>
        <v>37.630000000000003</v>
      </c>
      <c r="BE92" s="35">
        <v>58.85</v>
      </c>
      <c r="BF92" s="35">
        <v>58.89</v>
      </c>
      <c r="BG92" s="35">
        <v>58.81</v>
      </c>
      <c r="BH92" s="24">
        <f t="shared" si="23"/>
        <v>58.85</v>
      </c>
      <c r="BI92" s="35">
        <v>47.67</v>
      </c>
      <c r="BJ92" s="35">
        <v>47.95</v>
      </c>
      <c r="BK92" s="35">
        <v>47.9</v>
      </c>
      <c r="BL92" s="24">
        <f t="shared" si="24"/>
        <v>47.84</v>
      </c>
      <c r="BM92" s="35">
        <v>47.68</v>
      </c>
      <c r="BN92" s="35">
        <v>47.42</v>
      </c>
      <c r="BO92" s="35">
        <v>47.66</v>
      </c>
      <c r="BP92" s="24">
        <f t="shared" si="25"/>
        <v>47.586666666666666</v>
      </c>
      <c r="BQ92" s="35">
        <v>36.090000000000003</v>
      </c>
      <c r="BR92" s="35">
        <v>36.26</v>
      </c>
      <c r="BS92" s="35">
        <v>36.299999999999997</v>
      </c>
      <c r="BT92" s="24">
        <f t="shared" si="26"/>
        <v>36.216666666666661</v>
      </c>
      <c r="BU92" s="35">
        <v>66.099999999999994</v>
      </c>
      <c r="BV92" s="35">
        <v>66.02</v>
      </c>
      <c r="BW92" s="35">
        <v>66.06</v>
      </c>
      <c r="BX92" s="24">
        <f t="shared" si="27"/>
        <v>66.06</v>
      </c>
      <c r="BY92" t="s">
        <v>1252</v>
      </c>
      <c r="BZ92" t="s">
        <v>1252</v>
      </c>
      <c r="CA92" t="s">
        <v>1252</v>
      </c>
      <c r="CB92" t="s">
        <v>1402</v>
      </c>
      <c r="CE92" s="12">
        <v>1</v>
      </c>
      <c r="CH92" t="s">
        <v>1450</v>
      </c>
    </row>
    <row r="93" spans="1:86" x14ac:dyDescent="0.25">
      <c r="A93" s="260" t="s">
        <v>1451</v>
      </c>
      <c r="B93" s="260" t="s">
        <v>49</v>
      </c>
      <c r="C93" s="15">
        <v>69</v>
      </c>
      <c r="D93" s="35">
        <v>1621</v>
      </c>
      <c r="E93" s="15" t="s">
        <v>379</v>
      </c>
      <c r="F93" s="100">
        <v>43238</v>
      </c>
      <c r="G93" t="s">
        <v>1452</v>
      </c>
      <c r="H93" s="9" t="s">
        <v>1111</v>
      </c>
      <c r="I93" s="10">
        <v>2</v>
      </c>
      <c r="J93" s="10" t="s">
        <v>64</v>
      </c>
      <c r="K93">
        <v>414</v>
      </c>
      <c r="L93">
        <v>91</v>
      </c>
      <c r="M93" s="9">
        <f t="shared" si="15"/>
        <v>323</v>
      </c>
      <c r="N93" s="35">
        <v>170</v>
      </c>
      <c r="O93" s="35">
        <v>170</v>
      </c>
      <c r="P93" s="35">
        <v>169</v>
      </c>
      <c r="Q93" s="24">
        <f t="shared" si="16"/>
        <v>169.66666666666666</v>
      </c>
      <c r="R93" s="35">
        <v>164</v>
      </c>
      <c r="S93" s="35">
        <v>164</v>
      </c>
      <c r="T93" s="35">
        <v>164</v>
      </c>
      <c r="U93" s="24">
        <f t="shared" si="14"/>
        <v>164</v>
      </c>
      <c r="V93" s="35">
        <v>13.59</v>
      </c>
      <c r="W93" s="35">
        <v>13.77</v>
      </c>
      <c r="X93" s="35">
        <v>13.49</v>
      </c>
      <c r="Y93" s="24">
        <f t="shared" si="17"/>
        <v>13.616666666666667</v>
      </c>
      <c r="Z93" s="35">
        <v>30.14</v>
      </c>
      <c r="AA93" s="35">
        <v>30.21</v>
      </c>
      <c r="AB93" s="35">
        <v>30.15</v>
      </c>
      <c r="AC93" s="24">
        <f t="shared" si="18"/>
        <v>30.166666666666668</v>
      </c>
      <c r="AD93" s="35">
        <v>39.17</v>
      </c>
      <c r="AE93" s="35">
        <v>39.119999999999997</v>
      </c>
      <c r="AF93" s="35">
        <v>39.119999999999997</v>
      </c>
      <c r="AG93" s="24">
        <f t="shared" si="19"/>
        <v>39.136666666666663</v>
      </c>
      <c r="AH93" s="35">
        <v>61.51</v>
      </c>
      <c r="AI93" s="35">
        <v>61.51</v>
      </c>
      <c r="AJ93" s="35">
        <v>61.49</v>
      </c>
      <c r="AK93" s="24">
        <f t="shared" si="20"/>
        <v>61.50333333333333</v>
      </c>
      <c r="AT93" s="10" t="s">
        <v>1251</v>
      </c>
      <c r="AU93">
        <v>8</v>
      </c>
      <c r="AV93" s="9">
        <v>7</v>
      </c>
      <c r="AW93" s="35">
        <v>30.47</v>
      </c>
      <c r="AX93" s="12">
        <v>30.11</v>
      </c>
      <c r="AY93" s="35">
        <v>30.33</v>
      </c>
      <c r="AZ93" s="24">
        <f t="shared" si="21"/>
        <v>30.303333333333331</v>
      </c>
      <c r="BA93" s="35">
        <v>39.979999999999997</v>
      </c>
      <c r="BB93" s="35">
        <v>39.83</v>
      </c>
      <c r="BC93" s="35">
        <v>40</v>
      </c>
      <c r="BD93" s="24">
        <f t="shared" si="22"/>
        <v>39.936666666666667</v>
      </c>
      <c r="BE93" s="35">
        <v>62.87</v>
      </c>
      <c r="BF93" s="35">
        <v>62.92</v>
      </c>
      <c r="BG93" s="35">
        <v>62.95</v>
      </c>
      <c r="BH93" s="24">
        <f t="shared" si="23"/>
        <v>62.913333333333334</v>
      </c>
      <c r="BI93" s="35">
        <v>48.58</v>
      </c>
      <c r="BJ93" s="35">
        <v>48.38</v>
      </c>
      <c r="BK93" s="35">
        <v>48.33</v>
      </c>
      <c r="BL93" s="24">
        <f t="shared" si="24"/>
        <v>48.430000000000007</v>
      </c>
      <c r="BM93" s="35">
        <v>48.23</v>
      </c>
      <c r="BN93" s="35">
        <v>48.19</v>
      </c>
      <c r="BO93" s="35">
        <v>48.1</v>
      </c>
      <c r="BP93" s="24">
        <f t="shared" si="25"/>
        <v>48.173333333333325</v>
      </c>
      <c r="BQ93" s="35">
        <v>36.450000000000003</v>
      </c>
      <c r="BR93" s="35">
        <v>36.58</v>
      </c>
      <c r="BS93" s="35">
        <v>36.67</v>
      </c>
      <c r="BT93" s="24">
        <f t="shared" si="26"/>
        <v>36.56666666666667</v>
      </c>
      <c r="BU93" s="35">
        <v>67.11</v>
      </c>
      <c r="BV93" s="35">
        <v>67.06</v>
      </c>
      <c r="BW93" s="35">
        <v>67.22</v>
      </c>
      <c r="BX93" s="24">
        <f t="shared" si="27"/>
        <v>67.13000000000001</v>
      </c>
      <c r="BY93" t="s">
        <v>1252</v>
      </c>
      <c r="BZ93" t="s">
        <v>1252</v>
      </c>
      <c r="CA93" t="s">
        <v>1252</v>
      </c>
      <c r="CB93" s="252">
        <v>43238</v>
      </c>
      <c r="CC93" s="100">
        <v>43242</v>
      </c>
      <c r="CE93" s="12">
        <v>1</v>
      </c>
    </row>
    <row r="94" spans="1:86" x14ac:dyDescent="0.25">
      <c r="A94" t="s">
        <v>1453</v>
      </c>
      <c r="B94" s="260" t="s">
        <v>49</v>
      </c>
      <c r="C94" s="15">
        <v>70</v>
      </c>
      <c r="D94" s="35">
        <v>1616</v>
      </c>
      <c r="E94" s="15" t="s">
        <v>379</v>
      </c>
      <c r="F94" s="100">
        <v>43238</v>
      </c>
      <c r="G94" t="s">
        <v>1454</v>
      </c>
      <c r="H94" s="9" t="s">
        <v>1111</v>
      </c>
      <c r="I94" s="10">
        <v>3</v>
      </c>
      <c r="J94" s="10" t="s">
        <v>64</v>
      </c>
      <c r="K94">
        <v>436</v>
      </c>
      <c r="L94">
        <v>92</v>
      </c>
      <c r="M94" s="9">
        <f t="shared" si="15"/>
        <v>344</v>
      </c>
      <c r="N94" s="35">
        <v>166</v>
      </c>
      <c r="O94" s="35">
        <v>166</v>
      </c>
      <c r="P94" s="35">
        <v>166</v>
      </c>
      <c r="Q94" s="24">
        <f t="shared" si="16"/>
        <v>166</v>
      </c>
      <c r="R94" s="35">
        <v>238</v>
      </c>
      <c r="S94" s="35">
        <v>238</v>
      </c>
      <c r="T94" s="35">
        <v>238</v>
      </c>
      <c r="U94" s="24">
        <f t="shared" si="14"/>
        <v>238</v>
      </c>
      <c r="V94" s="35">
        <v>12.85</v>
      </c>
      <c r="W94" s="35">
        <v>12.73</v>
      </c>
      <c r="X94" s="35">
        <v>12.37</v>
      </c>
      <c r="Y94" s="24">
        <f t="shared" si="17"/>
        <v>12.649999999999999</v>
      </c>
      <c r="Z94" s="35">
        <v>31</v>
      </c>
      <c r="AA94" s="35">
        <v>30.87</v>
      </c>
      <c r="AB94" s="35">
        <v>30.98</v>
      </c>
      <c r="AC94" s="24">
        <f t="shared" si="18"/>
        <v>30.950000000000003</v>
      </c>
      <c r="AD94" s="35">
        <v>40.24</v>
      </c>
      <c r="AE94" s="35">
        <v>40.26</v>
      </c>
      <c r="AF94" s="35">
        <v>40.450000000000003</v>
      </c>
      <c r="AG94" s="24">
        <f t="shared" si="19"/>
        <v>40.31666666666667</v>
      </c>
      <c r="AH94" s="35">
        <v>62.37</v>
      </c>
      <c r="AI94" s="35">
        <v>62.35</v>
      </c>
      <c r="AJ94" s="35">
        <v>62.23</v>
      </c>
      <c r="AK94" s="24">
        <f t="shared" si="20"/>
        <v>62.316666666666663</v>
      </c>
      <c r="AT94" s="10" t="s">
        <v>1251</v>
      </c>
      <c r="AU94">
        <v>8</v>
      </c>
      <c r="AV94" s="9">
        <v>8</v>
      </c>
      <c r="AW94" s="35">
        <v>31.27</v>
      </c>
      <c r="AX94" s="35">
        <v>31.1</v>
      </c>
      <c r="AY94" s="35">
        <v>31.08</v>
      </c>
      <c r="AZ94" s="24">
        <f t="shared" si="21"/>
        <v>31.150000000000002</v>
      </c>
      <c r="BA94" s="35">
        <v>41.03</v>
      </c>
      <c r="BB94" s="35">
        <v>41.03</v>
      </c>
      <c r="BC94" s="35">
        <v>40.92</v>
      </c>
      <c r="BD94" s="24">
        <f t="shared" si="22"/>
        <v>40.993333333333332</v>
      </c>
      <c r="BE94" s="35">
        <v>62.62</v>
      </c>
      <c r="BF94" s="35">
        <v>62.53</v>
      </c>
      <c r="BG94" s="35">
        <v>62.49</v>
      </c>
      <c r="BH94" s="24">
        <f t="shared" si="23"/>
        <v>62.546666666666674</v>
      </c>
      <c r="BI94" s="35">
        <v>49.37</v>
      </c>
      <c r="BJ94" s="35">
        <v>49.37</v>
      </c>
      <c r="BK94" s="35">
        <v>49.39</v>
      </c>
      <c r="BL94" s="24">
        <f t="shared" si="24"/>
        <v>49.376666666666665</v>
      </c>
      <c r="BM94" s="35">
        <v>48.64</v>
      </c>
      <c r="BN94" s="35">
        <v>48.64</v>
      </c>
      <c r="BO94" s="35">
        <v>48.67</v>
      </c>
      <c r="BP94" s="24">
        <f t="shared" si="25"/>
        <v>48.65</v>
      </c>
      <c r="BQ94" s="35">
        <v>34.700000000000003</v>
      </c>
      <c r="BR94" s="35">
        <v>34.79</v>
      </c>
      <c r="BS94" s="35">
        <v>34.799999999999997</v>
      </c>
      <c r="BT94" s="24">
        <f t="shared" si="26"/>
        <v>34.763333333333335</v>
      </c>
      <c r="BU94" s="35">
        <v>70.209999999999994</v>
      </c>
      <c r="BV94" s="35">
        <v>70.11</v>
      </c>
      <c r="BW94" s="35">
        <v>70.239999999999995</v>
      </c>
      <c r="BX94" s="24">
        <f t="shared" si="27"/>
        <v>70.186666666666667</v>
      </c>
      <c r="BY94" t="s">
        <v>1252</v>
      </c>
      <c r="BZ94" t="s">
        <v>1252</v>
      </c>
      <c r="CA94" t="s">
        <v>1252</v>
      </c>
      <c r="CB94" s="252">
        <v>43238</v>
      </c>
      <c r="CC94" s="100">
        <v>43242</v>
      </c>
      <c r="CE94" s="35">
        <v>0.9</v>
      </c>
    </row>
    <row r="95" spans="1:86" x14ac:dyDescent="0.25">
      <c r="A95" s="260" t="s">
        <v>1455</v>
      </c>
      <c r="B95" s="260" t="s">
        <v>49</v>
      </c>
      <c r="C95" s="15">
        <v>71</v>
      </c>
      <c r="D95" s="35">
        <v>1617</v>
      </c>
      <c r="E95" s="15" t="s">
        <v>379</v>
      </c>
      <c r="F95" s="100">
        <v>43238</v>
      </c>
      <c r="G95" t="s">
        <v>1456</v>
      </c>
      <c r="H95" s="9" t="s">
        <v>1111</v>
      </c>
      <c r="I95" s="10">
        <v>1</v>
      </c>
      <c r="J95" s="10" t="s">
        <v>50</v>
      </c>
      <c r="K95">
        <v>373</v>
      </c>
      <c r="L95">
        <v>95</v>
      </c>
      <c r="M95" s="9">
        <f t="shared" si="15"/>
        <v>278</v>
      </c>
      <c r="N95" s="35">
        <v>168</v>
      </c>
      <c r="O95" s="35">
        <v>168</v>
      </c>
      <c r="P95" s="35">
        <v>168</v>
      </c>
      <c r="Q95" s="24">
        <f t="shared" si="16"/>
        <v>168</v>
      </c>
      <c r="R95" s="35">
        <v>232</v>
      </c>
      <c r="S95" s="35">
        <v>232</v>
      </c>
      <c r="T95" s="35">
        <v>232</v>
      </c>
      <c r="U95" s="24">
        <f t="shared" si="14"/>
        <v>232</v>
      </c>
      <c r="V95" s="35">
        <v>9.81</v>
      </c>
      <c r="W95" s="35">
        <v>9.81</v>
      </c>
      <c r="X95" s="35">
        <v>9.85</v>
      </c>
      <c r="Y95" s="24">
        <f t="shared" si="17"/>
        <v>9.8233333333333324</v>
      </c>
      <c r="Z95" s="35">
        <v>33.1</v>
      </c>
      <c r="AA95" s="35">
        <v>33.200000000000003</v>
      </c>
      <c r="AB95" s="35">
        <v>33.229999999999997</v>
      </c>
      <c r="AC95" s="24">
        <f t="shared" si="18"/>
        <v>33.176666666666669</v>
      </c>
      <c r="AD95" s="35">
        <v>43.92</v>
      </c>
      <c r="AE95" s="35">
        <v>43.83</v>
      </c>
      <c r="AF95" s="35">
        <v>43.92</v>
      </c>
      <c r="AG95" s="24">
        <f t="shared" si="19"/>
        <v>43.890000000000008</v>
      </c>
      <c r="AH95" s="35">
        <v>63.79</v>
      </c>
      <c r="AI95" s="35">
        <v>63.74</v>
      </c>
      <c r="AJ95" s="35">
        <v>63.73</v>
      </c>
      <c r="AK95" s="24">
        <f t="shared" si="20"/>
        <v>63.75333333333333</v>
      </c>
      <c r="AL95" s="35">
        <v>15.73</v>
      </c>
      <c r="AM95" s="35">
        <v>15.64</v>
      </c>
      <c r="AN95" s="35">
        <v>15.47</v>
      </c>
      <c r="AP95" s="35">
        <v>23.38</v>
      </c>
      <c r="AQ95" s="35">
        <v>23.32</v>
      </c>
      <c r="AR95" s="35">
        <v>23.47</v>
      </c>
      <c r="AW95" s="35">
        <v>34.64</v>
      </c>
      <c r="AX95" s="35">
        <v>34.619999999999997</v>
      </c>
      <c r="AY95" s="35">
        <v>34.93</v>
      </c>
      <c r="AZ95" s="24">
        <f t="shared" si="21"/>
        <v>34.729999999999997</v>
      </c>
      <c r="BA95" s="35">
        <v>43.67</v>
      </c>
      <c r="BB95" s="35">
        <v>43.48</v>
      </c>
      <c r="BC95" s="35">
        <v>43.58</v>
      </c>
      <c r="BD95" s="24">
        <f t="shared" si="22"/>
        <v>43.576666666666675</v>
      </c>
      <c r="BE95" s="35">
        <v>65.650000000000006</v>
      </c>
      <c r="BF95" s="35">
        <v>65.900000000000006</v>
      </c>
      <c r="BG95" s="35">
        <v>65.36</v>
      </c>
      <c r="BH95" s="24">
        <f t="shared" si="23"/>
        <v>65.63666666666667</v>
      </c>
      <c r="BI95" s="35">
        <v>52.53</v>
      </c>
      <c r="BJ95" s="35">
        <v>52.43</v>
      </c>
      <c r="BK95" s="35">
        <v>52.38</v>
      </c>
      <c r="BL95" s="24">
        <f t="shared" si="24"/>
        <v>52.446666666666665</v>
      </c>
      <c r="BM95" s="35">
        <v>52.56</v>
      </c>
      <c r="BN95" s="35">
        <v>52.35</v>
      </c>
      <c r="BO95" s="35">
        <v>52.37</v>
      </c>
      <c r="BP95" s="24">
        <f t="shared" si="25"/>
        <v>52.426666666666669</v>
      </c>
      <c r="BQ95" s="35">
        <v>35.92</v>
      </c>
      <c r="BR95" s="35">
        <v>35.97</v>
      </c>
      <c r="BS95" s="35">
        <v>35.92</v>
      </c>
      <c r="BT95" s="24">
        <f t="shared" si="26"/>
        <v>35.936666666666667</v>
      </c>
      <c r="BU95" s="35">
        <v>69.489999999999995</v>
      </c>
      <c r="BV95" s="35">
        <v>69.92</v>
      </c>
      <c r="BW95" s="35">
        <v>69.98</v>
      </c>
      <c r="BX95" s="24">
        <f t="shared" si="27"/>
        <v>69.796666666666667</v>
      </c>
      <c r="BY95" t="s">
        <v>1252</v>
      </c>
      <c r="BZ95" t="s">
        <v>1252</v>
      </c>
      <c r="CA95" t="s">
        <v>1252</v>
      </c>
      <c r="CB95" s="252">
        <v>43238</v>
      </c>
      <c r="CE95" s="35">
        <v>0.8</v>
      </c>
    </row>
    <row r="96" spans="1:86" x14ac:dyDescent="0.25">
      <c r="A96" t="s">
        <v>1457</v>
      </c>
      <c r="B96" s="260" t="s">
        <v>49</v>
      </c>
      <c r="C96" s="15">
        <v>72</v>
      </c>
      <c r="D96" s="35">
        <v>1618</v>
      </c>
      <c r="E96" s="15" t="s">
        <v>379</v>
      </c>
      <c r="F96" s="100">
        <v>43238</v>
      </c>
      <c r="G96" t="s">
        <v>1458</v>
      </c>
      <c r="H96" s="9" t="s">
        <v>1111</v>
      </c>
      <c r="I96" s="10">
        <v>1</v>
      </c>
      <c r="J96" s="10" t="s">
        <v>64</v>
      </c>
      <c r="K96">
        <v>306</v>
      </c>
      <c r="L96">
        <v>92</v>
      </c>
      <c r="M96" s="9">
        <f t="shared" si="15"/>
        <v>214</v>
      </c>
      <c r="N96" s="35">
        <v>154</v>
      </c>
      <c r="O96" s="35">
        <v>154</v>
      </c>
      <c r="P96" s="35">
        <v>154</v>
      </c>
      <c r="Q96" s="24">
        <f t="shared" si="16"/>
        <v>154</v>
      </c>
      <c r="R96" s="35">
        <v>212</v>
      </c>
      <c r="S96" s="35">
        <v>211</v>
      </c>
      <c r="T96" s="35">
        <v>211</v>
      </c>
      <c r="U96" s="24">
        <f t="shared" si="14"/>
        <v>211.33333333333334</v>
      </c>
      <c r="V96" s="35">
        <v>9.48</v>
      </c>
      <c r="W96" s="35">
        <v>9.4</v>
      </c>
      <c r="X96" s="35">
        <v>9.3699999999999992</v>
      </c>
      <c r="Y96" s="24">
        <f t="shared" si="17"/>
        <v>9.4166666666666661</v>
      </c>
      <c r="Z96" s="35">
        <v>28.88</v>
      </c>
      <c r="AA96" s="35">
        <v>28.98</v>
      </c>
      <c r="AB96" s="35">
        <v>28.9</v>
      </c>
      <c r="AC96" s="24">
        <f t="shared" si="18"/>
        <v>28.919999999999998</v>
      </c>
      <c r="AD96" s="35">
        <v>38.450000000000003</v>
      </c>
      <c r="AE96" s="35">
        <v>38.65</v>
      </c>
      <c r="AF96" s="35">
        <v>38.6</v>
      </c>
      <c r="AG96" s="24">
        <f t="shared" si="19"/>
        <v>38.566666666666663</v>
      </c>
      <c r="AH96" s="35">
        <v>57.35</v>
      </c>
      <c r="AI96" s="35">
        <v>57.35</v>
      </c>
      <c r="AJ96" s="35">
        <v>57.45</v>
      </c>
      <c r="AK96" s="24">
        <f t="shared" si="20"/>
        <v>57.383333333333333</v>
      </c>
      <c r="AT96" s="10" t="s">
        <v>1258</v>
      </c>
      <c r="AU96">
        <v>8</v>
      </c>
      <c r="AV96" s="9">
        <v>0</v>
      </c>
      <c r="AW96" s="35">
        <v>29.21</v>
      </c>
      <c r="AX96" s="35">
        <v>29.25</v>
      </c>
      <c r="AY96" s="35">
        <v>29.33</v>
      </c>
      <c r="AZ96" s="24">
        <f t="shared" si="21"/>
        <v>29.263333333333332</v>
      </c>
      <c r="BA96" s="35">
        <v>38.229999999999997</v>
      </c>
      <c r="BB96" s="35">
        <v>38.270000000000003</v>
      </c>
      <c r="BC96" s="35">
        <v>38.049999999999997</v>
      </c>
      <c r="BD96" s="24">
        <f t="shared" si="22"/>
        <v>38.18333333333333</v>
      </c>
      <c r="BE96" s="35">
        <v>56.97</v>
      </c>
      <c r="BF96" s="35">
        <v>56.82</v>
      </c>
      <c r="BG96" s="35">
        <v>56.93</v>
      </c>
      <c r="BH96" s="24">
        <f t="shared" si="23"/>
        <v>56.906666666666666</v>
      </c>
      <c r="BI96" s="35">
        <v>43.74</v>
      </c>
      <c r="BJ96" s="35">
        <v>43.78</v>
      </c>
      <c r="BK96" s="35">
        <v>43.8</v>
      </c>
      <c r="BL96" s="24">
        <f t="shared" si="24"/>
        <v>43.773333333333333</v>
      </c>
      <c r="BM96" s="35">
        <v>43.92</v>
      </c>
      <c r="BN96" s="35">
        <v>43.85</v>
      </c>
      <c r="BO96" s="35">
        <v>43.86</v>
      </c>
      <c r="BP96" s="24">
        <f t="shared" si="25"/>
        <v>43.876666666666665</v>
      </c>
      <c r="BQ96" s="35">
        <v>32.72</v>
      </c>
      <c r="BR96" s="35">
        <v>32.72</v>
      </c>
      <c r="BS96" s="35">
        <v>32.72</v>
      </c>
      <c r="BT96" s="24">
        <f t="shared" si="26"/>
        <v>32.72</v>
      </c>
      <c r="BU96" s="35">
        <v>64.72</v>
      </c>
      <c r="BV96" s="35">
        <v>64.599999999999994</v>
      </c>
      <c r="BW96" s="35">
        <v>64.5</v>
      </c>
      <c r="BX96" s="24">
        <f t="shared" si="27"/>
        <v>64.606666666666669</v>
      </c>
      <c r="BY96" t="s">
        <v>1252</v>
      </c>
      <c r="BZ96" t="s">
        <v>1252</v>
      </c>
      <c r="CA96" t="s">
        <v>1252</v>
      </c>
      <c r="CB96" s="252">
        <v>43238</v>
      </c>
      <c r="CC96" s="100">
        <v>43242</v>
      </c>
      <c r="CD96" s="252">
        <v>43238</v>
      </c>
      <c r="CE96" s="35">
        <v>0.4</v>
      </c>
      <c r="CH96" t="s">
        <v>1403</v>
      </c>
    </row>
    <row r="97" spans="1:86" x14ac:dyDescent="0.25">
      <c r="A97" s="260" t="s">
        <v>1459</v>
      </c>
      <c r="B97" s="260" t="s">
        <v>49</v>
      </c>
      <c r="C97" s="15">
        <v>73</v>
      </c>
      <c r="D97" s="35">
        <v>1619</v>
      </c>
      <c r="E97" s="15" t="s">
        <v>379</v>
      </c>
      <c r="F97" s="100">
        <v>43238</v>
      </c>
      <c r="G97" t="s">
        <v>1460</v>
      </c>
      <c r="H97" s="9" t="s">
        <v>1111</v>
      </c>
      <c r="I97" s="10">
        <v>1</v>
      </c>
      <c r="J97" s="10" t="s">
        <v>50</v>
      </c>
      <c r="K97">
        <v>495</v>
      </c>
      <c r="L97">
        <v>88</v>
      </c>
      <c r="M97" s="9">
        <f t="shared" si="15"/>
        <v>407</v>
      </c>
      <c r="N97" s="35">
        <v>181</v>
      </c>
      <c r="O97" s="35">
        <v>181</v>
      </c>
      <c r="P97" s="35">
        <v>180</v>
      </c>
      <c r="Q97" s="24">
        <f t="shared" si="16"/>
        <v>180.66666666666666</v>
      </c>
      <c r="R97" s="35">
        <v>251</v>
      </c>
      <c r="S97" s="35">
        <v>251</v>
      </c>
      <c r="T97" s="35">
        <v>250</v>
      </c>
      <c r="U97" s="24">
        <f t="shared" si="14"/>
        <v>250.66666666666666</v>
      </c>
      <c r="V97" s="35">
        <v>13.15</v>
      </c>
      <c r="W97" s="35">
        <v>13.62</v>
      </c>
      <c r="X97" s="35">
        <v>13.35</v>
      </c>
      <c r="Y97" s="24">
        <f t="shared" si="17"/>
        <v>13.373333333333333</v>
      </c>
      <c r="Z97" s="35">
        <v>35.06</v>
      </c>
      <c r="AA97" s="35">
        <v>35.15</v>
      </c>
      <c r="AB97" s="35">
        <v>35.299999999999997</v>
      </c>
      <c r="AC97" s="24">
        <f t="shared" si="18"/>
        <v>35.17</v>
      </c>
      <c r="AD97" s="35">
        <v>45.76</v>
      </c>
      <c r="AE97" s="35">
        <v>45.69</v>
      </c>
      <c r="AF97" s="35">
        <v>45.63</v>
      </c>
      <c r="AG97" s="24">
        <f t="shared" si="19"/>
        <v>45.693333333333328</v>
      </c>
      <c r="AH97">
        <v>68.2</v>
      </c>
      <c r="AI97" s="35">
        <v>68.13</v>
      </c>
      <c r="AJ97" s="35">
        <v>68.37</v>
      </c>
      <c r="AK97" s="24">
        <f t="shared" si="20"/>
        <v>68.233333333333334</v>
      </c>
      <c r="AL97" s="35">
        <v>19.079999999999998</v>
      </c>
      <c r="AM97" s="35">
        <v>18.77</v>
      </c>
      <c r="AN97" s="35">
        <v>18.920000000000002</v>
      </c>
      <c r="AP97" s="35">
        <v>25.94</v>
      </c>
      <c r="AQ97" s="35">
        <v>25.8</v>
      </c>
      <c r="AR97" s="35">
        <v>26</v>
      </c>
      <c r="AW97" s="35">
        <v>35.69</v>
      </c>
      <c r="AX97" s="35">
        <v>35.68</v>
      </c>
      <c r="AY97" s="35">
        <v>35.58</v>
      </c>
      <c r="AZ97" s="24">
        <f t="shared" si="21"/>
        <v>35.65</v>
      </c>
      <c r="BA97" s="35">
        <v>45.75</v>
      </c>
      <c r="BB97" s="35">
        <v>45.78</v>
      </c>
      <c r="BC97" s="35">
        <v>45.87</v>
      </c>
      <c r="BD97" s="24">
        <f t="shared" si="22"/>
        <v>45.800000000000004</v>
      </c>
      <c r="BE97" s="35">
        <v>69.81</v>
      </c>
      <c r="BF97" s="35">
        <v>69.64</v>
      </c>
      <c r="BG97" s="35">
        <v>69.53</v>
      </c>
      <c r="BH97" s="24">
        <f t="shared" si="23"/>
        <v>69.66</v>
      </c>
      <c r="BI97" s="35">
        <v>54.48</v>
      </c>
      <c r="BJ97" s="35">
        <v>54.31</v>
      </c>
      <c r="BK97" s="35">
        <v>54.87</v>
      </c>
      <c r="BL97" s="24">
        <f t="shared" si="24"/>
        <v>54.553333333333335</v>
      </c>
      <c r="BM97" s="35">
        <v>53.66</v>
      </c>
      <c r="BN97" s="35">
        <v>53.8</v>
      </c>
      <c r="BO97" s="35">
        <v>53.75</v>
      </c>
      <c r="BP97" s="24">
        <f t="shared" si="25"/>
        <v>53.736666666666657</v>
      </c>
      <c r="BQ97" s="35">
        <v>37.85</v>
      </c>
      <c r="BR97" s="35">
        <v>37.979999999999997</v>
      </c>
      <c r="BS97" s="35">
        <v>37.94</v>
      </c>
      <c r="BT97" s="24">
        <f t="shared" si="26"/>
        <v>37.923333333333332</v>
      </c>
      <c r="BU97" s="35">
        <v>69.37</v>
      </c>
      <c r="BV97" s="35">
        <v>69.180000000000007</v>
      </c>
      <c r="BW97" s="35">
        <v>69.400000000000006</v>
      </c>
      <c r="BX97" s="24">
        <f t="shared" si="27"/>
        <v>69.316666666666677</v>
      </c>
      <c r="BY97" t="s">
        <v>1252</v>
      </c>
      <c r="BZ97" t="s">
        <v>1252</v>
      </c>
      <c r="CA97" t="s">
        <v>1252</v>
      </c>
      <c r="CB97" s="252">
        <v>43238</v>
      </c>
      <c r="CE97" s="12">
        <v>0.5</v>
      </c>
    </row>
    <row r="98" spans="1:86" x14ac:dyDescent="0.25">
      <c r="A98" t="s">
        <v>1461</v>
      </c>
      <c r="B98" s="260" t="s">
        <v>49</v>
      </c>
      <c r="C98" s="15">
        <v>74</v>
      </c>
      <c r="D98" s="35">
        <v>1620</v>
      </c>
      <c r="E98" s="15" t="s">
        <v>379</v>
      </c>
      <c r="F98" s="100">
        <v>43238</v>
      </c>
      <c r="G98" t="s">
        <v>1462</v>
      </c>
      <c r="H98" s="9" t="s">
        <v>1111</v>
      </c>
      <c r="I98" s="10">
        <v>1</v>
      </c>
      <c r="J98" s="10" t="s">
        <v>50</v>
      </c>
      <c r="K98">
        <v>424</v>
      </c>
      <c r="L98">
        <v>94</v>
      </c>
      <c r="M98" s="9">
        <f t="shared" si="15"/>
        <v>330</v>
      </c>
      <c r="N98" s="35">
        <v>188</v>
      </c>
      <c r="O98" s="35">
        <v>188</v>
      </c>
      <c r="P98" s="35">
        <v>189</v>
      </c>
      <c r="Q98" s="24">
        <f t="shared" si="16"/>
        <v>188.33333333333334</v>
      </c>
      <c r="R98" s="35">
        <v>236</v>
      </c>
      <c r="S98" s="35">
        <v>236</v>
      </c>
      <c r="T98" s="35">
        <v>236</v>
      </c>
      <c r="U98" s="24">
        <f t="shared" si="14"/>
        <v>236</v>
      </c>
      <c r="V98" s="35">
        <v>11.96</v>
      </c>
      <c r="W98" s="35">
        <v>11.75</v>
      </c>
      <c r="X98" s="35">
        <v>11.92</v>
      </c>
      <c r="Y98" s="24">
        <f t="shared" si="17"/>
        <v>11.876666666666667</v>
      </c>
      <c r="Z98" s="35">
        <v>33.659999999999997</v>
      </c>
      <c r="AA98" s="35">
        <v>33.4</v>
      </c>
      <c r="AB98" s="35">
        <v>33.840000000000003</v>
      </c>
      <c r="AC98" s="24">
        <f t="shared" si="18"/>
        <v>33.633333333333333</v>
      </c>
      <c r="AD98" s="35">
        <v>44.46</v>
      </c>
      <c r="AE98" s="35">
        <v>44.41</v>
      </c>
      <c r="AF98" s="35">
        <v>44.46</v>
      </c>
      <c r="AG98" s="24">
        <f t="shared" si="19"/>
        <v>44.443333333333335</v>
      </c>
      <c r="AH98" s="35">
        <v>66.36</v>
      </c>
      <c r="AI98" s="35">
        <v>66.680000000000007</v>
      </c>
      <c r="AJ98" s="35">
        <v>66.44</v>
      </c>
      <c r="AK98" s="24">
        <f t="shared" si="20"/>
        <v>66.493333333333339</v>
      </c>
      <c r="AL98" s="35">
        <v>18.95</v>
      </c>
      <c r="AM98" s="35">
        <v>18.309999999999999</v>
      </c>
      <c r="AN98" s="35">
        <v>18.649999999999999</v>
      </c>
      <c r="AP98" s="35">
        <v>24.79</v>
      </c>
      <c r="AQ98" s="35">
        <v>24.87</v>
      </c>
      <c r="AR98" s="35">
        <v>24.73</v>
      </c>
      <c r="AW98" s="35">
        <v>33.840000000000003</v>
      </c>
      <c r="AX98" s="35">
        <v>33.89</v>
      </c>
      <c r="AY98" s="35">
        <v>33.96</v>
      </c>
      <c r="AZ98" s="24">
        <f t="shared" si="21"/>
        <v>33.896666666666668</v>
      </c>
      <c r="BA98" s="35">
        <v>44.31</v>
      </c>
      <c r="BB98" s="35">
        <v>44.51</v>
      </c>
      <c r="BC98" s="35">
        <v>44.55</v>
      </c>
      <c r="BD98" s="24">
        <f t="shared" si="22"/>
        <v>44.456666666666671</v>
      </c>
      <c r="BE98" s="35">
        <v>68.41</v>
      </c>
      <c r="BF98" s="35">
        <v>68.31</v>
      </c>
      <c r="BG98" s="35">
        <v>68.400000000000006</v>
      </c>
      <c r="BH98" s="24">
        <f t="shared" si="23"/>
        <v>68.373333333333335</v>
      </c>
      <c r="BI98" s="35">
        <v>53.53</v>
      </c>
      <c r="BJ98" s="35">
        <v>53.42</v>
      </c>
      <c r="BK98" s="35">
        <v>53.44</v>
      </c>
      <c r="BL98" s="24">
        <f t="shared" si="24"/>
        <v>53.463333333333331</v>
      </c>
      <c r="BM98" s="35">
        <v>53.2</v>
      </c>
      <c r="BN98" s="35">
        <v>53.39</v>
      </c>
      <c r="BO98" s="35">
        <v>53.34</v>
      </c>
      <c r="BP98" s="24">
        <f t="shared" si="25"/>
        <v>53.31</v>
      </c>
      <c r="BQ98" s="35">
        <v>37.72</v>
      </c>
      <c r="BR98" s="35">
        <v>37.78</v>
      </c>
      <c r="BS98" s="35">
        <v>37.75</v>
      </c>
      <c r="BT98" s="24">
        <f t="shared" si="26"/>
        <v>37.75</v>
      </c>
      <c r="BU98" s="35">
        <v>72.61</v>
      </c>
      <c r="BV98" s="35">
        <v>72.75</v>
      </c>
      <c r="BW98" s="35">
        <v>72.55</v>
      </c>
      <c r="BX98" s="24">
        <f t="shared" si="27"/>
        <v>72.63666666666667</v>
      </c>
      <c r="BY98" t="s">
        <v>1252</v>
      </c>
      <c r="BZ98" t="s">
        <v>1252</v>
      </c>
      <c r="CA98" t="s">
        <v>1252</v>
      </c>
      <c r="CB98" s="252">
        <v>43238</v>
      </c>
      <c r="CC98" s="100">
        <v>43242</v>
      </c>
      <c r="CE98" s="12">
        <v>0.5</v>
      </c>
    </row>
    <row r="99" spans="1:86" x14ac:dyDescent="0.25">
      <c r="A99" s="260" t="s">
        <v>1463</v>
      </c>
      <c r="B99" s="260" t="s">
        <v>49</v>
      </c>
      <c r="C99" s="15">
        <v>75</v>
      </c>
      <c r="D99" s="35">
        <v>1651</v>
      </c>
      <c r="E99" s="15" t="s">
        <v>379</v>
      </c>
      <c r="F99" s="100">
        <v>43238</v>
      </c>
      <c r="G99" t="s">
        <v>1464</v>
      </c>
      <c r="H99" s="9" t="s">
        <v>1111</v>
      </c>
      <c r="I99" s="10">
        <v>1</v>
      </c>
      <c r="J99" s="10" t="s">
        <v>50</v>
      </c>
      <c r="K99">
        <v>503</v>
      </c>
      <c r="L99">
        <v>92</v>
      </c>
      <c r="M99" s="9">
        <f t="shared" si="15"/>
        <v>411</v>
      </c>
      <c r="N99" s="35">
        <v>188</v>
      </c>
      <c r="O99" s="35">
        <v>187</v>
      </c>
      <c r="P99" s="35">
        <v>188</v>
      </c>
      <c r="Q99" s="24">
        <f t="shared" si="16"/>
        <v>187.66666666666666</v>
      </c>
      <c r="R99" s="35">
        <v>261</v>
      </c>
      <c r="S99" s="35">
        <v>261</v>
      </c>
      <c r="T99" s="35">
        <v>260</v>
      </c>
      <c r="U99" s="24">
        <f t="shared" si="14"/>
        <v>260.66666666666669</v>
      </c>
      <c r="V99" s="35">
        <v>13.42</v>
      </c>
      <c r="W99" s="35">
        <v>13.31</v>
      </c>
      <c r="X99" s="35">
        <v>13.36</v>
      </c>
      <c r="Y99" s="24">
        <f t="shared" si="17"/>
        <v>13.363333333333335</v>
      </c>
      <c r="Z99" s="35">
        <v>33.200000000000003</v>
      </c>
      <c r="AA99" s="35">
        <v>33.130000000000003</v>
      </c>
      <c r="AB99" s="35">
        <v>33.44</v>
      </c>
      <c r="AC99" s="24">
        <f t="shared" si="18"/>
        <v>33.256666666666668</v>
      </c>
      <c r="AD99" s="35">
        <v>46.16</v>
      </c>
      <c r="AE99" s="35">
        <v>46.19</v>
      </c>
      <c r="AF99" s="35">
        <v>46.11</v>
      </c>
      <c r="AG99" s="24">
        <f t="shared" si="19"/>
        <v>46.153333333333329</v>
      </c>
      <c r="AH99" s="35">
        <v>67.16</v>
      </c>
      <c r="AI99" s="35">
        <v>67.099999999999994</v>
      </c>
      <c r="AJ99" s="35">
        <v>67.069999999999993</v>
      </c>
      <c r="AK99" s="24">
        <f t="shared" si="20"/>
        <v>67.11</v>
      </c>
      <c r="AL99" s="35">
        <v>17.329999999999998</v>
      </c>
      <c r="AM99" s="35">
        <v>17.399999999999999</v>
      </c>
      <c r="AN99" s="35">
        <v>17.45</v>
      </c>
      <c r="AP99" s="35">
        <v>25.12</v>
      </c>
      <c r="AQ99" s="35">
        <v>25.26</v>
      </c>
      <c r="AR99" s="35">
        <v>25.15</v>
      </c>
      <c r="AW99" s="35">
        <v>34.229999999999997</v>
      </c>
      <c r="AX99" s="35">
        <v>34.35</v>
      </c>
      <c r="AY99" s="35">
        <v>34.24</v>
      </c>
      <c r="AZ99" s="24">
        <f t="shared" si="21"/>
        <v>34.273333333333333</v>
      </c>
      <c r="BA99" s="35">
        <v>45.1</v>
      </c>
      <c r="BB99" s="35">
        <v>45.61</v>
      </c>
      <c r="BC99" s="35">
        <v>45.48</v>
      </c>
      <c r="BD99" s="24">
        <f t="shared" si="22"/>
        <v>45.396666666666668</v>
      </c>
      <c r="BE99" s="35">
        <v>67.87</v>
      </c>
      <c r="BF99" s="35">
        <v>67.760000000000005</v>
      </c>
      <c r="BG99" s="35">
        <v>67.81</v>
      </c>
      <c r="BH99" s="24">
        <f t="shared" si="23"/>
        <v>67.813333333333333</v>
      </c>
      <c r="BI99" s="35">
        <v>54.69</v>
      </c>
      <c r="BJ99" s="35">
        <v>54.53</v>
      </c>
      <c r="BK99" s="35">
        <v>54.53</v>
      </c>
      <c r="BL99" s="24">
        <f t="shared" si="24"/>
        <v>54.583333333333336</v>
      </c>
      <c r="BM99" s="35">
        <v>54.53</v>
      </c>
      <c r="BN99" s="35">
        <v>54.29</v>
      </c>
      <c r="BO99" s="35">
        <v>54.28</v>
      </c>
      <c r="BP99" s="24">
        <f t="shared" si="25"/>
        <v>54.366666666666667</v>
      </c>
      <c r="BQ99" s="35">
        <v>38.549999999999997</v>
      </c>
      <c r="BR99" s="35">
        <v>38.65</v>
      </c>
      <c r="BS99" s="35">
        <v>38.67</v>
      </c>
      <c r="BT99" s="24">
        <f t="shared" si="26"/>
        <v>38.623333333333328</v>
      </c>
      <c r="BU99" s="35">
        <v>71.849999999999994</v>
      </c>
      <c r="BV99" s="35">
        <v>71.95</v>
      </c>
      <c r="BW99" s="35">
        <v>71.48</v>
      </c>
      <c r="BX99" s="24">
        <f t="shared" si="27"/>
        <v>71.760000000000005</v>
      </c>
      <c r="BY99" t="s">
        <v>1252</v>
      </c>
      <c r="BZ99" t="s">
        <v>1252</v>
      </c>
      <c r="CA99" t="s">
        <v>1252</v>
      </c>
      <c r="CB99" s="252">
        <v>43238</v>
      </c>
      <c r="CE99" s="12">
        <v>0.8</v>
      </c>
    </row>
    <row r="100" spans="1:86" x14ac:dyDescent="0.25">
      <c r="A100" t="s">
        <v>1465</v>
      </c>
      <c r="B100" s="260" t="s">
        <v>49</v>
      </c>
      <c r="C100" s="15">
        <v>76</v>
      </c>
      <c r="D100" s="35">
        <v>1652</v>
      </c>
      <c r="E100" s="15" t="s">
        <v>379</v>
      </c>
      <c r="F100" s="100">
        <v>43238</v>
      </c>
      <c r="G100" t="s">
        <v>1466</v>
      </c>
      <c r="H100" s="9" t="s">
        <v>1111</v>
      </c>
      <c r="I100" s="10">
        <v>1</v>
      </c>
      <c r="J100" s="10" t="s">
        <v>64</v>
      </c>
      <c r="K100">
        <v>320</v>
      </c>
      <c r="L100">
        <v>93</v>
      </c>
      <c r="M100" s="9">
        <f t="shared" si="15"/>
        <v>227</v>
      </c>
      <c r="N100" s="35">
        <v>160</v>
      </c>
      <c r="O100" s="35">
        <v>160</v>
      </c>
      <c r="P100" s="35">
        <v>160</v>
      </c>
      <c r="Q100" s="24">
        <f t="shared" si="16"/>
        <v>160</v>
      </c>
      <c r="R100" s="35">
        <v>205</v>
      </c>
      <c r="S100" s="35">
        <v>206</v>
      </c>
      <c r="T100" s="35">
        <v>206</v>
      </c>
      <c r="U100" s="24">
        <f t="shared" si="14"/>
        <v>205.66666666666666</v>
      </c>
      <c r="V100" s="35">
        <v>9.76</v>
      </c>
      <c r="W100" s="35">
        <v>9.2899999999999991</v>
      </c>
      <c r="X100" s="35">
        <v>9.2799999999999994</v>
      </c>
      <c r="Y100" s="24">
        <f t="shared" si="17"/>
        <v>9.4433333333333334</v>
      </c>
      <c r="Z100" s="35">
        <v>29.85</v>
      </c>
      <c r="AA100" s="35">
        <v>29.69</v>
      </c>
      <c r="AB100" s="35">
        <v>29.86</v>
      </c>
      <c r="AC100" s="24">
        <f t="shared" si="18"/>
        <v>29.8</v>
      </c>
      <c r="AD100" s="35">
        <v>37.49</v>
      </c>
      <c r="AE100" s="35">
        <v>37.5</v>
      </c>
      <c r="AF100" s="35">
        <v>37.5</v>
      </c>
      <c r="AG100" s="24">
        <f t="shared" si="19"/>
        <v>37.49666666666667</v>
      </c>
      <c r="AH100" s="35">
        <v>56.25</v>
      </c>
      <c r="AI100">
        <v>56.26</v>
      </c>
      <c r="AJ100" s="35">
        <v>56.32</v>
      </c>
      <c r="AK100" s="24">
        <f t="shared" si="20"/>
        <v>56.276666666666664</v>
      </c>
      <c r="AT100" s="10" t="s">
        <v>1258</v>
      </c>
      <c r="AU100">
        <v>8</v>
      </c>
      <c r="AV100" s="9">
        <v>0</v>
      </c>
      <c r="AW100" s="35">
        <v>29.86</v>
      </c>
      <c r="AX100" s="35">
        <v>29.81</v>
      </c>
      <c r="AY100" s="35">
        <v>29.83</v>
      </c>
      <c r="AZ100" s="24">
        <f t="shared" si="21"/>
        <v>29.833333333333332</v>
      </c>
      <c r="BA100" s="35">
        <v>38.520000000000003</v>
      </c>
      <c r="BB100" s="35">
        <v>38.880000000000003</v>
      </c>
      <c r="BC100" s="35">
        <v>38.520000000000003</v>
      </c>
      <c r="BD100" s="24">
        <f t="shared" si="22"/>
        <v>38.640000000000008</v>
      </c>
      <c r="BE100" s="35">
        <v>57.12</v>
      </c>
      <c r="BF100" s="35">
        <v>57.16</v>
      </c>
      <c r="BG100" s="35">
        <v>57.04</v>
      </c>
      <c r="BH100" s="24">
        <f t="shared" si="23"/>
        <v>57.106666666666662</v>
      </c>
      <c r="BI100" s="35">
        <v>44.37</v>
      </c>
      <c r="BJ100" s="35">
        <v>44.18</v>
      </c>
      <c r="BK100" s="35">
        <v>44.32</v>
      </c>
      <c r="BL100" s="24">
        <f t="shared" si="24"/>
        <v>44.29</v>
      </c>
      <c r="BM100" s="35">
        <v>44.04</v>
      </c>
      <c r="BN100" s="35">
        <v>44.32</v>
      </c>
      <c r="BO100" s="35">
        <v>44.1</v>
      </c>
      <c r="BP100" s="24">
        <f t="shared" si="25"/>
        <v>44.153333333333336</v>
      </c>
      <c r="BQ100" s="35">
        <v>32.4</v>
      </c>
      <c r="BR100" s="35">
        <v>32.409999999999997</v>
      </c>
      <c r="BS100" s="35">
        <v>32.42</v>
      </c>
      <c r="BT100" s="24">
        <f t="shared" si="26"/>
        <v>32.410000000000004</v>
      </c>
      <c r="BU100" s="35">
        <v>63.06</v>
      </c>
      <c r="BV100" s="35">
        <v>63.09</v>
      </c>
      <c r="BW100" s="35">
        <v>63.06</v>
      </c>
      <c r="BX100" s="24">
        <f t="shared" si="27"/>
        <v>63.07</v>
      </c>
      <c r="BY100" t="s">
        <v>1252</v>
      </c>
      <c r="BZ100" t="s">
        <v>1252</v>
      </c>
      <c r="CA100" t="s">
        <v>1252</v>
      </c>
      <c r="CB100" s="252">
        <v>43238</v>
      </c>
      <c r="CE100" s="35">
        <v>0.6</v>
      </c>
    </row>
    <row r="101" spans="1:86" x14ac:dyDescent="0.25">
      <c r="A101" s="260" t="s">
        <v>1467</v>
      </c>
      <c r="B101" s="260" t="s">
        <v>49</v>
      </c>
      <c r="C101" s="15">
        <v>77</v>
      </c>
      <c r="D101" s="35">
        <v>1655</v>
      </c>
      <c r="E101" s="15" t="s">
        <v>379</v>
      </c>
      <c r="F101" s="100">
        <v>43241</v>
      </c>
      <c r="G101" t="s">
        <v>1468</v>
      </c>
      <c r="H101" s="9" t="s">
        <v>1108</v>
      </c>
      <c r="I101" s="10">
        <v>1</v>
      </c>
      <c r="J101" s="10" t="s">
        <v>64</v>
      </c>
      <c r="K101">
        <v>322</v>
      </c>
      <c r="L101">
        <v>95</v>
      </c>
      <c r="M101" s="9">
        <f t="shared" si="15"/>
        <v>227</v>
      </c>
      <c r="N101" s="35">
        <v>154</v>
      </c>
      <c r="O101" s="35">
        <v>154</v>
      </c>
      <c r="P101" s="35">
        <v>154</v>
      </c>
      <c r="Q101" s="24">
        <f t="shared" si="16"/>
        <v>154</v>
      </c>
      <c r="R101" s="35">
        <v>230</v>
      </c>
      <c r="S101" s="35">
        <v>299</v>
      </c>
      <c r="T101" s="35">
        <v>299</v>
      </c>
      <c r="U101" s="24">
        <f t="shared" si="14"/>
        <v>276</v>
      </c>
      <c r="V101" s="35">
        <v>10.84</v>
      </c>
      <c r="W101" s="35">
        <v>10.96</v>
      </c>
      <c r="X101" s="35">
        <v>0.86</v>
      </c>
      <c r="Y101" s="24">
        <f t="shared" si="17"/>
        <v>7.5533333333333337</v>
      </c>
      <c r="Z101" s="35">
        <v>30.35</v>
      </c>
      <c r="AA101" s="35">
        <v>30.15</v>
      </c>
      <c r="AB101" s="35">
        <v>30.03</v>
      </c>
      <c r="AC101" s="24">
        <f t="shared" si="18"/>
        <v>30.176666666666666</v>
      </c>
      <c r="AD101" s="35">
        <v>39.450000000000003</v>
      </c>
      <c r="AE101" s="35">
        <v>39.659999999999997</v>
      </c>
      <c r="AF101" s="35">
        <v>39.340000000000003</v>
      </c>
      <c r="AG101" s="24">
        <f t="shared" si="19"/>
        <v>39.483333333333334</v>
      </c>
      <c r="AH101" s="35">
        <v>58.38</v>
      </c>
      <c r="AI101" s="35">
        <v>58.48</v>
      </c>
      <c r="AJ101" s="35">
        <v>58.43</v>
      </c>
      <c r="AK101" s="24">
        <f t="shared" si="20"/>
        <v>58.43</v>
      </c>
      <c r="AT101" s="10" t="s">
        <v>1258</v>
      </c>
      <c r="AU101">
        <v>8</v>
      </c>
      <c r="AV101" s="9">
        <v>0</v>
      </c>
      <c r="AW101" s="35">
        <v>30.42</v>
      </c>
      <c r="AX101" s="35">
        <v>30.59</v>
      </c>
      <c r="AY101" s="35">
        <v>30.54</v>
      </c>
      <c r="AZ101" s="24">
        <f t="shared" si="21"/>
        <v>30.516666666666669</v>
      </c>
      <c r="BA101" s="35">
        <v>39.619999999999997</v>
      </c>
      <c r="BB101" s="35">
        <v>39.74</v>
      </c>
      <c r="BC101" s="35">
        <v>39.74</v>
      </c>
      <c r="BD101" s="24">
        <f t="shared" si="22"/>
        <v>39.699999999999996</v>
      </c>
      <c r="BE101" s="35">
        <v>58.43</v>
      </c>
      <c r="BF101" s="35">
        <v>58.59</v>
      </c>
      <c r="BG101" s="35">
        <v>58.39</v>
      </c>
      <c r="BH101" s="24">
        <f t="shared" si="23"/>
        <v>58.470000000000006</v>
      </c>
      <c r="BI101" s="35">
        <v>44.56</v>
      </c>
      <c r="BJ101" s="35">
        <v>44.39</v>
      </c>
      <c r="BK101" s="35">
        <v>44.52</v>
      </c>
      <c r="BL101" s="24">
        <f t="shared" si="24"/>
        <v>44.49</v>
      </c>
      <c r="BM101" s="35">
        <v>44.42</v>
      </c>
      <c r="BN101" s="35">
        <v>44.62</v>
      </c>
      <c r="BO101" s="35">
        <v>44.84</v>
      </c>
      <c r="BP101" s="24">
        <f t="shared" si="25"/>
        <v>44.626666666666665</v>
      </c>
      <c r="BQ101" s="35">
        <v>32</v>
      </c>
      <c r="BR101" s="35">
        <v>32.06</v>
      </c>
      <c r="BS101" s="35">
        <v>32.07</v>
      </c>
      <c r="BT101" s="24">
        <f t="shared" si="26"/>
        <v>32.043333333333329</v>
      </c>
      <c r="BU101" s="35">
        <v>62.93</v>
      </c>
      <c r="BV101" s="35">
        <v>62.96</v>
      </c>
      <c r="BW101" s="35">
        <v>62.96</v>
      </c>
      <c r="BX101" s="24">
        <f t="shared" si="27"/>
        <v>62.949999999999996</v>
      </c>
      <c r="BY101" t="s">
        <v>1252</v>
      </c>
      <c r="BZ101" t="s">
        <v>1252</v>
      </c>
      <c r="CA101" t="s">
        <v>1252</v>
      </c>
      <c r="CB101" s="100">
        <v>43241</v>
      </c>
      <c r="CC101" s="100">
        <v>43242</v>
      </c>
      <c r="CE101" s="35">
        <v>0.5</v>
      </c>
      <c r="CH101" t="s">
        <v>1403</v>
      </c>
    </row>
    <row r="102" spans="1:86" x14ac:dyDescent="0.25">
      <c r="A102" t="s">
        <v>1469</v>
      </c>
      <c r="B102" s="260" t="s">
        <v>49</v>
      </c>
      <c r="C102" s="15">
        <v>78</v>
      </c>
      <c r="D102" s="35">
        <v>1656</v>
      </c>
      <c r="E102" s="15" t="s">
        <v>379</v>
      </c>
      <c r="F102" s="100">
        <v>43241</v>
      </c>
      <c r="G102" t="s">
        <v>1470</v>
      </c>
      <c r="H102" s="9" t="s">
        <v>1108</v>
      </c>
      <c r="I102" s="10">
        <v>1</v>
      </c>
      <c r="J102" s="10" t="s">
        <v>50</v>
      </c>
      <c r="K102">
        <v>389</v>
      </c>
      <c r="L102">
        <v>91</v>
      </c>
      <c r="M102" s="9">
        <f t="shared" si="15"/>
        <v>298</v>
      </c>
      <c r="N102" s="35">
        <v>175</v>
      </c>
      <c r="O102" s="35">
        <v>175</v>
      </c>
      <c r="P102" s="35">
        <v>174</v>
      </c>
      <c r="Q102" s="24">
        <f t="shared" si="16"/>
        <v>174.66666666666666</v>
      </c>
      <c r="R102" s="35">
        <v>233</v>
      </c>
      <c r="S102" s="35">
        <v>233</v>
      </c>
      <c r="T102" s="35">
        <v>233</v>
      </c>
      <c r="U102" s="24">
        <f t="shared" si="14"/>
        <v>233</v>
      </c>
      <c r="V102" s="35">
        <v>10.98</v>
      </c>
      <c r="W102" s="35">
        <v>10.56</v>
      </c>
      <c r="X102" s="35">
        <v>10.66</v>
      </c>
      <c r="Y102" s="24">
        <f t="shared" si="17"/>
        <v>10.733333333333334</v>
      </c>
      <c r="Z102" s="35">
        <v>33.42</v>
      </c>
      <c r="AA102" s="35">
        <v>33.33</v>
      </c>
      <c r="AB102" s="35">
        <v>33.299999999999997</v>
      </c>
      <c r="AC102" s="24">
        <f t="shared" si="18"/>
        <v>33.35</v>
      </c>
      <c r="AD102" s="35">
        <v>42.82</v>
      </c>
      <c r="AE102" s="35">
        <v>42.83</v>
      </c>
      <c r="AF102" s="35">
        <v>42.88</v>
      </c>
      <c r="AG102" s="24">
        <f t="shared" si="19"/>
        <v>42.843333333333334</v>
      </c>
      <c r="AH102" s="35">
        <v>64.31</v>
      </c>
      <c r="AI102" s="35">
        <v>64.290000000000006</v>
      </c>
      <c r="AJ102" s="35">
        <v>64.42</v>
      </c>
      <c r="AK102" s="24">
        <f t="shared" si="20"/>
        <v>64.340000000000018</v>
      </c>
      <c r="AL102" s="35">
        <v>15.13</v>
      </c>
      <c r="AM102" s="35">
        <v>15.09</v>
      </c>
      <c r="AN102" s="35">
        <v>15.3</v>
      </c>
      <c r="AP102" s="35">
        <v>24.52</v>
      </c>
      <c r="AQ102" s="35">
        <v>24.63</v>
      </c>
      <c r="AR102" s="35">
        <v>24.61</v>
      </c>
      <c r="AW102" s="35">
        <v>33.049999999999997</v>
      </c>
      <c r="AX102" s="35">
        <v>32.83</v>
      </c>
      <c r="AY102" s="35">
        <v>32.93</v>
      </c>
      <c r="AZ102" s="24">
        <f t="shared" si="21"/>
        <v>32.936666666666667</v>
      </c>
      <c r="BA102" s="35">
        <v>42.21</v>
      </c>
      <c r="BB102" s="35">
        <v>42.4</v>
      </c>
      <c r="BC102" s="35">
        <v>42.36</v>
      </c>
      <c r="BD102" s="24">
        <f t="shared" si="22"/>
        <v>42.323333333333331</v>
      </c>
      <c r="BE102" s="35">
        <v>63.53</v>
      </c>
      <c r="BF102" s="35">
        <v>63.81</v>
      </c>
      <c r="BG102" s="35">
        <v>63.92</v>
      </c>
      <c r="BH102" s="24">
        <f t="shared" si="23"/>
        <v>63.75333333333333</v>
      </c>
      <c r="BI102" s="35">
        <v>50.3</v>
      </c>
      <c r="BJ102" s="35">
        <v>50.43</v>
      </c>
      <c r="BK102" s="35">
        <v>50.62</v>
      </c>
      <c r="BL102" s="24">
        <f t="shared" si="24"/>
        <v>50.449999999999996</v>
      </c>
      <c r="BM102" s="35">
        <v>49.96</v>
      </c>
      <c r="BN102" s="35">
        <v>49.87</v>
      </c>
      <c r="BO102" s="35">
        <v>49.92</v>
      </c>
      <c r="BP102" s="24">
        <f t="shared" si="25"/>
        <v>49.916666666666664</v>
      </c>
      <c r="BQ102" s="35">
        <v>36.65</v>
      </c>
      <c r="BR102" s="35">
        <v>36.43</v>
      </c>
      <c r="BS102" s="35">
        <v>36.49</v>
      </c>
      <c r="BT102" s="24">
        <f t="shared" si="26"/>
        <v>36.523333333333333</v>
      </c>
      <c r="BU102" s="35">
        <v>68.16</v>
      </c>
      <c r="BV102" s="35">
        <v>68.13</v>
      </c>
      <c r="BW102" s="35">
        <v>68.209999999999994</v>
      </c>
      <c r="BX102" s="24">
        <f t="shared" si="27"/>
        <v>68.166666666666671</v>
      </c>
      <c r="BY102" t="s">
        <v>1252</v>
      </c>
      <c r="BZ102" t="s">
        <v>1252</v>
      </c>
      <c r="CA102" t="s">
        <v>1252</v>
      </c>
      <c r="CB102" s="100">
        <v>43241</v>
      </c>
      <c r="CC102" s="100">
        <v>43242</v>
      </c>
      <c r="CE102" s="35">
        <v>0.5</v>
      </c>
    </row>
    <row r="103" spans="1:86" x14ac:dyDescent="0.25">
      <c r="A103" s="260" t="s">
        <v>1471</v>
      </c>
      <c r="B103" s="260" t="s">
        <v>49</v>
      </c>
      <c r="C103" s="15">
        <v>79</v>
      </c>
      <c r="D103" s="35">
        <v>1657</v>
      </c>
      <c r="E103" s="15" t="s">
        <v>379</v>
      </c>
      <c r="F103" s="100">
        <v>43241</v>
      </c>
      <c r="G103" t="s">
        <v>1472</v>
      </c>
      <c r="H103" s="9" t="s">
        <v>1108</v>
      </c>
      <c r="I103" s="10">
        <v>1</v>
      </c>
      <c r="J103" s="10" t="s">
        <v>50</v>
      </c>
      <c r="K103">
        <v>363</v>
      </c>
      <c r="L103">
        <v>89</v>
      </c>
      <c r="M103" s="9">
        <f t="shared" si="15"/>
        <v>274</v>
      </c>
      <c r="N103" s="35">
        <v>153</v>
      </c>
      <c r="O103" s="35">
        <v>153</v>
      </c>
      <c r="P103" s="35">
        <v>153</v>
      </c>
      <c r="Q103" s="24">
        <f t="shared" si="16"/>
        <v>153</v>
      </c>
      <c r="R103" s="35">
        <v>220</v>
      </c>
      <c r="S103" s="35">
        <v>219</v>
      </c>
      <c r="T103" s="35">
        <v>219</v>
      </c>
      <c r="U103" s="24">
        <f t="shared" si="14"/>
        <v>219.33333333333334</v>
      </c>
      <c r="V103" s="35">
        <v>11.01</v>
      </c>
      <c r="W103" s="35">
        <v>10.91</v>
      </c>
      <c r="X103" s="35">
        <v>10.81</v>
      </c>
      <c r="Y103" s="24">
        <f t="shared" si="17"/>
        <v>10.910000000000002</v>
      </c>
      <c r="Z103" s="35">
        <v>31.79</v>
      </c>
      <c r="AA103" s="35">
        <v>31.51</v>
      </c>
      <c r="AB103" s="35">
        <v>31.8</v>
      </c>
      <c r="AC103" s="24">
        <f t="shared" si="18"/>
        <v>31.7</v>
      </c>
      <c r="AD103" s="35">
        <v>40.229999999999997</v>
      </c>
      <c r="AE103" s="35">
        <v>40.43</v>
      </c>
      <c r="AF103" s="35">
        <v>40.450000000000003</v>
      </c>
      <c r="AG103" s="24">
        <f t="shared" si="19"/>
        <v>40.369999999999997</v>
      </c>
      <c r="AH103" s="35">
        <v>60.67</v>
      </c>
      <c r="AI103" s="35">
        <v>60.77</v>
      </c>
      <c r="AJ103" s="35">
        <v>60.71</v>
      </c>
      <c r="AK103" s="24">
        <f t="shared" si="20"/>
        <v>60.716666666666669</v>
      </c>
      <c r="AL103" s="35">
        <v>17.14</v>
      </c>
      <c r="AM103" s="35">
        <v>17.420000000000002</v>
      </c>
      <c r="AN103" s="35">
        <v>17.41</v>
      </c>
      <c r="AP103" s="35">
        <v>24.92</v>
      </c>
      <c r="AQ103" s="35">
        <v>24.43</v>
      </c>
      <c r="AR103" s="35">
        <v>24.88</v>
      </c>
      <c r="AW103" s="35">
        <v>30.65</v>
      </c>
      <c r="AX103" s="35">
        <v>30.49</v>
      </c>
      <c r="AY103" s="35">
        <v>30.56</v>
      </c>
      <c r="AZ103" s="24">
        <f t="shared" si="21"/>
        <v>30.566666666666666</v>
      </c>
      <c r="BA103" s="35">
        <v>40.43</v>
      </c>
      <c r="BB103" s="35">
        <v>40.36</v>
      </c>
      <c r="BC103" s="35">
        <v>40.47</v>
      </c>
      <c r="BD103" s="24">
        <f t="shared" si="22"/>
        <v>40.419999999999995</v>
      </c>
      <c r="BE103" s="35">
        <v>61.65</v>
      </c>
      <c r="BF103" s="35">
        <v>61.74</v>
      </c>
      <c r="BG103" s="35">
        <v>61.88</v>
      </c>
      <c r="BH103" s="24">
        <f t="shared" si="23"/>
        <v>61.756666666666668</v>
      </c>
      <c r="BI103" s="35">
        <v>47.52</v>
      </c>
      <c r="BJ103" s="35">
        <v>47.42</v>
      </c>
      <c r="BK103" s="35">
        <v>47.38</v>
      </c>
      <c r="BL103" s="24">
        <f t="shared" si="24"/>
        <v>47.44</v>
      </c>
      <c r="BM103" s="35">
        <v>47.22</v>
      </c>
      <c r="BN103" s="35">
        <v>47.3</v>
      </c>
      <c r="BO103" s="35">
        <v>47.34</v>
      </c>
      <c r="BP103" s="24">
        <f t="shared" si="25"/>
        <v>47.286666666666669</v>
      </c>
      <c r="BQ103" s="35">
        <v>34.71</v>
      </c>
      <c r="BR103" s="35">
        <v>34.549999999999997</v>
      </c>
      <c r="BS103" s="35">
        <v>34.67</v>
      </c>
      <c r="BT103" s="24">
        <f t="shared" si="26"/>
        <v>34.643333333333331</v>
      </c>
      <c r="BU103" s="35">
        <v>65.13</v>
      </c>
      <c r="BV103" s="35">
        <v>65.150000000000006</v>
      </c>
      <c r="BW103" s="35">
        <v>65.349999999999994</v>
      </c>
      <c r="BX103" s="24">
        <f t="shared" si="27"/>
        <v>65.209999999999994</v>
      </c>
      <c r="BY103" t="s">
        <v>1252</v>
      </c>
      <c r="BZ103" t="s">
        <v>1252</v>
      </c>
      <c r="CA103" t="s">
        <v>1252</v>
      </c>
      <c r="CB103" s="100">
        <v>43241</v>
      </c>
      <c r="CC103" s="100">
        <v>43242</v>
      </c>
      <c r="CE103" s="35">
        <v>0.2</v>
      </c>
    </row>
    <row r="104" spans="1:86" x14ac:dyDescent="0.25">
      <c r="A104" t="s">
        <v>1473</v>
      </c>
      <c r="B104" s="260" t="s">
        <v>49</v>
      </c>
      <c r="C104" s="15">
        <v>80</v>
      </c>
      <c r="D104" s="35">
        <v>1658</v>
      </c>
      <c r="E104" s="15" t="s">
        <v>379</v>
      </c>
      <c r="F104" s="100">
        <v>43241</v>
      </c>
      <c r="G104" t="s">
        <v>1474</v>
      </c>
      <c r="H104" s="9" t="s">
        <v>1108</v>
      </c>
      <c r="I104" s="10">
        <v>1</v>
      </c>
      <c r="J104" s="10" t="s">
        <v>50</v>
      </c>
      <c r="K104">
        <v>340</v>
      </c>
      <c r="L104">
        <v>93</v>
      </c>
      <c r="M104" s="9">
        <f t="shared" si="15"/>
        <v>247</v>
      </c>
      <c r="N104" s="35">
        <v>165</v>
      </c>
      <c r="O104" s="35">
        <v>166</v>
      </c>
      <c r="P104" s="35">
        <v>166</v>
      </c>
      <c r="Q104" s="24">
        <f t="shared" si="16"/>
        <v>165.66666666666666</v>
      </c>
      <c r="R104" s="35">
        <v>217</v>
      </c>
      <c r="S104" s="35">
        <v>216</v>
      </c>
      <c r="T104" s="35">
        <v>217</v>
      </c>
      <c r="U104" s="24">
        <f t="shared" si="14"/>
        <v>216.66666666666666</v>
      </c>
      <c r="V104" s="35">
        <v>9.7200000000000006</v>
      </c>
      <c r="W104" s="35">
        <v>9.82</v>
      </c>
      <c r="X104" s="35">
        <v>9.93</v>
      </c>
      <c r="Y104" s="24">
        <f t="shared" si="17"/>
        <v>9.8233333333333324</v>
      </c>
      <c r="Z104" s="35">
        <v>30.82</v>
      </c>
      <c r="AA104" s="35">
        <v>30.66</v>
      </c>
      <c r="AB104" s="35">
        <v>30.81</v>
      </c>
      <c r="AC104" s="24">
        <f t="shared" si="18"/>
        <v>30.763333333333335</v>
      </c>
      <c r="AD104" s="35">
        <v>40.61</v>
      </c>
      <c r="AE104" s="35">
        <v>40.840000000000003</v>
      </c>
      <c r="AF104" s="35">
        <v>40.86</v>
      </c>
      <c r="AG104" s="24">
        <f t="shared" si="19"/>
        <v>40.770000000000003</v>
      </c>
      <c r="AH104" s="35">
        <v>41.69</v>
      </c>
      <c r="AI104" s="35">
        <v>41.7</v>
      </c>
      <c r="AJ104" s="35">
        <v>41.63</v>
      </c>
      <c r="AK104" s="24">
        <f t="shared" si="20"/>
        <v>41.673333333333339</v>
      </c>
      <c r="AL104" s="35">
        <v>15</v>
      </c>
      <c r="AM104" s="35">
        <v>15.36</v>
      </c>
      <c r="AN104" s="35">
        <v>15.06</v>
      </c>
      <c r="AP104" s="35">
        <v>22.9</v>
      </c>
      <c r="AQ104" s="35">
        <v>22.45</v>
      </c>
      <c r="AR104" s="35">
        <v>22.22</v>
      </c>
      <c r="AW104" s="35">
        <v>31.77</v>
      </c>
      <c r="AX104" s="35">
        <v>31.77</v>
      </c>
      <c r="AY104" s="35">
        <v>31.89</v>
      </c>
      <c r="AZ104" s="24">
        <f t="shared" si="21"/>
        <v>31.810000000000002</v>
      </c>
      <c r="BA104" s="35">
        <v>40.51</v>
      </c>
      <c r="BB104" s="35">
        <v>40.64</v>
      </c>
      <c r="BC104" s="35">
        <v>40.659999999999997</v>
      </c>
      <c r="BD104" s="24">
        <f t="shared" si="22"/>
        <v>40.603333333333332</v>
      </c>
      <c r="BE104" s="35">
        <v>61.52</v>
      </c>
      <c r="BF104" s="35">
        <v>61.58</v>
      </c>
      <c r="BG104" s="35">
        <v>61.55</v>
      </c>
      <c r="BH104" s="24">
        <f t="shared" si="23"/>
        <v>61.54999999999999</v>
      </c>
      <c r="BI104" s="35">
        <v>47.54</v>
      </c>
      <c r="BJ104" s="35">
        <v>47.59</v>
      </c>
      <c r="BK104" s="35">
        <v>47.53</v>
      </c>
      <c r="BL104" s="24">
        <f t="shared" si="24"/>
        <v>47.553333333333335</v>
      </c>
      <c r="BM104" s="35">
        <v>48.12</v>
      </c>
      <c r="BN104" s="35">
        <v>48.19</v>
      </c>
      <c r="BO104" s="35">
        <v>48.15</v>
      </c>
      <c r="BP104" s="24">
        <f t="shared" si="25"/>
        <v>48.153333333333336</v>
      </c>
      <c r="BQ104" s="35">
        <v>33.520000000000003</v>
      </c>
      <c r="BR104" s="35">
        <v>33.18</v>
      </c>
      <c r="BS104" s="35">
        <v>33.14</v>
      </c>
      <c r="BT104" s="24">
        <f t="shared" si="26"/>
        <v>33.28</v>
      </c>
      <c r="BU104" s="35">
        <v>64.98</v>
      </c>
      <c r="BV104" s="35">
        <v>64.7</v>
      </c>
      <c r="BW104" s="35">
        <v>64.84</v>
      </c>
      <c r="BX104" s="24">
        <f t="shared" si="27"/>
        <v>64.84</v>
      </c>
      <c r="BY104" t="s">
        <v>1252</v>
      </c>
      <c r="BZ104" t="s">
        <v>1252</v>
      </c>
      <c r="CA104" t="s">
        <v>1252</v>
      </c>
      <c r="CB104" s="100">
        <v>43241</v>
      </c>
      <c r="CE104" s="35">
        <v>0</v>
      </c>
    </row>
    <row r="105" spans="1:86" x14ac:dyDescent="0.25">
      <c r="A105" s="260" t="s">
        <v>1475</v>
      </c>
      <c r="B105" s="260" t="s">
        <v>49</v>
      </c>
      <c r="C105" s="15">
        <v>81</v>
      </c>
      <c r="D105" s="35">
        <v>1659</v>
      </c>
      <c r="E105" s="15" t="s">
        <v>379</v>
      </c>
      <c r="F105" s="100">
        <v>43241</v>
      </c>
      <c r="G105" t="s">
        <v>1476</v>
      </c>
      <c r="H105" s="9" t="s">
        <v>1108</v>
      </c>
      <c r="I105" s="10">
        <v>1</v>
      </c>
      <c r="J105" s="10" t="s">
        <v>64</v>
      </c>
      <c r="K105">
        <v>267</v>
      </c>
      <c r="L105">
        <v>90</v>
      </c>
      <c r="M105" s="9">
        <f t="shared" si="15"/>
        <v>177</v>
      </c>
      <c r="N105" s="35">
        <v>133</v>
      </c>
      <c r="O105" s="35">
        <v>134</v>
      </c>
      <c r="P105" s="35">
        <v>133</v>
      </c>
      <c r="Q105" s="24">
        <f t="shared" si="16"/>
        <v>133.33333333333334</v>
      </c>
      <c r="R105" s="35">
        <v>122</v>
      </c>
      <c r="S105" s="35">
        <v>121</v>
      </c>
      <c r="T105" s="35">
        <v>121</v>
      </c>
      <c r="U105" s="24">
        <f t="shared" si="14"/>
        <v>121.33333333333333</v>
      </c>
      <c r="V105" s="35">
        <v>8.42</v>
      </c>
      <c r="W105" s="35">
        <v>8.39</v>
      </c>
      <c r="X105" s="35">
        <v>8.34</v>
      </c>
      <c r="Y105" s="24">
        <f t="shared" si="17"/>
        <v>8.3833333333333346</v>
      </c>
      <c r="Z105" s="35">
        <v>28.52</v>
      </c>
      <c r="AA105" s="35">
        <v>28.27</v>
      </c>
      <c r="AB105" s="35">
        <v>28.5</v>
      </c>
      <c r="AC105" s="24">
        <f t="shared" si="18"/>
        <v>28.429999999999996</v>
      </c>
      <c r="AD105" s="35">
        <v>36.36</v>
      </c>
      <c r="AE105" s="35">
        <v>36.74</v>
      </c>
      <c r="AF105" s="35">
        <v>36.840000000000003</v>
      </c>
      <c r="AG105" s="24">
        <f t="shared" si="19"/>
        <v>36.646666666666668</v>
      </c>
      <c r="AH105" s="35">
        <v>53.64</v>
      </c>
      <c r="AI105" s="35">
        <v>53.62</v>
      </c>
      <c r="AJ105" s="35">
        <v>53.33</v>
      </c>
      <c r="AK105" s="24">
        <f t="shared" si="20"/>
        <v>53.529999999999994</v>
      </c>
      <c r="AT105" s="10" t="s">
        <v>1258</v>
      </c>
      <c r="AU105">
        <v>8</v>
      </c>
      <c r="AV105" s="9">
        <v>0</v>
      </c>
      <c r="AW105" s="35">
        <v>27.34</v>
      </c>
      <c r="AX105" s="35">
        <v>27.72</v>
      </c>
      <c r="AY105" s="35">
        <v>27.73</v>
      </c>
      <c r="AZ105" s="24">
        <f t="shared" si="21"/>
        <v>27.596666666666668</v>
      </c>
      <c r="BA105" s="35">
        <v>37.04</v>
      </c>
      <c r="BB105" s="35">
        <v>37</v>
      </c>
      <c r="BC105" s="35">
        <v>37.18</v>
      </c>
      <c r="BD105" s="24">
        <f t="shared" si="22"/>
        <v>37.073333333333331</v>
      </c>
      <c r="BE105" s="35">
        <v>54.64</v>
      </c>
      <c r="BF105" s="35">
        <v>54.62</v>
      </c>
      <c r="BG105" s="35">
        <v>54.48</v>
      </c>
      <c r="BH105" s="24">
        <f t="shared" si="23"/>
        <v>54.579999999999991</v>
      </c>
      <c r="BI105" s="35">
        <v>42.93</v>
      </c>
      <c r="BJ105" s="35">
        <v>42.93</v>
      </c>
      <c r="BK105" s="35">
        <v>42.76</v>
      </c>
      <c r="BL105" s="24">
        <f t="shared" si="24"/>
        <v>42.873333333333335</v>
      </c>
      <c r="BM105" s="35">
        <v>42.29</v>
      </c>
      <c r="BN105" s="35">
        <v>42</v>
      </c>
      <c r="BO105" s="35">
        <v>42</v>
      </c>
      <c r="BP105" s="24">
        <f t="shared" si="25"/>
        <v>42.096666666666664</v>
      </c>
      <c r="BQ105" s="35">
        <v>30.74</v>
      </c>
      <c r="BR105" s="35">
        <v>30.79</v>
      </c>
      <c r="BS105" s="35">
        <v>30.82</v>
      </c>
      <c r="BT105" s="24">
        <f t="shared" si="26"/>
        <v>30.783333333333331</v>
      </c>
      <c r="BU105" s="35">
        <v>61.19</v>
      </c>
      <c r="BV105" s="35">
        <v>61</v>
      </c>
      <c r="BW105" s="35">
        <v>61.16</v>
      </c>
      <c r="BX105" s="24">
        <f t="shared" si="27"/>
        <v>61.116666666666667</v>
      </c>
      <c r="BY105" t="s">
        <v>1252</v>
      </c>
      <c r="BZ105" t="s">
        <v>1252</v>
      </c>
      <c r="CA105" t="s">
        <v>1252</v>
      </c>
      <c r="CB105" s="100">
        <v>43241</v>
      </c>
      <c r="CE105" s="12">
        <v>0.7</v>
      </c>
    </row>
    <row r="106" spans="1:86" x14ac:dyDescent="0.25">
      <c r="A106" t="s">
        <v>1477</v>
      </c>
      <c r="B106" s="260" t="s">
        <v>49</v>
      </c>
      <c r="C106" s="15">
        <v>82</v>
      </c>
      <c r="D106" s="35">
        <v>1660</v>
      </c>
      <c r="E106" s="15" t="s">
        <v>379</v>
      </c>
      <c r="F106" s="100">
        <v>43241</v>
      </c>
      <c r="G106" t="s">
        <v>1478</v>
      </c>
      <c r="H106" s="9" t="s">
        <v>1108</v>
      </c>
      <c r="I106" s="10">
        <v>1</v>
      </c>
      <c r="J106" s="10" t="s">
        <v>64</v>
      </c>
      <c r="K106">
        <v>299</v>
      </c>
      <c r="L106">
        <v>96</v>
      </c>
      <c r="M106" s="9">
        <f t="shared" si="15"/>
        <v>203</v>
      </c>
      <c r="N106" s="35">
        <v>148</v>
      </c>
      <c r="O106" s="35">
        <v>148</v>
      </c>
      <c r="P106" s="35">
        <v>148</v>
      </c>
      <c r="Q106" s="24">
        <f t="shared" si="16"/>
        <v>148</v>
      </c>
      <c r="R106" s="35">
        <v>206</v>
      </c>
      <c r="S106" s="35">
        <v>207</v>
      </c>
      <c r="T106" s="35">
        <v>206</v>
      </c>
      <c r="U106" s="24">
        <f t="shared" si="14"/>
        <v>206.33333333333334</v>
      </c>
      <c r="V106" s="35">
        <v>10.34</v>
      </c>
      <c r="W106" s="35">
        <v>10.37</v>
      </c>
      <c r="X106" s="35">
        <v>10.37</v>
      </c>
      <c r="Y106" s="24">
        <f t="shared" si="17"/>
        <v>10.36</v>
      </c>
      <c r="Z106" s="35">
        <v>28.9</v>
      </c>
      <c r="AA106" s="35">
        <v>28.72</v>
      </c>
      <c r="AB106" s="35">
        <v>28.77</v>
      </c>
      <c r="AC106" s="24">
        <f t="shared" si="18"/>
        <v>28.796666666666667</v>
      </c>
      <c r="AD106" s="35">
        <v>38.67</v>
      </c>
      <c r="AE106" s="35">
        <v>38.53</v>
      </c>
      <c r="AF106" s="35">
        <v>38.67</v>
      </c>
      <c r="AG106" s="24">
        <f t="shared" si="19"/>
        <v>38.623333333333335</v>
      </c>
      <c r="AH106" s="35">
        <v>56.22</v>
      </c>
      <c r="AI106" s="35">
        <v>56.16</v>
      </c>
      <c r="AJ106" s="35">
        <v>56.43</v>
      </c>
      <c r="AK106" s="24">
        <f t="shared" si="20"/>
        <v>56.27</v>
      </c>
      <c r="AT106" s="10" t="s">
        <v>1258</v>
      </c>
      <c r="AU106">
        <v>8</v>
      </c>
      <c r="AV106" s="9">
        <v>0</v>
      </c>
      <c r="AW106" s="35">
        <v>29.1</v>
      </c>
      <c r="AX106" s="35">
        <v>29.12</v>
      </c>
      <c r="AY106" s="35">
        <v>29.03</v>
      </c>
      <c r="AZ106" s="24">
        <f t="shared" si="21"/>
        <v>29.083333333333332</v>
      </c>
      <c r="BA106" s="35">
        <v>38.78</v>
      </c>
      <c r="BB106" s="35">
        <v>38.75</v>
      </c>
      <c r="BC106" s="35">
        <v>38.909999999999997</v>
      </c>
      <c r="BD106" s="24">
        <f t="shared" si="22"/>
        <v>38.813333333333333</v>
      </c>
      <c r="BE106" s="35">
        <v>57.4</v>
      </c>
      <c r="BF106" s="35">
        <v>57.54</v>
      </c>
      <c r="BG106" s="35">
        <v>57.61</v>
      </c>
      <c r="BH106" s="24">
        <f t="shared" si="23"/>
        <v>57.516666666666673</v>
      </c>
      <c r="BI106" s="35">
        <v>45.4</v>
      </c>
      <c r="BJ106" s="35">
        <v>45.45</v>
      </c>
      <c r="BK106" s="35">
        <v>45.53</v>
      </c>
      <c r="BL106" s="24">
        <f t="shared" si="24"/>
        <v>45.46</v>
      </c>
      <c r="BM106" s="35">
        <v>44.57</v>
      </c>
      <c r="BN106" s="35">
        <v>44.6</v>
      </c>
      <c r="BO106" s="35">
        <v>44.65</v>
      </c>
      <c r="BP106" s="24">
        <f t="shared" si="25"/>
        <v>44.606666666666662</v>
      </c>
      <c r="BQ106" s="35">
        <v>33.01</v>
      </c>
      <c r="BR106" s="35">
        <v>33.04</v>
      </c>
      <c r="BS106" s="35">
        <v>33.090000000000003</v>
      </c>
      <c r="BT106" s="24">
        <f t="shared" si="26"/>
        <v>33.046666666666667</v>
      </c>
      <c r="BU106" s="35">
        <v>61.94</v>
      </c>
      <c r="BV106" s="35">
        <v>61.76</v>
      </c>
      <c r="BW106" s="35">
        <v>61.77</v>
      </c>
      <c r="BX106" s="24">
        <f t="shared" si="27"/>
        <v>61.823333333333331</v>
      </c>
      <c r="BY106" t="s">
        <v>1252</v>
      </c>
      <c r="BZ106" t="s">
        <v>1252</v>
      </c>
      <c r="CA106" t="s">
        <v>1252</v>
      </c>
      <c r="CB106" s="100">
        <v>43241</v>
      </c>
      <c r="CC106" s="100">
        <v>43242</v>
      </c>
      <c r="CE106" s="12">
        <v>0.8</v>
      </c>
      <c r="CH106" t="s">
        <v>1403</v>
      </c>
    </row>
    <row r="107" spans="1:86" x14ac:dyDescent="0.25">
      <c r="A107" s="260" t="s">
        <v>1479</v>
      </c>
      <c r="B107" s="260" t="s">
        <v>49</v>
      </c>
      <c r="C107" s="15">
        <v>83</v>
      </c>
      <c r="D107" s="35">
        <v>1661</v>
      </c>
      <c r="E107" s="15" t="s">
        <v>379</v>
      </c>
      <c r="F107" s="100">
        <v>43241</v>
      </c>
      <c r="G107" t="s">
        <v>1480</v>
      </c>
      <c r="H107" s="9" t="s">
        <v>1108</v>
      </c>
      <c r="I107" s="10">
        <v>2</v>
      </c>
      <c r="J107" s="10" t="s">
        <v>64</v>
      </c>
      <c r="K107">
        <v>415</v>
      </c>
      <c r="L107">
        <v>93</v>
      </c>
      <c r="M107" s="9">
        <f t="shared" si="15"/>
        <v>322</v>
      </c>
      <c r="N107" s="35">
        <v>164</v>
      </c>
      <c r="O107" s="35">
        <v>164</v>
      </c>
      <c r="P107" s="35">
        <v>164</v>
      </c>
      <c r="Q107" s="24">
        <f t="shared" si="16"/>
        <v>164</v>
      </c>
      <c r="R107" s="35">
        <v>224</v>
      </c>
      <c r="S107" s="35">
        <v>224</v>
      </c>
      <c r="T107" s="35">
        <v>224</v>
      </c>
      <c r="U107" s="24">
        <f t="shared" si="14"/>
        <v>224</v>
      </c>
      <c r="V107" s="35">
        <v>13.92</v>
      </c>
      <c r="W107" s="35">
        <v>14.07</v>
      </c>
      <c r="X107" s="35">
        <v>14.07</v>
      </c>
      <c r="Y107" s="24">
        <f t="shared" si="17"/>
        <v>14.020000000000001</v>
      </c>
      <c r="Z107" s="35">
        <v>30.56</v>
      </c>
      <c r="AA107" s="35">
        <v>30.71</v>
      </c>
      <c r="AB107" s="35">
        <v>30.73</v>
      </c>
      <c r="AC107" s="24">
        <f t="shared" si="18"/>
        <v>30.666666666666668</v>
      </c>
      <c r="AD107" s="35">
        <v>40.21</v>
      </c>
      <c r="AE107" s="35">
        <v>40.31</v>
      </c>
      <c r="AF107" s="35">
        <v>40.25</v>
      </c>
      <c r="AG107" s="24">
        <f t="shared" si="19"/>
        <v>40.256666666666668</v>
      </c>
      <c r="AH107" s="35">
        <v>60.94</v>
      </c>
      <c r="AI107" s="35">
        <v>60.6</v>
      </c>
      <c r="AJ107" s="35">
        <v>60.56</v>
      </c>
      <c r="AK107" s="24">
        <f t="shared" si="20"/>
        <v>60.699999999999996</v>
      </c>
      <c r="AT107" s="10" t="s">
        <v>1251</v>
      </c>
      <c r="AU107">
        <v>8</v>
      </c>
      <c r="AV107" s="9">
        <v>7</v>
      </c>
      <c r="AW107" s="35">
        <v>30.77</v>
      </c>
      <c r="AX107" s="35">
        <v>30.77</v>
      </c>
      <c r="AY107" s="35">
        <v>30.73</v>
      </c>
      <c r="AZ107" s="24">
        <f t="shared" si="21"/>
        <v>30.756666666666664</v>
      </c>
      <c r="BA107" s="35">
        <v>40.35</v>
      </c>
      <c r="BB107" s="35">
        <v>40.380000000000003</v>
      </c>
      <c r="BC107" s="35">
        <v>40.47</v>
      </c>
      <c r="BD107" s="24">
        <f t="shared" si="22"/>
        <v>40.4</v>
      </c>
      <c r="BE107" s="35">
        <v>61.65</v>
      </c>
      <c r="BF107" s="35">
        <v>61.69</v>
      </c>
      <c r="BG107" s="35">
        <v>61.5</v>
      </c>
      <c r="BH107" s="24">
        <f t="shared" si="23"/>
        <v>61.613333333333337</v>
      </c>
      <c r="BI107" s="35">
        <v>48.31</v>
      </c>
      <c r="BJ107" s="35">
        <v>48.36</v>
      </c>
      <c r="BK107" s="35">
        <v>48.37</v>
      </c>
      <c r="BL107" s="24">
        <f t="shared" si="24"/>
        <v>48.346666666666664</v>
      </c>
      <c r="BM107" s="35">
        <v>47.55</v>
      </c>
      <c r="BN107" s="35">
        <v>47.89</v>
      </c>
      <c r="BO107" s="35">
        <v>47.81</v>
      </c>
      <c r="BP107" s="24">
        <f t="shared" si="25"/>
        <v>47.75</v>
      </c>
      <c r="BQ107" s="35">
        <v>35.57</v>
      </c>
      <c r="BR107" s="35">
        <v>35.47</v>
      </c>
      <c r="BS107" s="35">
        <v>35.619999999999997</v>
      </c>
      <c r="BT107" s="24">
        <f t="shared" si="26"/>
        <v>35.553333333333335</v>
      </c>
      <c r="BU107" s="35">
        <v>68.349999999999994</v>
      </c>
      <c r="BV107" s="35">
        <v>68.72</v>
      </c>
      <c r="BW107" s="35">
        <v>68.22</v>
      </c>
      <c r="BX107" s="24">
        <f t="shared" si="27"/>
        <v>68.429999999999993</v>
      </c>
      <c r="BY107" t="s">
        <v>1252</v>
      </c>
      <c r="BZ107" t="s">
        <v>1252</v>
      </c>
      <c r="CA107" t="s">
        <v>1252</v>
      </c>
      <c r="CB107" s="100">
        <v>43241</v>
      </c>
      <c r="CE107" s="35">
        <v>0.1</v>
      </c>
    </row>
    <row r="108" spans="1:86" x14ac:dyDescent="0.25">
      <c r="A108" t="s">
        <v>1481</v>
      </c>
      <c r="B108" s="260" t="s">
        <v>49</v>
      </c>
      <c r="C108" s="15">
        <v>84</v>
      </c>
      <c r="D108" s="35">
        <v>1662</v>
      </c>
      <c r="E108" s="15" t="s">
        <v>379</v>
      </c>
      <c r="F108" s="100">
        <v>43241</v>
      </c>
      <c r="G108" t="s">
        <v>1482</v>
      </c>
      <c r="H108" s="9" t="s">
        <v>1108</v>
      </c>
      <c r="I108" s="10">
        <v>1</v>
      </c>
      <c r="J108" s="10" t="s">
        <v>50</v>
      </c>
      <c r="K108">
        <v>576</v>
      </c>
      <c r="L108">
        <v>90</v>
      </c>
      <c r="M108" s="9">
        <f t="shared" si="15"/>
        <v>486</v>
      </c>
      <c r="N108" s="35">
        <v>192</v>
      </c>
      <c r="O108" s="35">
        <v>192</v>
      </c>
      <c r="P108" s="35">
        <v>193</v>
      </c>
      <c r="Q108" s="24">
        <f t="shared" si="16"/>
        <v>192.33333333333334</v>
      </c>
      <c r="R108" s="35">
        <v>246</v>
      </c>
      <c r="S108" s="35">
        <v>246</v>
      </c>
      <c r="T108" s="35">
        <v>246</v>
      </c>
      <c r="U108" s="24">
        <f t="shared" si="14"/>
        <v>246</v>
      </c>
      <c r="V108" s="35">
        <v>13.58</v>
      </c>
      <c r="W108" s="35">
        <v>13.89</v>
      </c>
      <c r="X108" s="35">
        <v>13.61</v>
      </c>
      <c r="Y108" s="24">
        <f t="shared" si="17"/>
        <v>13.693333333333333</v>
      </c>
      <c r="Z108" s="35">
        <v>34.159999999999997</v>
      </c>
      <c r="AA108" s="35">
        <v>34.35</v>
      </c>
      <c r="AB108" s="35">
        <v>34.03</v>
      </c>
      <c r="AC108" s="24">
        <f t="shared" si="18"/>
        <v>34.18</v>
      </c>
      <c r="AD108" s="35">
        <v>42.97</v>
      </c>
      <c r="AE108" s="35">
        <v>42.61</v>
      </c>
      <c r="AF108" s="35">
        <v>42.91</v>
      </c>
      <c r="AG108" s="24">
        <f t="shared" si="19"/>
        <v>42.830000000000005</v>
      </c>
      <c r="AH108" s="35">
        <v>67.56</v>
      </c>
      <c r="AI108" s="35">
        <v>67.78</v>
      </c>
      <c r="AJ108" s="35">
        <v>67.650000000000006</v>
      </c>
      <c r="AK108" s="24">
        <f t="shared" si="20"/>
        <v>67.663333333333341</v>
      </c>
      <c r="AL108" s="35">
        <v>19.23</v>
      </c>
      <c r="AM108" s="35">
        <v>19.29</v>
      </c>
      <c r="AN108" s="35">
        <v>19.12</v>
      </c>
      <c r="AP108" s="35">
        <v>25.02</v>
      </c>
      <c r="AQ108" s="35">
        <v>25.07</v>
      </c>
      <c r="AR108" s="35">
        <v>25</v>
      </c>
      <c r="AW108" s="35">
        <v>33.29</v>
      </c>
      <c r="AX108" s="35">
        <v>33.82</v>
      </c>
      <c r="AY108" s="35">
        <v>33.869999999999997</v>
      </c>
      <c r="AZ108" s="24">
        <f t="shared" si="21"/>
        <v>33.659999999999997</v>
      </c>
      <c r="BA108" s="35">
        <v>44.68</v>
      </c>
      <c r="BB108" s="35">
        <v>44.89</v>
      </c>
      <c r="BC108" s="35">
        <v>44.73</v>
      </c>
      <c r="BD108" s="24">
        <f t="shared" si="22"/>
        <v>44.766666666666659</v>
      </c>
      <c r="BE108" s="35">
        <v>67.150000000000006</v>
      </c>
      <c r="BF108" s="35">
        <v>67.12</v>
      </c>
      <c r="BG108" s="35">
        <v>67.47</v>
      </c>
      <c r="BH108" s="24">
        <f t="shared" si="23"/>
        <v>67.24666666666667</v>
      </c>
      <c r="BI108" s="35">
        <v>53.28</v>
      </c>
      <c r="BJ108" s="35">
        <v>53.21</v>
      </c>
      <c r="BK108" s="35">
        <v>53.51</v>
      </c>
      <c r="BL108" s="24">
        <f t="shared" si="24"/>
        <v>53.333333333333336</v>
      </c>
      <c r="BM108" s="35">
        <v>53.1</v>
      </c>
      <c r="BN108" s="35">
        <v>52.95</v>
      </c>
      <c r="BO108" s="35">
        <v>53.02</v>
      </c>
      <c r="BP108" s="24">
        <f t="shared" si="25"/>
        <v>53.023333333333341</v>
      </c>
      <c r="BQ108" s="35">
        <v>38.799999999999997</v>
      </c>
      <c r="BR108" s="35">
        <v>38.54</v>
      </c>
      <c r="BS108" s="35">
        <v>38.51</v>
      </c>
      <c r="BT108" s="24">
        <f t="shared" si="26"/>
        <v>38.616666666666667</v>
      </c>
      <c r="BU108" s="35">
        <v>72.91</v>
      </c>
      <c r="BV108" s="35">
        <v>72.849999999999994</v>
      </c>
      <c r="BW108" s="35">
        <v>72.89</v>
      </c>
      <c r="BX108" s="24">
        <f t="shared" si="27"/>
        <v>72.883333333333326</v>
      </c>
      <c r="BY108" t="s">
        <v>1252</v>
      </c>
      <c r="BZ108" t="s">
        <v>1252</v>
      </c>
      <c r="CA108" t="s">
        <v>1252</v>
      </c>
      <c r="CB108" s="100">
        <v>43241</v>
      </c>
      <c r="CE108" s="35">
        <v>0.4</v>
      </c>
    </row>
    <row r="109" spans="1:86" x14ac:dyDescent="0.25">
      <c r="A109" s="260" t="s">
        <v>1467</v>
      </c>
      <c r="B109" s="260" t="s">
        <v>1483</v>
      </c>
      <c r="C109" s="15" t="s">
        <v>379</v>
      </c>
      <c r="D109" s="35">
        <v>1655</v>
      </c>
      <c r="E109" s="15" t="s">
        <v>379</v>
      </c>
      <c r="F109" s="100">
        <v>43242</v>
      </c>
      <c r="G109" t="s">
        <v>1484</v>
      </c>
      <c r="H109" s="9" t="s">
        <v>1108</v>
      </c>
      <c r="I109" s="10">
        <v>1</v>
      </c>
      <c r="J109" s="10" t="s">
        <v>64</v>
      </c>
      <c r="K109">
        <v>309</v>
      </c>
      <c r="L109">
        <v>93</v>
      </c>
      <c r="M109" s="9">
        <f t="shared" si="15"/>
        <v>216</v>
      </c>
      <c r="N109" s="35">
        <v>158</v>
      </c>
      <c r="O109" s="35">
        <v>157</v>
      </c>
      <c r="P109" s="35">
        <v>157</v>
      </c>
      <c r="Q109" s="24">
        <f t="shared" si="16"/>
        <v>157.33333333333334</v>
      </c>
      <c r="R109" s="35">
        <v>228</v>
      </c>
      <c r="S109" s="35">
        <v>228</v>
      </c>
      <c r="T109" s="35">
        <v>229</v>
      </c>
      <c r="U109" s="24">
        <f t="shared" si="14"/>
        <v>228.33333333333334</v>
      </c>
      <c r="V109" s="35">
        <v>10.69</v>
      </c>
      <c r="W109" s="35">
        <v>10.3</v>
      </c>
      <c r="X109" s="35">
        <v>10.53</v>
      </c>
      <c r="Y109" s="24">
        <f t="shared" si="17"/>
        <v>10.506666666666668</v>
      </c>
      <c r="Z109" s="35">
        <v>30.07</v>
      </c>
      <c r="AA109" s="35">
        <v>30.04</v>
      </c>
      <c r="AB109" s="35">
        <v>30.05</v>
      </c>
      <c r="AC109" s="24">
        <f t="shared" si="18"/>
        <v>30.053333333333331</v>
      </c>
      <c r="AD109" s="35">
        <v>40.65</v>
      </c>
      <c r="AE109" s="35">
        <v>40.57</v>
      </c>
      <c r="AF109" s="35">
        <v>40.78</v>
      </c>
      <c r="AG109" s="24">
        <f t="shared" si="19"/>
        <v>40.666666666666664</v>
      </c>
      <c r="AH109" s="35">
        <v>58.28</v>
      </c>
      <c r="AI109" s="35">
        <v>58.36</v>
      </c>
      <c r="AJ109" s="35">
        <v>58.44</v>
      </c>
      <c r="AK109" s="24">
        <f t="shared" si="20"/>
        <v>58.359999999999992</v>
      </c>
      <c r="AT109" s="10" t="s">
        <v>1258</v>
      </c>
      <c r="AU109">
        <v>8</v>
      </c>
      <c r="AV109" s="9">
        <v>0</v>
      </c>
      <c r="AW109" s="35">
        <v>30.19</v>
      </c>
      <c r="AX109" s="35">
        <v>30.16</v>
      </c>
      <c r="AY109" s="35">
        <v>30.13</v>
      </c>
      <c r="AZ109" s="24">
        <f t="shared" si="21"/>
        <v>30.16</v>
      </c>
      <c r="BA109" s="35">
        <v>40.409999999999997</v>
      </c>
      <c r="BB109" s="35">
        <v>40.56</v>
      </c>
      <c r="BC109" s="35">
        <v>40.549999999999997</v>
      </c>
      <c r="BD109" s="24">
        <f t="shared" si="22"/>
        <v>40.506666666666668</v>
      </c>
      <c r="BE109" s="35">
        <v>58.68</v>
      </c>
      <c r="BF109" s="35">
        <v>58.73</v>
      </c>
      <c r="BG109" s="35">
        <v>58.77</v>
      </c>
      <c r="BH109" s="24">
        <f t="shared" si="23"/>
        <v>58.726666666666667</v>
      </c>
      <c r="BI109" s="35">
        <v>44.31</v>
      </c>
      <c r="BJ109" s="35">
        <v>44.45</v>
      </c>
      <c r="BK109" s="35">
        <v>44.34</v>
      </c>
      <c r="BL109" s="24">
        <f t="shared" si="24"/>
        <v>44.366666666666674</v>
      </c>
      <c r="BM109" s="35">
        <v>44.43</v>
      </c>
      <c r="BN109" s="35">
        <v>44.35</v>
      </c>
      <c r="BO109" s="35">
        <v>44.32</v>
      </c>
      <c r="BP109" s="24">
        <f t="shared" si="25"/>
        <v>44.366666666666667</v>
      </c>
      <c r="BQ109" s="35">
        <v>31.4</v>
      </c>
      <c r="BR109" s="35">
        <v>31.68</v>
      </c>
      <c r="BS109" s="35">
        <v>31.65</v>
      </c>
      <c r="BT109" s="24">
        <f t="shared" si="26"/>
        <v>31.576666666666664</v>
      </c>
      <c r="BU109" s="35">
        <v>61.86</v>
      </c>
      <c r="BV109" s="35">
        <v>61.86</v>
      </c>
      <c r="BW109" s="35">
        <v>61.43</v>
      </c>
      <c r="BX109" s="24">
        <f t="shared" si="27"/>
        <v>61.716666666666669</v>
      </c>
      <c r="BY109" t="s">
        <v>1264</v>
      </c>
      <c r="BZ109" t="s">
        <v>1264</v>
      </c>
      <c r="CA109" t="s">
        <v>1264</v>
      </c>
      <c r="CB109" s="100">
        <v>43242</v>
      </c>
      <c r="CE109" s="264" t="s">
        <v>202</v>
      </c>
    </row>
    <row r="110" spans="1:86" x14ac:dyDescent="0.25">
      <c r="A110" t="s">
        <v>1485</v>
      </c>
      <c r="B110" s="260" t="s">
        <v>49</v>
      </c>
      <c r="C110" s="15">
        <v>85</v>
      </c>
      <c r="D110" s="35">
        <v>1665</v>
      </c>
      <c r="E110" s="15" t="s">
        <v>379</v>
      </c>
      <c r="F110" s="100">
        <v>43242</v>
      </c>
      <c r="G110" t="s">
        <v>1142</v>
      </c>
      <c r="H110" s="9" t="s">
        <v>1108</v>
      </c>
      <c r="I110" s="10">
        <v>3</v>
      </c>
      <c r="J110" s="10" t="s">
        <v>64</v>
      </c>
      <c r="K110">
        <v>398</v>
      </c>
      <c r="L110">
        <v>94</v>
      </c>
      <c r="M110" s="9">
        <f t="shared" si="15"/>
        <v>304</v>
      </c>
      <c r="N110" s="35">
        <v>164</v>
      </c>
      <c r="O110" s="35">
        <v>164</v>
      </c>
      <c r="P110" s="35">
        <v>164</v>
      </c>
      <c r="Q110" s="24">
        <f t="shared" si="16"/>
        <v>164</v>
      </c>
      <c r="R110" s="35">
        <v>222</v>
      </c>
      <c r="S110" s="35">
        <v>222</v>
      </c>
      <c r="T110" s="35">
        <v>222</v>
      </c>
      <c r="U110" s="24">
        <f t="shared" si="14"/>
        <v>222</v>
      </c>
      <c r="V110" s="35">
        <v>11.54</v>
      </c>
      <c r="W110" s="35">
        <v>11.33</v>
      </c>
      <c r="X110" s="35">
        <v>11.16</v>
      </c>
      <c r="Y110" s="24">
        <f t="shared" si="17"/>
        <v>11.343333333333334</v>
      </c>
      <c r="Z110" s="35">
        <v>31.14</v>
      </c>
      <c r="AA110" s="35">
        <v>31.09</v>
      </c>
      <c r="AB110" s="35">
        <v>31.14</v>
      </c>
      <c r="AC110" s="24">
        <f t="shared" si="18"/>
        <v>31.123333333333335</v>
      </c>
      <c r="AD110" s="35">
        <v>40.299999999999997</v>
      </c>
      <c r="AE110" s="35">
        <v>40.21</v>
      </c>
      <c r="AF110" s="35">
        <v>40.29</v>
      </c>
      <c r="AG110" s="24">
        <f t="shared" si="19"/>
        <v>40.266666666666659</v>
      </c>
      <c r="AH110" s="35">
        <v>30.53</v>
      </c>
      <c r="AI110" s="35">
        <v>30.55</v>
      </c>
      <c r="AJ110" s="35">
        <v>30.73</v>
      </c>
      <c r="AK110" s="24">
        <f t="shared" si="20"/>
        <v>30.603333333333335</v>
      </c>
      <c r="AT110" s="10" t="s">
        <v>1251</v>
      </c>
      <c r="AU110">
        <v>8</v>
      </c>
      <c r="AV110" s="9">
        <v>7</v>
      </c>
      <c r="AW110" s="35">
        <v>31.1</v>
      </c>
      <c r="AX110" s="35">
        <v>31.14</v>
      </c>
      <c r="AY110" s="35">
        <v>31.19</v>
      </c>
      <c r="AZ110" s="24">
        <f t="shared" si="21"/>
        <v>31.143333333333334</v>
      </c>
      <c r="BA110" s="35">
        <v>40.130000000000003</v>
      </c>
      <c r="BB110" s="35">
        <v>40.06</v>
      </c>
      <c r="BC110" s="35">
        <v>40.11</v>
      </c>
      <c r="BD110" s="24">
        <f t="shared" si="22"/>
        <v>40.1</v>
      </c>
      <c r="BE110" s="35">
        <v>60.76</v>
      </c>
      <c r="BF110" s="35">
        <v>60.66</v>
      </c>
      <c r="BG110" s="35">
        <v>60.81</v>
      </c>
      <c r="BH110" s="24">
        <f t="shared" si="23"/>
        <v>60.743333333333332</v>
      </c>
      <c r="BI110" s="35">
        <v>47.27</v>
      </c>
      <c r="BJ110" s="35">
        <v>47.27</v>
      </c>
      <c r="BK110" s="35">
        <v>47.39</v>
      </c>
      <c r="BL110" s="24">
        <f t="shared" si="24"/>
        <v>47.31</v>
      </c>
      <c r="BM110" s="35">
        <v>47.84</v>
      </c>
      <c r="BN110" s="35">
        <v>47.83</v>
      </c>
      <c r="BO110" s="35">
        <v>47.87</v>
      </c>
      <c r="BP110" s="24">
        <f t="shared" si="25"/>
        <v>47.846666666666664</v>
      </c>
      <c r="BQ110" s="35">
        <v>36.07</v>
      </c>
      <c r="BR110" s="35">
        <v>36.14</v>
      </c>
      <c r="BS110" s="35">
        <v>36.049999999999997</v>
      </c>
      <c r="BT110" s="24">
        <f t="shared" si="26"/>
        <v>36.086666666666666</v>
      </c>
      <c r="BU110" s="35">
        <v>66.83</v>
      </c>
      <c r="BV110" s="35">
        <v>66.900000000000006</v>
      </c>
      <c r="BW110" s="35">
        <v>66.81</v>
      </c>
      <c r="BX110" s="24">
        <f t="shared" si="27"/>
        <v>66.846666666666678</v>
      </c>
      <c r="BY110" t="s">
        <v>1252</v>
      </c>
      <c r="BZ110" t="s">
        <v>1252</v>
      </c>
      <c r="CA110" t="s">
        <v>1252</v>
      </c>
      <c r="CB110" s="100">
        <v>43242</v>
      </c>
      <c r="CE110" s="35">
        <v>0.8</v>
      </c>
      <c r="CH110" t="s">
        <v>1486</v>
      </c>
    </row>
    <row r="111" spans="1:86" x14ac:dyDescent="0.25">
      <c r="A111" s="260" t="s">
        <v>338</v>
      </c>
      <c r="B111" s="260" t="s">
        <v>49</v>
      </c>
      <c r="C111" s="15">
        <v>86</v>
      </c>
      <c r="D111" s="35">
        <v>1666</v>
      </c>
      <c r="E111" s="15" t="s">
        <v>379</v>
      </c>
      <c r="F111" s="100">
        <v>43242</v>
      </c>
      <c r="G111" t="s">
        <v>1487</v>
      </c>
      <c r="H111" s="9" t="s">
        <v>1108</v>
      </c>
      <c r="I111" s="10">
        <v>1</v>
      </c>
      <c r="J111" s="10" t="s">
        <v>64</v>
      </c>
      <c r="K111">
        <v>463</v>
      </c>
      <c r="L111">
        <v>94</v>
      </c>
      <c r="M111" s="9">
        <f t="shared" si="15"/>
        <v>369</v>
      </c>
      <c r="N111" s="35">
        <v>185</v>
      </c>
      <c r="O111" s="35">
        <v>185</v>
      </c>
      <c r="P111" s="35">
        <v>185</v>
      </c>
      <c r="Q111" s="24">
        <f t="shared" si="16"/>
        <v>185</v>
      </c>
      <c r="R111" s="35">
        <v>216</v>
      </c>
      <c r="S111" s="35">
        <v>215</v>
      </c>
      <c r="T111" s="35">
        <v>215</v>
      </c>
      <c r="U111" s="24">
        <f t="shared" si="14"/>
        <v>215.33333333333334</v>
      </c>
      <c r="V111" s="35">
        <v>14.96</v>
      </c>
      <c r="W111" s="35">
        <v>15.05</v>
      </c>
      <c r="X111" s="35">
        <v>15.15</v>
      </c>
      <c r="Y111" s="24">
        <f t="shared" si="17"/>
        <v>15.053333333333335</v>
      </c>
      <c r="Z111" s="35">
        <v>28.45</v>
      </c>
      <c r="AA111" s="35">
        <v>28.66</v>
      </c>
      <c r="AB111" s="35">
        <v>28.63</v>
      </c>
      <c r="AC111" s="24">
        <f t="shared" si="18"/>
        <v>28.58</v>
      </c>
      <c r="AD111" s="35">
        <v>39.78</v>
      </c>
      <c r="AE111" s="35">
        <v>39.840000000000003</v>
      </c>
      <c r="AF111" s="35">
        <v>39.92</v>
      </c>
      <c r="AG111" s="24">
        <f t="shared" si="19"/>
        <v>39.846666666666671</v>
      </c>
      <c r="AH111" s="35">
        <v>58.68</v>
      </c>
      <c r="AI111" s="35">
        <v>58.78</v>
      </c>
      <c r="AJ111" s="35">
        <v>58.8</v>
      </c>
      <c r="AK111" s="24">
        <f t="shared" si="20"/>
        <v>58.75333333333333</v>
      </c>
      <c r="AT111" s="10" t="s">
        <v>1258</v>
      </c>
      <c r="AU111">
        <v>8</v>
      </c>
      <c r="AV111" s="9">
        <v>0</v>
      </c>
      <c r="AW111" s="35">
        <v>29.25</v>
      </c>
      <c r="AX111" s="35">
        <v>29.25</v>
      </c>
      <c r="AY111" s="35">
        <v>29.53</v>
      </c>
      <c r="AZ111" s="24">
        <f t="shared" si="21"/>
        <v>29.343333333333334</v>
      </c>
      <c r="BA111" s="35">
        <v>38.68</v>
      </c>
      <c r="BB111" s="35">
        <v>38.51</v>
      </c>
      <c r="BC111" s="35">
        <v>38.479999999999997</v>
      </c>
      <c r="BD111" s="24">
        <f t="shared" si="22"/>
        <v>38.556666666666665</v>
      </c>
      <c r="BE111" s="35">
        <v>59.92</v>
      </c>
      <c r="BF111" s="35">
        <v>59.91</v>
      </c>
      <c r="BG111" s="35">
        <v>60.03</v>
      </c>
      <c r="BH111" s="24">
        <f t="shared" si="23"/>
        <v>59.95333333333334</v>
      </c>
      <c r="BI111" s="35">
        <v>47.17</v>
      </c>
      <c r="BJ111" s="35">
        <v>47.1</v>
      </c>
      <c r="BK111" s="35">
        <v>47</v>
      </c>
      <c r="BL111" s="24">
        <f t="shared" si="24"/>
        <v>47.09</v>
      </c>
      <c r="BM111" s="35">
        <v>47.2</v>
      </c>
      <c r="BN111" s="35">
        <v>47.11</v>
      </c>
      <c r="BO111" s="35">
        <v>47.12</v>
      </c>
      <c r="BP111" s="24">
        <f t="shared" si="25"/>
        <v>47.143333333333338</v>
      </c>
      <c r="BQ111" s="35">
        <v>37.619999999999997</v>
      </c>
      <c r="BR111" s="35">
        <v>37.64</v>
      </c>
      <c r="BS111" s="35">
        <v>37.700000000000003</v>
      </c>
      <c r="BT111" s="24">
        <f t="shared" si="26"/>
        <v>37.653333333333329</v>
      </c>
      <c r="BU111" s="35">
        <v>64.28</v>
      </c>
      <c r="BV111" s="35">
        <v>64.16</v>
      </c>
      <c r="BW111" s="35">
        <v>64.19</v>
      </c>
      <c r="BX111" s="24">
        <f t="shared" si="27"/>
        <v>64.209999999999994</v>
      </c>
      <c r="BY111" t="s">
        <v>1252</v>
      </c>
      <c r="BZ111" t="s">
        <v>1252</v>
      </c>
      <c r="CA111" t="s">
        <v>1252</v>
      </c>
      <c r="CB111" s="100">
        <v>43242</v>
      </c>
      <c r="CE111" s="35">
        <v>1</v>
      </c>
      <c r="CH111" t="s">
        <v>1488</v>
      </c>
    </row>
    <row r="112" spans="1:86" x14ac:dyDescent="0.25">
      <c r="A112" t="s">
        <v>1489</v>
      </c>
      <c r="B112" s="260" t="s">
        <v>49</v>
      </c>
      <c r="C112" s="15">
        <v>87</v>
      </c>
      <c r="D112" s="35">
        <v>1667</v>
      </c>
      <c r="E112" s="15" t="s">
        <v>379</v>
      </c>
      <c r="F112" s="100">
        <v>43242</v>
      </c>
      <c r="G112" t="s">
        <v>1474</v>
      </c>
      <c r="H112" s="9" t="s">
        <v>1108</v>
      </c>
      <c r="I112" s="10">
        <v>1</v>
      </c>
      <c r="J112" s="10" t="s">
        <v>50</v>
      </c>
      <c r="K112">
        <v>473</v>
      </c>
      <c r="L112">
        <v>93</v>
      </c>
      <c r="M112" s="9">
        <f t="shared" si="15"/>
        <v>380</v>
      </c>
      <c r="N112" s="35">
        <v>190</v>
      </c>
      <c r="O112" s="35">
        <v>190</v>
      </c>
      <c r="P112" s="35">
        <v>190</v>
      </c>
      <c r="Q112" s="24">
        <f t="shared" si="16"/>
        <v>190</v>
      </c>
      <c r="R112" s="35">
        <v>245</v>
      </c>
      <c r="S112" s="35">
        <v>245</v>
      </c>
      <c r="T112" s="35">
        <v>245</v>
      </c>
      <c r="U112" s="24">
        <f t="shared" si="14"/>
        <v>245</v>
      </c>
      <c r="V112" s="35">
        <v>13.01</v>
      </c>
      <c r="W112" s="35">
        <v>13.02</v>
      </c>
      <c r="X112" s="35">
        <v>12.94</v>
      </c>
      <c r="Y112" s="24">
        <f t="shared" si="17"/>
        <v>12.99</v>
      </c>
      <c r="Z112" s="35">
        <v>32.799999999999997</v>
      </c>
      <c r="AA112" s="35">
        <v>32.67</v>
      </c>
      <c r="AB112" s="35">
        <v>32.700000000000003</v>
      </c>
      <c r="AC112" s="24">
        <f t="shared" si="18"/>
        <v>32.723333333333336</v>
      </c>
      <c r="AD112" s="35">
        <v>43.95</v>
      </c>
      <c r="AE112" s="35">
        <v>43.53</v>
      </c>
      <c r="AF112" s="35">
        <v>43.47</v>
      </c>
      <c r="AG112" s="24">
        <f t="shared" si="19"/>
        <v>43.65</v>
      </c>
      <c r="AH112" s="35">
        <v>65.89</v>
      </c>
      <c r="AI112" s="35">
        <v>65.849999999999994</v>
      </c>
      <c r="AJ112" s="35">
        <v>65.790000000000006</v>
      </c>
      <c r="AK112" s="24">
        <f t="shared" si="20"/>
        <v>65.843333333333348</v>
      </c>
      <c r="AL112" s="35">
        <v>16.59</v>
      </c>
      <c r="AM112" s="35">
        <v>16.46</v>
      </c>
      <c r="AN112" s="35">
        <v>16.45</v>
      </c>
      <c r="AP112" s="35">
        <v>24.02</v>
      </c>
      <c r="AQ112" s="35">
        <v>23.91</v>
      </c>
      <c r="AR112" s="35">
        <v>24</v>
      </c>
      <c r="AW112" s="35">
        <v>33.520000000000003</v>
      </c>
      <c r="AX112" s="35">
        <v>33.33</v>
      </c>
      <c r="AY112" s="35">
        <v>33.19</v>
      </c>
      <c r="AZ112" s="24">
        <f t="shared" si="21"/>
        <v>33.346666666666664</v>
      </c>
      <c r="BA112" s="35">
        <v>42.97</v>
      </c>
      <c r="BB112" s="35">
        <v>43.05</v>
      </c>
      <c r="BC112" s="35">
        <v>43</v>
      </c>
      <c r="BD112" s="24">
        <f t="shared" si="22"/>
        <v>43.006666666666661</v>
      </c>
      <c r="BE112" s="35">
        <v>66.44</v>
      </c>
      <c r="BF112" s="35">
        <v>66.42</v>
      </c>
      <c r="BG112" s="35">
        <v>66.44</v>
      </c>
      <c r="BH112" s="24">
        <f t="shared" si="23"/>
        <v>66.433333333333337</v>
      </c>
      <c r="BI112" s="35">
        <v>52.94</v>
      </c>
      <c r="BJ112" s="35">
        <v>52.93</v>
      </c>
      <c r="BK112" s="35">
        <v>53</v>
      </c>
      <c r="BL112" s="24">
        <f t="shared" si="24"/>
        <v>52.956666666666671</v>
      </c>
      <c r="BM112" s="35">
        <v>52.91</v>
      </c>
      <c r="BN112" s="35">
        <v>52.94</v>
      </c>
      <c r="BO112" s="35">
        <v>52.92</v>
      </c>
      <c r="BP112" s="24">
        <f t="shared" si="25"/>
        <v>52.923333333333325</v>
      </c>
      <c r="BQ112" s="35">
        <v>38.08</v>
      </c>
      <c r="BR112" s="35">
        <v>38.47</v>
      </c>
      <c r="BS112" s="35">
        <v>38.49</v>
      </c>
      <c r="BT112" s="24">
        <f t="shared" si="26"/>
        <v>38.346666666666664</v>
      </c>
      <c r="BU112" s="35">
        <v>71.05</v>
      </c>
      <c r="BV112" s="35">
        <v>71.23</v>
      </c>
      <c r="BW112" s="35">
        <v>71.260000000000005</v>
      </c>
      <c r="BX112" s="24">
        <f t="shared" si="27"/>
        <v>71.180000000000007</v>
      </c>
      <c r="BY112" t="s">
        <v>1252</v>
      </c>
      <c r="BZ112" t="s">
        <v>1252</v>
      </c>
      <c r="CA112" t="s">
        <v>1252</v>
      </c>
      <c r="CB112" s="100">
        <v>43242</v>
      </c>
      <c r="CE112" s="35">
        <v>0.8</v>
      </c>
    </row>
    <row r="113" spans="1:86" x14ac:dyDescent="0.25">
      <c r="A113" s="260" t="s">
        <v>1490</v>
      </c>
      <c r="B113" s="260" t="s">
        <v>49</v>
      </c>
      <c r="C113" s="15">
        <v>88</v>
      </c>
      <c r="D113" s="35">
        <v>1668</v>
      </c>
      <c r="E113" s="15" t="s">
        <v>379</v>
      </c>
      <c r="F113" s="100">
        <v>43242</v>
      </c>
      <c r="G113" t="s">
        <v>1458</v>
      </c>
      <c r="H113" s="9" t="s">
        <v>1111</v>
      </c>
      <c r="I113" s="10">
        <v>1</v>
      </c>
      <c r="J113" s="10" t="s">
        <v>50</v>
      </c>
      <c r="K113">
        <v>459</v>
      </c>
      <c r="L113">
        <v>94</v>
      </c>
      <c r="M113" s="9">
        <f t="shared" si="15"/>
        <v>365</v>
      </c>
      <c r="N113" s="35">
        <v>198</v>
      </c>
      <c r="O113" s="35">
        <v>197</v>
      </c>
      <c r="P113" s="35">
        <v>198</v>
      </c>
      <c r="Q113" s="24">
        <f t="shared" si="16"/>
        <v>197.66666666666666</v>
      </c>
      <c r="R113" s="35">
        <v>245</v>
      </c>
      <c r="S113" s="35">
        <v>245</v>
      </c>
      <c r="T113" s="35">
        <v>244</v>
      </c>
      <c r="U113" s="24">
        <f t="shared" si="14"/>
        <v>244.66666666666666</v>
      </c>
      <c r="V113" s="35">
        <v>11.64</v>
      </c>
      <c r="W113" s="35">
        <v>11.95</v>
      </c>
      <c r="X113" s="35">
        <v>11.89</v>
      </c>
      <c r="Y113" s="24">
        <f t="shared" si="17"/>
        <v>11.826666666666668</v>
      </c>
      <c r="Z113" s="35">
        <v>32.14</v>
      </c>
      <c r="AA113" s="35">
        <v>32.06</v>
      </c>
      <c r="AB113" s="35">
        <v>32.19</v>
      </c>
      <c r="AC113" s="24">
        <f t="shared" si="18"/>
        <v>32.130000000000003</v>
      </c>
      <c r="AD113" s="35">
        <v>42.81</v>
      </c>
      <c r="AE113" s="35">
        <v>42.6</v>
      </c>
      <c r="AF113" s="35">
        <v>42.7</v>
      </c>
      <c r="AG113" s="24">
        <f t="shared" si="19"/>
        <v>42.70333333333334</v>
      </c>
      <c r="AH113" s="35">
        <v>64.400000000000006</v>
      </c>
      <c r="AI113" s="35">
        <v>64.47</v>
      </c>
      <c r="AJ113" s="35">
        <v>64.41</v>
      </c>
      <c r="AK113" s="24">
        <f t="shared" si="20"/>
        <v>64.426666666666662</v>
      </c>
      <c r="AL113" s="35">
        <v>18.11</v>
      </c>
      <c r="AM113" s="35">
        <v>18.3</v>
      </c>
      <c r="AN113" s="35">
        <v>18.100000000000001</v>
      </c>
      <c r="AP113" s="35">
        <v>24.05</v>
      </c>
      <c r="AQ113" s="35">
        <v>24.07</v>
      </c>
      <c r="AR113" s="35">
        <v>24.02</v>
      </c>
      <c r="AW113" s="35">
        <v>33.29</v>
      </c>
      <c r="AX113" s="35">
        <v>33.07</v>
      </c>
      <c r="AY113" s="35">
        <v>33.090000000000003</v>
      </c>
      <c r="AZ113" s="24">
        <f t="shared" si="21"/>
        <v>33.15</v>
      </c>
      <c r="BA113" s="35">
        <v>43.35</v>
      </c>
      <c r="BB113" s="35">
        <v>43.4</v>
      </c>
      <c r="BC113" s="35">
        <v>43.24</v>
      </c>
      <c r="BD113" s="24">
        <f t="shared" si="22"/>
        <v>43.330000000000005</v>
      </c>
      <c r="BE113" s="35">
        <v>66.95</v>
      </c>
      <c r="BF113" s="35">
        <v>66.83</v>
      </c>
      <c r="BG113" s="35">
        <v>66.89</v>
      </c>
      <c r="BH113" s="24">
        <f t="shared" si="23"/>
        <v>66.89</v>
      </c>
      <c r="BI113" s="35">
        <v>51.78</v>
      </c>
      <c r="BJ113" s="35">
        <v>51.84</v>
      </c>
      <c r="BK113" s="35">
        <v>51.7</v>
      </c>
      <c r="BL113" s="24">
        <f t="shared" si="24"/>
        <v>51.773333333333333</v>
      </c>
      <c r="BM113" s="35">
        <v>51.78</v>
      </c>
      <c r="BN113" s="35">
        <v>51.82</v>
      </c>
      <c r="BO113" s="35">
        <v>51.86</v>
      </c>
      <c r="BP113" s="24">
        <f t="shared" si="25"/>
        <v>51.819999999999993</v>
      </c>
      <c r="BQ113" s="35">
        <v>37.630000000000003</v>
      </c>
      <c r="BR113" s="35">
        <v>37.67</v>
      </c>
      <c r="BS113" s="35">
        <v>37.630000000000003</v>
      </c>
      <c r="BT113" s="24">
        <f t="shared" si="26"/>
        <v>37.643333333333338</v>
      </c>
      <c r="BU113" s="35">
        <v>69.709999999999994</v>
      </c>
      <c r="BV113" s="35">
        <v>69.599999999999994</v>
      </c>
      <c r="BW113" s="35">
        <v>69.599999999999994</v>
      </c>
      <c r="BX113" s="24">
        <f t="shared" si="27"/>
        <v>69.63666666666667</v>
      </c>
      <c r="BY113" t="s">
        <v>1252</v>
      </c>
      <c r="BZ113" t="s">
        <v>1252</v>
      </c>
      <c r="CA113" t="s">
        <v>1252</v>
      </c>
      <c r="CB113" s="100">
        <v>43242</v>
      </c>
      <c r="CE113" s="12">
        <v>0.7</v>
      </c>
    </row>
    <row r="114" spans="1:86" x14ac:dyDescent="0.25">
      <c r="A114" t="s">
        <v>1491</v>
      </c>
      <c r="B114" s="260" t="s">
        <v>49</v>
      </c>
      <c r="C114" s="15">
        <v>89</v>
      </c>
      <c r="D114" s="35">
        <v>1669</v>
      </c>
      <c r="E114" s="15" t="s">
        <v>379</v>
      </c>
      <c r="F114" s="100">
        <v>43242</v>
      </c>
      <c r="G114" t="s">
        <v>1492</v>
      </c>
      <c r="H114" s="9" t="s">
        <v>1111</v>
      </c>
      <c r="I114" s="10">
        <v>3</v>
      </c>
      <c r="J114" s="10" t="s">
        <v>64</v>
      </c>
      <c r="K114">
        <v>453</v>
      </c>
      <c r="L114">
        <v>91</v>
      </c>
      <c r="M114" s="9">
        <f t="shared" si="15"/>
        <v>362</v>
      </c>
      <c r="N114" s="35">
        <v>181</v>
      </c>
      <c r="O114" s="35">
        <v>182</v>
      </c>
      <c r="P114" s="35">
        <v>181</v>
      </c>
      <c r="Q114" s="24">
        <f t="shared" si="16"/>
        <v>181.33333333333334</v>
      </c>
      <c r="R114" s="35">
        <v>224</v>
      </c>
      <c r="S114" s="35">
        <v>224</v>
      </c>
      <c r="T114" s="35">
        <v>224</v>
      </c>
      <c r="U114" s="24">
        <f t="shared" si="14"/>
        <v>224</v>
      </c>
      <c r="V114" s="35">
        <v>12.44</v>
      </c>
      <c r="W114" s="35">
        <v>12.47</v>
      </c>
      <c r="X114" s="35">
        <v>12.33</v>
      </c>
      <c r="Y114" s="24">
        <f t="shared" si="17"/>
        <v>12.413333333333334</v>
      </c>
      <c r="Z114" s="35">
        <v>28.82</v>
      </c>
      <c r="AA114" s="35">
        <v>28.59</v>
      </c>
      <c r="AB114" s="35">
        <v>28.61</v>
      </c>
      <c r="AC114" s="24">
        <f t="shared" si="18"/>
        <v>28.673333333333332</v>
      </c>
      <c r="AD114" s="35">
        <v>38.090000000000003</v>
      </c>
      <c r="AE114" s="35">
        <v>38.01</v>
      </c>
      <c r="AF114" s="35">
        <v>38.020000000000003</v>
      </c>
      <c r="AG114" s="24">
        <f t="shared" si="19"/>
        <v>38.04</v>
      </c>
      <c r="AH114" s="35">
        <v>60.48</v>
      </c>
      <c r="AI114" s="35">
        <v>60.52</v>
      </c>
      <c r="AJ114" s="35">
        <v>60.41</v>
      </c>
      <c r="AK114" s="24">
        <f t="shared" si="20"/>
        <v>60.47</v>
      </c>
      <c r="AT114" s="10" t="s">
        <v>1251</v>
      </c>
      <c r="AU114">
        <v>8</v>
      </c>
      <c r="AV114" s="9">
        <v>6</v>
      </c>
      <c r="AW114" s="35">
        <v>29.47</v>
      </c>
      <c r="AX114" s="35">
        <v>29.48</v>
      </c>
      <c r="AY114" s="35">
        <v>29.19</v>
      </c>
      <c r="AZ114" s="24">
        <f t="shared" si="21"/>
        <v>29.38</v>
      </c>
      <c r="BA114" s="35">
        <v>38.08</v>
      </c>
      <c r="BB114" s="35">
        <v>38.04</v>
      </c>
      <c r="BC114" s="35">
        <v>38.06</v>
      </c>
      <c r="BD114" s="24">
        <f t="shared" si="22"/>
        <v>38.06</v>
      </c>
      <c r="BE114" s="35">
        <v>61.48</v>
      </c>
      <c r="BF114" s="35">
        <v>61.32</v>
      </c>
      <c r="BG114" s="35">
        <v>61.42</v>
      </c>
      <c r="BH114" s="24">
        <f t="shared" si="23"/>
        <v>61.406666666666666</v>
      </c>
      <c r="BI114" s="35">
        <v>45.91</v>
      </c>
      <c r="BJ114" s="35">
        <v>45.76</v>
      </c>
      <c r="BK114" s="35">
        <v>45.77</v>
      </c>
      <c r="BL114" s="24">
        <f t="shared" si="24"/>
        <v>45.813333333333333</v>
      </c>
      <c r="BM114" s="35">
        <v>46.67</v>
      </c>
      <c r="BN114" s="35">
        <v>46.39</v>
      </c>
      <c r="BO114" s="35">
        <v>46.82</v>
      </c>
      <c r="BP114" s="24">
        <f t="shared" si="25"/>
        <v>46.626666666666665</v>
      </c>
      <c r="BQ114">
        <v>36.69</v>
      </c>
      <c r="BR114" s="35">
        <v>36.770000000000003</v>
      </c>
      <c r="BS114" s="35">
        <v>36.61</v>
      </c>
      <c r="BT114" s="24">
        <f t="shared" si="26"/>
        <v>36.690000000000005</v>
      </c>
      <c r="BU114" s="35">
        <v>68.31</v>
      </c>
      <c r="BV114" s="35">
        <v>68.36</v>
      </c>
      <c r="BW114" s="35">
        <v>68.680000000000007</v>
      </c>
      <c r="BX114" s="24">
        <f t="shared" si="27"/>
        <v>68.45</v>
      </c>
      <c r="BY114" t="s">
        <v>1252</v>
      </c>
      <c r="BZ114" t="s">
        <v>1252</v>
      </c>
      <c r="CA114" t="s">
        <v>1252</v>
      </c>
      <c r="CB114" s="100">
        <v>43242</v>
      </c>
      <c r="CE114" s="12">
        <v>0.9</v>
      </c>
    </row>
    <row r="115" spans="1:86" x14ac:dyDescent="0.25">
      <c r="A115" s="260" t="s">
        <v>1493</v>
      </c>
      <c r="B115" s="260" t="s">
        <v>49</v>
      </c>
      <c r="C115" s="15">
        <v>90</v>
      </c>
      <c r="D115" s="35">
        <v>1674</v>
      </c>
      <c r="E115" s="15" t="s">
        <v>379</v>
      </c>
      <c r="F115" s="100">
        <v>43243</v>
      </c>
      <c r="G115" t="s">
        <v>1494</v>
      </c>
      <c r="H115" s="9" t="s">
        <v>1111</v>
      </c>
      <c r="I115" s="10">
        <v>1</v>
      </c>
      <c r="J115" s="10" t="s">
        <v>64</v>
      </c>
      <c r="K115">
        <v>333</v>
      </c>
      <c r="L115">
        <v>88</v>
      </c>
      <c r="M115" s="9">
        <f t="shared" si="15"/>
        <v>245</v>
      </c>
      <c r="N115" s="35">
        <v>162</v>
      </c>
      <c r="O115" s="35">
        <v>162</v>
      </c>
      <c r="P115" s="35">
        <v>162</v>
      </c>
      <c r="Q115" s="24">
        <f t="shared" si="16"/>
        <v>162</v>
      </c>
      <c r="R115" s="35">
        <v>224</v>
      </c>
      <c r="S115" s="35">
        <v>223</v>
      </c>
      <c r="T115" s="35">
        <v>223</v>
      </c>
      <c r="U115" s="24">
        <f t="shared" si="14"/>
        <v>223.33333333333334</v>
      </c>
      <c r="V115" s="35">
        <v>10.17</v>
      </c>
      <c r="W115" s="35">
        <v>10.130000000000001</v>
      </c>
      <c r="X115" s="35">
        <v>10.3</v>
      </c>
      <c r="Y115" s="24">
        <f t="shared" si="17"/>
        <v>10.200000000000001</v>
      </c>
      <c r="Z115" s="35">
        <v>31.64</v>
      </c>
      <c r="AA115" s="35">
        <v>31.44</v>
      </c>
      <c r="AB115" s="35">
        <v>31.62</v>
      </c>
      <c r="AC115" s="24">
        <f t="shared" si="18"/>
        <v>31.566666666666666</v>
      </c>
      <c r="AD115" s="35">
        <v>41.04</v>
      </c>
      <c r="AE115" s="35">
        <v>41.07</v>
      </c>
      <c r="AF115" s="35">
        <v>41.04</v>
      </c>
      <c r="AG115" s="24">
        <f t="shared" si="19"/>
        <v>41.050000000000004</v>
      </c>
      <c r="AH115" s="35">
        <v>60.81</v>
      </c>
      <c r="AI115" s="35">
        <v>60.82</v>
      </c>
      <c r="AJ115" s="35">
        <v>60.71</v>
      </c>
      <c r="AK115" s="24">
        <f t="shared" si="20"/>
        <v>60.78</v>
      </c>
      <c r="AT115" s="10" t="s">
        <v>1258</v>
      </c>
      <c r="AU115">
        <v>8</v>
      </c>
      <c r="AV115" s="9">
        <v>0</v>
      </c>
      <c r="AW115" s="35">
        <v>31.59</v>
      </c>
      <c r="AX115" s="35">
        <v>31.72</v>
      </c>
      <c r="AY115" s="35">
        <v>31.83</v>
      </c>
      <c r="AZ115" s="24">
        <f t="shared" si="21"/>
        <v>31.713333333333335</v>
      </c>
      <c r="BA115" s="35">
        <v>40.950000000000003</v>
      </c>
      <c r="BB115" s="35">
        <v>40.86</v>
      </c>
      <c r="BC115" s="35">
        <v>40.9</v>
      </c>
      <c r="BD115" s="24">
        <f t="shared" si="22"/>
        <v>40.903333333333336</v>
      </c>
      <c r="BE115" s="35">
        <v>60.96</v>
      </c>
      <c r="BF115" s="35">
        <v>60.78</v>
      </c>
      <c r="BG115" s="35">
        <v>60.87</v>
      </c>
      <c r="BH115" s="24">
        <f t="shared" si="23"/>
        <v>60.870000000000005</v>
      </c>
      <c r="BI115" s="35">
        <v>48.64</v>
      </c>
      <c r="BJ115" s="35">
        <v>48.31</v>
      </c>
      <c r="BK115" s="35">
        <v>48.67</v>
      </c>
      <c r="BL115" s="24">
        <f t="shared" si="24"/>
        <v>48.54</v>
      </c>
      <c r="BM115" s="35">
        <v>47.73</v>
      </c>
      <c r="BN115" s="35">
        <v>47.8</v>
      </c>
      <c r="BO115" s="35">
        <v>47.81</v>
      </c>
      <c r="BP115" s="24">
        <f t="shared" si="25"/>
        <v>47.78</v>
      </c>
      <c r="BQ115" s="35">
        <v>32.35</v>
      </c>
      <c r="BR115" s="35">
        <v>32.369999999999997</v>
      </c>
      <c r="BS115" s="35">
        <v>32.380000000000003</v>
      </c>
      <c r="BT115" s="24">
        <f t="shared" si="26"/>
        <v>32.366666666666667</v>
      </c>
      <c r="BU115" s="35">
        <v>63.81</v>
      </c>
      <c r="BV115" s="35">
        <v>63.87</v>
      </c>
      <c r="BW115" s="35">
        <v>63.72</v>
      </c>
      <c r="BX115" s="24">
        <f t="shared" si="27"/>
        <v>63.800000000000004</v>
      </c>
      <c r="BY115" t="s">
        <v>1252</v>
      </c>
      <c r="BZ115" t="s">
        <v>1252</v>
      </c>
      <c r="CA115" t="s">
        <v>1252</v>
      </c>
      <c r="CB115" s="100">
        <v>43243</v>
      </c>
      <c r="CC115" s="100">
        <v>43244</v>
      </c>
      <c r="CE115" s="35">
        <v>0.4</v>
      </c>
    </row>
    <row r="116" spans="1:86" x14ac:dyDescent="0.25">
      <c r="A116" t="s">
        <v>1495</v>
      </c>
      <c r="B116" s="260" t="s">
        <v>49</v>
      </c>
      <c r="C116" s="15">
        <v>91</v>
      </c>
      <c r="D116" s="35">
        <v>1701</v>
      </c>
      <c r="E116" s="15" t="s">
        <v>379</v>
      </c>
      <c r="F116" s="100">
        <v>43243</v>
      </c>
      <c r="G116" t="s">
        <v>1496</v>
      </c>
      <c r="H116" s="9" t="s">
        <v>1111</v>
      </c>
      <c r="I116" s="10">
        <v>1</v>
      </c>
      <c r="J116" s="10" t="s">
        <v>50</v>
      </c>
      <c r="K116">
        <v>458</v>
      </c>
      <c r="L116">
        <v>92</v>
      </c>
      <c r="M116" s="9">
        <f t="shared" si="15"/>
        <v>366</v>
      </c>
      <c r="N116" s="35">
        <v>175</v>
      </c>
      <c r="O116" s="35">
        <v>175</v>
      </c>
      <c r="P116" s="35">
        <v>174</v>
      </c>
      <c r="Q116" s="24">
        <f t="shared" si="16"/>
        <v>174.66666666666666</v>
      </c>
      <c r="R116" s="35">
        <v>238</v>
      </c>
      <c r="S116" s="35">
        <v>238</v>
      </c>
      <c r="T116" s="35">
        <v>238</v>
      </c>
      <c r="U116" s="24">
        <f t="shared" si="14"/>
        <v>238</v>
      </c>
      <c r="V116" s="35">
        <v>11.77</v>
      </c>
      <c r="W116" s="35">
        <v>11.9</v>
      </c>
      <c r="X116" s="35">
        <v>11.57</v>
      </c>
      <c r="Y116" s="24">
        <f t="shared" si="17"/>
        <v>11.746666666666668</v>
      </c>
      <c r="Z116" s="35">
        <v>31.95</v>
      </c>
      <c r="AA116" s="35">
        <v>31.88</v>
      </c>
      <c r="AB116" s="35">
        <v>31.92</v>
      </c>
      <c r="AC116" s="24">
        <f t="shared" si="18"/>
        <v>31.916666666666668</v>
      </c>
      <c r="AD116" s="35">
        <v>44.29</v>
      </c>
      <c r="AE116" s="35">
        <v>44.31</v>
      </c>
      <c r="AF116" s="35">
        <v>44.3</v>
      </c>
      <c r="AG116" s="24">
        <f t="shared" si="19"/>
        <v>44.29999999999999</v>
      </c>
      <c r="AH116" s="35">
        <v>65.31</v>
      </c>
      <c r="AI116" s="35">
        <v>65.28</v>
      </c>
      <c r="AJ116" s="35">
        <v>65.22</v>
      </c>
      <c r="AK116" s="24">
        <f t="shared" si="20"/>
        <v>65.27</v>
      </c>
      <c r="AL116" s="35">
        <v>17.72</v>
      </c>
      <c r="AM116" s="35">
        <v>17.89</v>
      </c>
      <c r="AN116" s="35">
        <v>17.670000000000002</v>
      </c>
      <c r="AP116" s="35">
        <v>26.95</v>
      </c>
      <c r="AQ116" s="35">
        <v>27.06</v>
      </c>
      <c r="AR116" s="35">
        <v>26.87</v>
      </c>
      <c r="AW116" s="35">
        <v>32.049999999999997</v>
      </c>
      <c r="AX116" s="35">
        <v>32.17</v>
      </c>
      <c r="AY116" s="35">
        <v>32.15</v>
      </c>
      <c r="AZ116" s="24">
        <f t="shared" si="21"/>
        <v>32.123333333333335</v>
      </c>
      <c r="BA116" s="35">
        <v>43.02</v>
      </c>
      <c r="BB116" s="35">
        <v>43.02</v>
      </c>
      <c r="BC116" s="35">
        <v>43.06</v>
      </c>
      <c r="BD116" s="24">
        <f t="shared" si="22"/>
        <v>43.033333333333339</v>
      </c>
      <c r="BE116" s="35">
        <v>65.06</v>
      </c>
      <c r="BF116" s="35">
        <v>65.12</v>
      </c>
      <c r="BG116" s="35">
        <v>65.11</v>
      </c>
      <c r="BH116" s="24">
        <f t="shared" si="23"/>
        <v>65.096666666666678</v>
      </c>
      <c r="BI116" s="35">
        <v>52.25</v>
      </c>
      <c r="BJ116" s="35">
        <v>52.12</v>
      </c>
      <c r="BK116" s="35">
        <v>52.24</v>
      </c>
      <c r="BL116" s="24">
        <f t="shared" si="24"/>
        <v>52.20333333333334</v>
      </c>
      <c r="BM116" s="35">
        <v>52.12</v>
      </c>
      <c r="BN116" s="35">
        <v>52.04</v>
      </c>
      <c r="BO116" s="35">
        <v>52.14</v>
      </c>
      <c r="BP116" s="24">
        <f t="shared" si="25"/>
        <v>52.1</v>
      </c>
      <c r="BQ116" s="35">
        <v>37</v>
      </c>
      <c r="BR116" s="35">
        <v>37.200000000000003</v>
      </c>
      <c r="BS116" s="35">
        <v>37.18</v>
      </c>
      <c r="BT116" s="24">
        <f t="shared" si="26"/>
        <v>37.126666666666665</v>
      </c>
      <c r="BU116" s="35">
        <v>72.97</v>
      </c>
      <c r="BV116" s="35">
        <v>72.94</v>
      </c>
      <c r="BW116" s="35">
        <v>72.989999999999995</v>
      </c>
      <c r="BX116" s="24">
        <f t="shared" si="27"/>
        <v>72.966666666666654</v>
      </c>
      <c r="BY116" t="s">
        <v>1252</v>
      </c>
      <c r="BZ116" t="s">
        <v>1252</v>
      </c>
      <c r="CA116" t="s">
        <v>1252</v>
      </c>
      <c r="CB116" s="100">
        <v>43243</v>
      </c>
      <c r="CC116" s="100">
        <v>43244</v>
      </c>
      <c r="CE116" s="35">
        <v>0.9</v>
      </c>
    </row>
    <row r="117" spans="1:86" x14ac:dyDescent="0.25">
      <c r="A117" s="260" t="s">
        <v>1497</v>
      </c>
      <c r="B117" s="260" t="s">
        <v>49</v>
      </c>
      <c r="C117" s="15">
        <v>92</v>
      </c>
      <c r="D117" s="35">
        <v>1702</v>
      </c>
      <c r="E117" s="15" t="s">
        <v>379</v>
      </c>
      <c r="F117" s="100">
        <v>43243</v>
      </c>
      <c r="G117" t="s">
        <v>1498</v>
      </c>
      <c r="H117" s="9" t="s">
        <v>1111</v>
      </c>
      <c r="I117" s="172">
        <v>2</v>
      </c>
      <c r="J117" s="10" t="s">
        <v>64</v>
      </c>
      <c r="K117">
        <v>478</v>
      </c>
      <c r="L117">
        <v>93</v>
      </c>
      <c r="M117" s="9">
        <f t="shared" si="15"/>
        <v>385</v>
      </c>
      <c r="N117" s="35">
        <v>168</v>
      </c>
      <c r="O117" s="35">
        <v>168</v>
      </c>
      <c r="P117" s="35">
        <v>168</v>
      </c>
      <c r="Q117" s="24">
        <f t="shared" si="16"/>
        <v>168</v>
      </c>
      <c r="R117" s="35">
        <v>231</v>
      </c>
      <c r="S117" s="35">
        <v>230</v>
      </c>
      <c r="T117" s="35">
        <v>230</v>
      </c>
      <c r="U117" s="24">
        <f t="shared" si="14"/>
        <v>230.33333333333334</v>
      </c>
      <c r="V117" s="35">
        <v>12.74</v>
      </c>
      <c r="W117" s="35">
        <v>12.86</v>
      </c>
      <c r="X117" s="35">
        <v>12.88</v>
      </c>
      <c r="Y117" s="24">
        <f t="shared" si="17"/>
        <v>12.826666666666668</v>
      </c>
      <c r="Z117" s="35">
        <v>31.53</v>
      </c>
      <c r="AA117" s="35">
        <v>31.6</v>
      </c>
      <c r="AB117" s="35">
        <v>31.62</v>
      </c>
      <c r="AC117" s="24">
        <f t="shared" si="18"/>
        <v>31.583333333333332</v>
      </c>
      <c r="AD117" s="35">
        <v>42.5</v>
      </c>
      <c r="AE117" s="35">
        <v>42.41</v>
      </c>
      <c r="AF117" s="35">
        <v>42.48</v>
      </c>
      <c r="AG117" s="24">
        <f t="shared" si="19"/>
        <v>42.463333333333331</v>
      </c>
      <c r="AH117" s="35">
        <v>64.36</v>
      </c>
      <c r="AI117" s="35">
        <v>64.45</v>
      </c>
      <c r="AJ117" s="35">
        <v>64.349999999999994</v>
      </c>
      <c r="AK117" s="24">
        <f t="shared" si="20"/>
        <v>64.38666666666667</v>
      </c>
      <c r="AT117" s="10" t="s">
        <v>1251</v>
      </c>
      <c r="AU117">
        <v>8</v>
      </c>
      <c r="AV117" s="9">
        <v>6</v>
      </c>
      <c r="AW117" s="35">
        <v>31.24</v>
      </c>
      <c r="AX117" s="35">
        <v>31.15</v>
      </c>
      <c r="AY117" s="35">
        <v>31.3</v>
      </c>
      <c r="AZ117" s="24">
        <f t="shared" si="21"/>
        <v>31.23</v>
      </c>
      <c r="BA117" s="35">
        <v>41.68</v>
      </c>
      <c r="BB117" s="35">
        <v>41.56</v>
      </c>
      <c r="BC117" s="35">
        <v>41.62</v>
      </c>
      <c r="BD117" s="24">
        <f t="shared" si="22"/>
        <v>41.620000000000005</v>
      </c>
      <c r="BE117" s="35">
        <v>64.7</v>
      </c>
      <c r="BF117" s="35">
        <v>64.63</v>
      </c>
      <c r="BG117" s="35">
        <v>64.83</v>
      </c>
      <c r="BH117" s="24">
        <f t="shared" si="23"/>
        <v>64.719999999999985</v>
      </c>
      <c r="BI117" s="35">
        <v>50.31</v>
      </c>
      <c r="BJ117" s="35">
        <v>50.26</v>
      </c>
      <c r="BK117" s="35">
        <v>50.27</v>
      </c>
      <c r="BL117" s="24">
        <f t="shared" si="24"/>
        <v>50.28</v>
      </c>
      <c r="BM117" s="35">
        <v>50.64</v>
      </c>
      <c r="BN117" s="35">
        <v>50.6</v>
      </c>
      <c r="BO117" s="35">
        <v>50.54</v>
      </c>
      <c r="BP117" s="24">
        <f t="shared" si="25"/>
        <v>50.593333333333334</v>
      </c>
      <c r="BQ117" s="35">
        <v>37.04</v>
      </c>
      <c r="BR117" s="35">
        <v>37.020000000000003</v>
      </c>
      <c r="BS117" s="35">
        <v>37.020000000000003</v>
      </c>
      <c r="BT117" s="24">
        <f t="shared" si="26"/>
        <v>37.026666666666671</v>
      </c>
      <c r="BU117" s="35">
        <v>73.89</v>
      </c>
      <c r="BV117" s="35">
        <v>73.52</v>
      </c>
      <c r="BW117" s="35">
        <v>73.739999999999995</v>
      </c>
      <c r="BX117" s="24">
        <f t="shared" si="27"/>
        <v>73.716666666666654</v>
      </c>
      <c r="BY117" t="s">
        <v>1252</v>
      </c>
      <c r="BZ117" t="s">
        <v>1252</v>
      </c>
      <c r="CA117" t="s">
        <v>1252</v>
      </c>
      <c r="CB117" s="100">
        <v>43243</v>
      </c>
      <c r="CC117" s="100" t="s">
        <v>1499</v>
      </c>
      <c r="CE117" s="35">
        <v>1</v>
      </c>
    </row>
    <row r="118" spans="1:86" x14ac:dyDescent="0.25">
      <c r="A118" t="s">
        <v>1500</v>
      </c>
      <c r="B118" s="260" t="s">
        <v>49</v>
      </c>
      <c r="C118" s="15">
        <v>93</v>
      </c>
      <c r="D118" s="35">
        <v>1703</v>
      </c>
      <c r="E118" s="15" t="s">
        <v>379</v>
      </c>
      <c r="F118" s="100">
        <v>43243</v>
      </c>
      <c r="G118" t="s">
        <v>1501</v>
      </c>
      <c r="H118" s="9" t="s">
        <v>1111</v>
      </c>
      <c r="I118" s="10">
        <v>4</v>
      </c>
      <c r="J118" s="10" t="s">
        <v>64</v>
      </c>
      <c r="K118">
        <v>448</v>
      </c>
      <c r="L118">
        <v>94</v>
      </c>
      <c r="M118" s="9">
        <f t="shared" si="15"/>
        <v>354</v>
      </c>
      <c r="N118" s="35">
        <v>171</v>
      </c>
      <c r="O118" s="35">
        <v>171</v>
      </c>
      <c r="P118" s="35">
        <v>171</v>
      </c>
      <c r="Q118" s="24">
        <f t="shared" si="16"/>
        <v>171</v>
      </c>
      <c r="R118" s="35">
        <v>228</v>
      </c>
      <c r="S118" s="35">
        <v>228</v>
      </c>
      <c r="T118" s="35">
        <v>227</v>
      </c>
      <c r="U118" s="24">
        <f t="shared" si="14"/>
        <v>227.66666666666666</v>
      </c>
      <c r="V118" s="35">
        <v>11.3</v>
      </c>
      <c r="W118" s="35">
        <v>11.26</v>
      </c>
      <c r="X118" s="35">
        <v>11.3</v>
      </c>
      <c r="Y118" s="24">
        <f t="shared" si="17"/>
        <v>11.286666666666667</v>
      </c>
      <c r="Z118" s="35">
        <v>30.06</v>
      </c>
      <c r="AA118" s="35">
        <v>30.17</v>
      </c>
      <c r="AB118" s="35">
        <v>30.02</v>
      </c>
      <c r="AC118" s="24">
        <f t="shared" si="18"/>
        <v>30.083333333333332</v>
      </c>
      <c r="AD118" s="35">
        <v>39.229999999999997</v>
      </c>
      <c r="AE118" s="35">
        <v>39.22</v>
      </c>
      <c r="AF118" s="35">
        <v>39.44</v>
      </c>
      <c r="AG118" s="24">
        <f t="shared" si="19"/>
        <v>39.29666666666666</v>
      </c>
      <c r="AH118" s="35">
        <v>59.65</v>
      </c>
      <c r="AI118" s="39">
        <v>59.53</v>
      </c>
      <c r="AJ118" s="35">
        <v>59.94</v>
      </c>
      <c r="AK118" s="24">
        <f t="shared" si="20"/>
        <v>59.706666666666671</v>
      </c>
      <c r="AT118" s="10" t="s">
        <v>1251</v>
      </c>
      <c r="AU118">
        <v>8</v>
      </c>
      <c r="AV118" s="9">
        <v>8</v>
      </c>
      <c r="AW118" s="35">
        <v>30.31</v>
      </c>
      <c r="AX118" s="35">
        <v>30.14</v>
      </c>
      <c r="AY118" s="35">
        <v>30.1</v>
      </c>
      <c r="AZ118" s="24">
        <f t="shared" si="21"/>
        <v>30.183333333333337</v>
      </c>
      <c r="BA118" s="35">
        <v>39.340000000000003</v>
      </c>
      <c r="BB118" s="35">
        <v>39.32</v>
      </c>
      <c r="BC118" s="35">
        <v>39.4</v>
      </c>
      <c r="BD118" s="24">
        <f t="shared" si="22"/>
        <v>39.353333333333332</v>
      </c>
      <c r="BE118" s="35">
        <v>60.65</v>
      </c>
      <c r="BF118" s="35">
        <v>60.76</v>
      </c>
      <c r="BG118" s="35">
        <v>60.59</v>
      </c>
      <c r="BH118" s="24">
        <f t="shared" si="23"/>
        <v>60.666666666666664</v>
      </c>
      <c r="BI118" s="35">
        <v>46.87</v>
      </c>
      <c r="BJ118" s="35">
        <v>46.72</v>
      </c>
      <c r="BK118" s="35">
        <v>47.81</v>
      </c>
      <c r="BL118" s="24">
        <f t="shared" si="24"/>
        <v>47.133333333333333</v>
      </c>
      <c r="BM118" s="35">
        <v>46.68</v>
      </c>
      <c r="BN118" s="35">
        <v>46.66</v>
      </c>
      <c r="BO118" s="35">
        <v>46.66</v>
      </c>
      <c r="BP118" s="24">
        <f t="shared" si="25"/>
        <v>46.666666666666664</v>
      </c>
      <c r="BQ118" s="35">
        <v>38.799999999999997</v>
      </c>
      <c r="BR118" s="35">
        <v>38.950000000000003</v>
      </c>
      <c r="BS118" s="35">
        <v>38.92</v>
      </c>
      <c r="BT118" s="24">
        <f t="shared" si="26"/>
        <v>38.89</v>
      </c>
      <c r="BU118" s="35">
        <v>69.63</v>
      </c>
      <c r="BV118" s="35">
        <v>69.930000000000007</v>
      </c>
      <c r="BW118" s="35">
        <v>69.790000000000006</v>
      </c>
      <c r="BX118" s="24">
        <f t="shared" si="27"/>
        <v>69.783333333333346</v>
      </c>
      <c r="BY118" t="s">
        <v>1252</v>
      </c>
      <c r="BZ118" t="s">
        <v>1252</v>
      </c>
      <c r="CA118" t="s">
        <v>1252</v>
      </c>
      <c r="CB118" s="100">
        <v>43243</v>
      </c>
      <c r="CE118" s="35">
        <v>1</v>
      </c>
    </row>
    <row r="119" spans="1:86" x14ac:dyDescent="0.25">
      <c r="A119" s="260" t="s">
        <v>1502</v>
      </c>
      <c r="B119" s="260" t="s">
        <v>49</v>
      </c>
      <c r="C119" s="15">
        <v>94</v>
      </c>
      <c r="D119" s="35">
        <v>1704</v>
      </c>
      <c r="E119" s="15" t="s">
        <v>379</v>
      </c>
      <c r="F119" s="100">
        <v>43244</v>
      </c>
      <c r="G119" t="s">
        <v>1503</v>
      </c>
      <c r="H119" s="9" t="s">
        <v>1108</v>
      </c>
      <c r="I119" s="10">
        <v>1</v>
      </c>
      <c r="J119" s="10" t="s">
        <v>64</v>
      </c>
      <c r="K119">
        <v>341</v>
      </c>
      <c r="L119">
        <v>88</v>
      </c>
      <c r="M119" s="9">
        <f t="shared" si="15"/>
        <v>253</v>
      </c>
      <c r="N119" s="35">
        <v>161</v>
      </c>
      <c r="O119" s="35">
        <v>161</v>
      </c>
      <c r="P119" s="35">
        <v>160</v>
      </c>
      <c r="Q119" s="24">
        <f t="shared" si="16"/>
        <v>160.66666666666666</v>
      </c>
      <c r="R119" s="35">
        <v>221</v>
      </c>
      <c r="S119" s="35">
        <v>220</v>
      </c>
      <c r="T119" s="35">
        <v>221</v>
      </c>
      <c r="U119" s="24">
        <f t="shared" si="14"/>
        <v>220.66666666666666</v>
      </c>
      <c r="V119" s="35">
        <v>11.48</v>
      </c>
      <c r="W119" s="35">
        <v>11.41</v>
      </c>
      <c r="X119" s="35">
        <v>11.35</v>
      </c>
      <c r="Y119" s="24">
        <f t="shared" si="17"/>
        <v>11.413333333333334</v>
      </c>
      <c r="Z119" s="35">
        <v>30.31</v>
      </c>
      <c r="AA119" s="35">
        <v>30.28</v>
      </c>
      <c r="AB119" s="35">
        <v>30.26</v>
      </c>
      <c r="AC119" s="24">
        <f t="shared" si="18"/>
        <v>30.283333333333335</v>
      </c>
      <c r="AD119" s="35">
        <v>39.9</v>
      </c>
      <c r="AE119" s="35">
        <v>39.9</v>
      </c>
      <c r="AF119" s="35">
        <v>39.85</v>
      </c>
      <c r="AG119" s="24">
        <f t="shared" si="19"/>
        <v>39.883333333333333</v>
      </c>
      <c r="AH119" s="35">
        <v>57.88</v>
      </c>
      <c r="AI119" s="35">
        <v>57.91</v>
      </c>
      <c r="AJ119" s="35">
        <v>57.89</v>
      </c>
      <c r="AK119" s="24">
        <f t="shared" si="20"/>
        <v>57.893333333333338</v>
      </c>
      <c r="AT119" s="10" t="s">
        <v>1258</v>
      </c>
      <c r="AU119">
        <v>8</v>
      </c>
      <c r="AV119" s="9">
        <v>0</v>
      </c>
      <c r="AW119" s="35">
        <v>30.09</v>
      </c>
      <c r="AX119" s="35">
        <v>30.15</v>
      </c>
      <c r="AY119" s="35">
        <v>30.16</v>
      </c>
      <c r="AZ119" s="24">
        <f t="shared" si="21"/>
        <v>30.133333333333329</v>
      </c>
      <c r="BA119" s="35">
        <v>39.99</v>
      </c>
      <c r="BB119" s="35">
        <v>39.97</v>
      </c>
      <c r="BC119" s="35">
        <v>39.909999999999997</v>
      </c>
      <c r="BD119" s="24">
        <f t="shared" si="22"/>
        <v>39.956666666666671</v>
      </c>
      <c r="BE119" s="35">
        <v>57.83</v>
      </c>
      <c r="BF119" s="35">
        <v>57.93</v>
      </c>
      <c r="BG119" s="35">
        <v>57.85</v>
      </c>
      <c r="BH119" s="24">
        <f t="shared" si="23"/>
        <v>57.87</v>
      </c>
      <c r="BI119" s="35">
        <v>45.45</v>
      </c>
      <c r="BJ119" s="35">
        <v>45.48</v>
      </c>
      <c r="BK119" s="35">
        <v>45.46</v>
      </c>
      <c r="BL119" s="24">
        <f t="shared" si="24"/>
        <v>45.463333333333338</v>
      </c>
      <c r="BM119" s="35">
        <v>45.06</v>
      </c>
      <c r="BN119" s="35">
        <v>45.1</v>
      </c>
      <c r="BO119" s="35">
        <v>45.02</v>
      </c>
      <c r="BP119" s="24">
        <f t="shared" si="25"/>
        <v>45.06</v>
      </c>
      <c r="BQ119" s="35">
        <v>32.72</v>
      </c>
      <c r="BR119" s="35">
        <v>32.79</v>
      </c>
      <c r="BS119" s="35">
        <v>32.770000000000003</v>
      </c>
      <c r="BT119" s="24">
        <f t="shared" si="26"/>
        <v>32.76</v>
      </c>
      <c r="BU119" s="35">
        <v>63.13</v>
      </c>
      <c r="BV119" s="35">
        <v>63.08</v>
      </c>
      <c r="BW119" s="35">
        <v>63.09</v>
      </c>
      <c r="BX119" s="24">
        <f t="shared" si="27"/>
        <v>63.1</v>
      </c>
      <c r="BY119" t="s">
        <v>1252</v>
      </c>
      <c r="BZ119" t="s">
        <v>1252</v>
      </c>
      <c r="CA119" t="s">
        <v>1252</v>
      </c>
      <c r="CB119" s="100">
        <v>43244</v>
      </c>
      <c r="CC119" s="100">
        <v>43245</v>
      </c>
      <c r="CE119" s="35">
        <v>0.8</v>
      </c>
      <c r="CH119" t="s">
        <v>1504</v>
      </c>
    </row>
    <row r="120" spans="1:86" x14ac:dyDescent="0.25">
      <c r="A120" t="s">
        <v>1505</v>
      </c>
      <c r="B120" s="260" t="s">
        <v>49</v>
      </c>
      <c r="C120" s="15">
        <v>95</v>
      </c>
      <c r="D120" s="35">
        <v>1705</v>
      </c>
      <c r="E120" s="15" t="s">
        <v>379</v>
      </c>
      <c r="F120" s="100">
        <v>43244</v>
      </c>
      <c r="G120" t="s">
        <v>1506</v>
      </c>
      <c r="H120" s="9" t="s">
        <v>1108</v>
      </c>
      <c r="I120" s="10">
        <v>1</v>
      </c>
      <c r="J120" s="10" t="s">
        <v>64</v>
      </c>
      <c r="K120">
        <v>365</v>
      </c>
      <c r="L120">
        <v>90</v>
      </c>
      <c r="M120" s="9">
        <f t="shared" si="15"/>
        <v>275</v>
      </c>
      <c r="N120" s="35">
        <v>161</v>
      </c>
      <c r="O120" s="35">
        <v>161</v>
      </c>
      <c r="P120" s="35">
        <v>161</v>
      </c>
      <c r="Q120" s="24">
        <f t="shared" si="16"/>
        <v>161</v>
      </c>
      <c r="R120" s="35">
        <v>211</v>
      </c>
      <c r="S120" s="35">
        <v>210</v>
      </c>
      <c r="T120" s="35">
        <v>210</v>
      </c>
      <c r="U120" s="24">
        <f t="shared" si="14"/>
        <v>210.33333333333334</v>
      </c>
      <c r="V120" s="35">
        <v>11.48</v>
      </c>
      <c r="W120" s="35">
        <v>11.5</v>
      </c>
      <c r="X120" s="35">
        <v>11.61</v>
      </c>
      <c r="Y120" s="24">
        <f t="shared" si="17"/>
        <v>11.530000000000001</v>
      </c>
      <c r="Z120" s="35">
        <v>30.06</v>
      </c>
      <c r="AA120" s="35">
        <v>30.16</v>
      </c>
      <c r="AB120" s="35">
        <v>30.12</v>
      </c>
      <c r="AC120" s="24">
        <f t="shared" si="18"/>
        <v>30.113333333333333</v>
      </c>
      <c r="AD120" s="35">
        <v>38.32</v>
      </c>
      <c r="AE120" s="35">
        <v>38.24</v>
      </c>
      <c r="AF120" s="35">
        <v>38.15</v>
      </c>
      <c r="AG120" s="24">
        <f t="shared" si="19"/>
        <v>38.236666666666672</v>
      </c>
      <c r="AH120" s="35">
        <v>57.42</v>
      </c>
      <c r="AI120" s="35">
        <v>57.64</v>
      </c>
      <c r="AJ120" s="35">
        <v>57.61</v>
      </c>
      <c r="AK120" s="24">
        <f t="shared" si="20"/>
        <v>57.556666666666672</v>
      </c>
      <c r="AT120" s="10" t="s">
        <v>1258</v>
      </c>
      <c r="AU120">
        <v>8</v>
      </c>
      <c r="AV120" s="9">
        <v>0</v>
      </c>
      <c r="AW120" s="35">
        <v>30.27</v>
      </c>
      <c r="AX120" s="35">
        <v>30.37</v>
      </c>
      <c r="AY120" s="35">
        <v>30.29</v>
      </c>
      <c r="AZ120" s="24">
        <f t="shared" si="21"/>
        <v>30.310000000000002</v>
      </c>
      <c r="BA120" s="35">
        <v>38.89</v>
      </c>
      <c r="BB120" s="35">
        <v>38.72</v>
      </c>
      <c r="BC120" s="35">
        <v>38.770000000000003</v>
      </c>
      <c r="BD120" s="24">
        <f t="shared" si="22"/>
        <v>38.793333333333329</v>
      </c>
      <c r="BE120" s="35">
        <v>58.09</v>
      </c>
      <c r="BF120" s="35">
        <v>57.99</v>
      </c>
      <c r="BG120" s="35">
        <v>57.98</v>
      </c>
      <c r="BH120" s="24">
        <f t="shared" si="23"/>
        <v>58.02</v>
      </c>
      <c r="BI120" s="35">
        <v>45.1</v>
      </c>
      <c r="BJ120" s="35">
        <v>45.31</v>
      </c>
      <c r="BK120" s="35">
        <v>45.22</v>
      </c>
      <c r="BL120" s="24">
        <f t="shared" si="24"/>
        <v>45.21</v>
      </c>
      <c r="BM120" s="35">
        <v>45.23</v>
      </c>
      <c r="BN120" s="35">
        <v>45.39</v>
      </c>
      <c r="BO120" s="35">
        <v>45.22</v>
      </c>
      <c r="BP120" s="24">
        <f t="shared" si="25"/>
        <v>45.28</v>
      </c>
      <c r="BQ120" s="35">
        <v>33.29</v>
      </c>
      <c r="BR120" s="35">
        <v>33.5</v>
      </c>
      <c r="BS120" s="35">
        <v>33.58</v>
      </c>
      <c r="BT120" s="24">
        <f t="shared" si="26"/>
        <v>33.456666666666663</v>
      </c>
      <c r="BU120" s="35">
        <v>60.02</v>
      </c>
      <c r="BV120" s="35">
        <v>60.18</v>
      </c>
      <c r="BW120" s="35">
        <v>60.15</v>
      </c>
      <c r="BX120" s="24">
        <f t="shared" si="27"/>
        <v>60.116666666666667</v>
      </c>
      <c r="BY120" t="s">
        <v>1252</v>
      </c>
      <c r="BZ120" t="s">
        <v>1252</v>
      </c>
      <c r="CA120" t="s">
        <v>1252</v>
      </c>
      <c r="CB120" s="100">
        <v>43244</v>
      </c>
      <c r="CC120" s="100">
        <v>43245</v>
      </c>
      <c r="CE120" s="35">
        <v>1</v>
      </c>
      <c r="CH120" t="s">
        <v>1507</v>
      </c>
    </row>
    <row r="121" spans="1:86" x14ac:dyDescent="0.25">
      <c r="A121" s="97" t="s">
        <v>869</v>
      </c>
      <c r="B121" s="260" t="s">
        <v>207</v>
      </c>
      <c r="C121" s="15">
        <v>96</v>
      </c>
      <c r="D121">
        <v>1256</v>
      </c>
      <c r="E121" s="5" t="s">
        <v>873</v>
      </c>
      <c r="F121" s="100">
        <v>43245</v>
      </c>
      <c r="G121" s="5" t="s">
        <v>1508</v>
      </c>
      <c r="H121" s="9" t="s">
        <v>1108</v>
      </c>
      <c r="I121" s="10">
        <v>2</v>
      </c>
      <c r="J121" s="10" t="s">
        <v>64</v>
      </c>
      <c r="K121">
        <v>382</v>
      </c>
      <c r="L121">
        <v>92</v>
      </c>
      <c r="M121" s="9">
        <f t="shared" si="15"/>
        <v>290</v>
      </c>
      <c r="N121" s="35">
        <v>163</v>
      </c>
      <c r="O121" s="35">
        <v>164</v>
      </c>
      <c r="P121" s="35">
        <v>163</v>
      </c>
      <c r="Q121" s="24">
        <f t="shared" si="16"/>
        <v>163.33333333333334</v>
      </c>
      <c r="R121" s="35">
        <v>211</v>
      </c>
      <c r="S121" s="35">
        <v>211</v>
      </c>
      <c r="T121" s="35">
        <v>211</v>
      </c>
      <c r="U121" s="24">
        <f t="shared" si="14"/>
        <v>211</v>
      </c>
      <c r="V121" s="35">
        <v>12.59</v>
      </c>
      <c r="W121" s="35">
        <v>12.51</v>
      </c>
      <c r="X121" s="35">
        <v>12.69</v>
      </c>
      <c r="Y121" s="24">
        <f t="shared" si="17"/>
        <v>12.596666666666666</v>
      </c>
      <c r="Z121" s="35">
        <v>29.83</v>
      </c>
      <c r="AA121" s="35">
        <v>29.89</v>
      </c>
      <c r="AB121" s="35">
        <v>29.54</v>
      </c>
      <c r="AC121" s="24">
        <f t="shared" si="18"/>
        <v>29.75333333333333</v>
      </c>
      <c r="AD121" s="35">
        <v>38.39</v>
      </c>
      <c r="AE121" s="35">
        <v>38.42</v>
      </c>
      <c r="AF121" s="35">
        <v>38.24</v>
      </c>
      <c r="AG121" s="24">
        <f t="shared" si="19"/>
        <v>38.35</v>
      </c>
      <c r="AH121" s="35">
        <v>58.29</v>
      </c>
      <c r="AI121" s="35">
        <v>58.28</v>
      </c>
      <c r="AJ121" s="35">
        <v>58.27</v>
      </c>
      <c r="AK121" s="24">
        <f t="shared" si="20"/>
        <v>58.28</v>
      </c>
      <c r="AT121" s="10" t="s">
        <v>1251</v>
      </c>
      <c r="AU121">
        <v>8</v>
      </c>
      <c r="AV121" s="9">
        <v>7</v>
      </c>
      <c r="AW121" s="35">
        <v>29.28</v>
      </c>
      <c r="AX121" s="35">
        <v>29.27</v>
      </c>
      <c r="AY121" s="35">
        <v>29.33</v>
      </c>
      <c r="AZ121" s="24">
        <f t="shared" si="21"/>
        <v>29.293333333333333</v>
      </c>
      <c r="BA121" s="35">
        <v>37.64</v>
      </c>
      <c r="BB121" s="35">
        <v>37.520000000000003</v>
      </c>
      <c r="BC121" s="35">
        <v>37.49</v>
      </c>
      <c r="BD121" s="24">
        <f t="shared" si="22"/>
        <v>37.550000000000004</v>
      </c>
      <c r="BE121" s="35">
        <v>57.78</v>
      </c>
      <c r="BF121" s="35">
        <v>57.35</v>
      </c>
      <c r="BG121" s="35">
        <v>57.65</v>
      </c>
      <c r="BH121" s="24">
        <f t="shared" si="23"/>
        <v>57.593333333333334</v>
      </c>
      <c r="BI121" s="35">
        <v>43.75</v>
      </c>
      <c r="BJ121" s="35">
        <v>43.74</v>
      </c>
      <c r="BK121" s="35">
        <v>43.69</v>
      </c>
      <c r="BL121" s="24">
        <f t="shared" si="24"/>
        <v>43.726666666666667</v>
      </c>
      <c r="BM121" s="35">
        <v>44.26</v>
      </c>
      <c r="BN121" s="35">
        <v>44.39</v>
      </c>
      <c r="BO121" s="35">
        <v>44.39</v>
      </c>
      <c r="BP121" s="24">
        <f t="shared" si="25"/>
        <v>44.346666666666671</v>
      </c>
      <c r="BQ121" s="35">
        <v>34.82</v>
      </c>
      <c r="BR121" s="35">
        <v>34.61</v>
      </c>
      <c r="BS121" s="35">
        <v>34.450000000000003</v>
      </c>
      <c r="BT121" s="24">
        <f t="shared" si="26"/>
        <v>34.626666666666672</v>
      </c>
      <c r="BU121" s="35">
        <v>61.51</v>
      </c>
      <c r="BV121" s="35">
        <v>61.49</v>
      </c>
      <c r="BW121" s="35">
        <v>61.57</v>
      </c>
      <c r="BX121" s="24">
        <f t="shared" si="27"/>
        <v>61.523333333333333</v>
      </c>
      <c r="BY121" t="s">
        <v>1252</v>
      </c>
      <c r="BZ121" t="s">
        <v>1252</v>
      </c>
      <c r="CA121" t="s">
        <v>1252</v>
      </c>
      <c r="CB121" s="100">
        <v>43245</v>
      </c>
      <c r="CE121" s="35">
        <v>0.7</v>
      </c>
    </row>
    <row r="122" spans="1:86" x14ac:dyDescent="0.25">
      <c r="A122" s="97" t="s">
        <v>883</v>
      </c>
      <c r="B122" s="260" t="s">
        <v>207</v>
      </c>
      <c r="C122" s="15">
        <v>97</v>
      </c>
      <c r="D122">
        <v>1261</v>
      </c>
      <c r="E122" s="5" t="s">
        <v>885</v>
      </c>
      <c r="F122" s="100">
        <v>43245</v>
      </c>
      <c r="G122" s="5" t="s">
        <v>1503</v>
      </c>
      <c r="H122" s="9" t="s">
        <v>1108</v>
      </c>
      <c r="I122" s="10">
        <v>3</v>
      </c>
      <c r="J122" s="10" t="s">
        <v>64</v>
      </c>
      <c r="K122">
        <v>441</v>
      </c>
      <c r="L122">
        <v>91</v>
      </c>
      <c r="M122" s="9">
        <f t="shared" si="15"/>
        <v>350</v>
      </c>
      <c r="N122" s="35">
        <v>178</v>
      </c>
      <c r="O122" s="35">
        <v>178</v>
      </c>
      <c r="P122" s="35">
        <v>178</v>
      </c>
      <c r="Q122" s="24">
        <f t="shared" si="16"/>
        <v>178</v>
      </c>
      <c r="R122" s="35">
        <v>215</v>
      </c>
      <c r="S122" s="35">
        <v>215</v>
      </c>
      <c r="T122" s="35">
        <v>216</v>
      </c>
      <c r="U122" s="24">
        <f t="shared" si="14"/>
        <v>215.33333333333334</v>
      </c>
      <c r="V122" s="35">
        <v>11.53</v>
      </c>
      <c r="W122" s="35">
        <v>11.33</v>
      </c>
      <c r="X122" s="35">
        <v>11.38</v>
      </c>
      <c r="Y122" s="24">
        <f t="shared" si="17"/>
        <v>11.413333333333334</v>
      </c>
      <c r="Z122" s="35">
        <v>30.13</v>
      </c>
      <c r="AA122" s="35">
        <v>30.13</v>
      </c>
      <c r="AB122" s="35">
        <v>30.23</v>
      </c>
      <c r="AC122" s="24">
        <f t="shared" si="18"/>
        <v>30.16333333333333</v>
      </c>
      <c r="AD122" s="35">
        <v>39.61</v>
      </c>
      <c r="AE122" s="35">
        <v>39.83</v>
      </c>
      <c r="AF122" s="35">
        <v>39.81</v>
      </c>
      <c r="AG122" s="24">
        <f t="shared" si="19"/>
        <v>39.75</v>
      </c>
      <c r="AH122" s="35">
        <v>59.99</v>
      </c>
      <c r="AI122" s="35">
        <v>59.86</v>
      </c>
      <c r="AJ122" s="35">
        <v>59.79</v>
      </c>
      <c r="AK122" s="24">
        <f t="shared" si="20"/>
        <v>59.879999999999995</v>
      </c>
      <c r="AT122" s="10" t="s">
        <v>1251</v>
      </c>
      <c r="AU122">
        <v>8</v>
      </c>
      <c r="AV122" s="9">
        <v>7</v>
      </c>
      <c r="AW122" s="35">
        <v>29.8</v>
      </c>
      <c r="AX122" s="35">
        <v>29.68</v>
      </c>
      <c r="AY122" s="35">
        <v>29.78</v>
      </c>
      <c r="AZ122" s="24">
        <f t="shared" si="21"/>
        <v>29.753333333333334</v>
      </c>
      <c r="BA122" s="35">
        <v>39.04</v>
      </c>
      <c r="BB122" s="35">
        <v>39.25</v>
      </c>
      <c r="BC122" s="35">
        <v>39.229999999999997</v>
      </c>
      <c r="BD122" s="24">
        <f t="shared" si="22"/>
        <v>39.173333333333325</v>
      </c>
      <c r="BE122" s="35">
        <v>60.64</v>
      </c>
      <c r="BF122" s="35">
        <v>60.36</v>
      </c>
      <c r="BG122" s="35">
        <v>60.39</v>
      </c>
      <c r="BH122" s="24">
        <f t="shared" si="23"/>
        <v>60.463333333333331</v>
      </c>
      <c r="BI122" s="35">
        <v>47.28</v>
      </c>
      <c r="BJ122" s="35">
        <v>27.25</v>
      </c>
      <c r="BK122" s="35">
        <v>47.28</v>
      </c>
      <c r="BL122" s="24">
        <f t="shared" si="24"/>
        <v>40.603333333333332</v>
      </c>
      <c r="BM122" s="35">
        <v>47.59</v>
      </c>
      <c r="BN122" s="35">
        <v>47.57</v>
      </c>
      <c r="BO122" s="35">
        <v>47.16</v>
      </c>
      <c r="BP122" s="24">
        <f t="shared" si="25"/>
        <v>47.44</v>
      </c>
      <c r="BQ122" s="35">
        <v>37.409999999999997</v>
      </c>
      <c r="BR122" s="35">
        <v>37.5</v>
      </c>
      <c r="BS122" s="35">
        <v>37.479999999999997</v>
      </c>
      <c r="BT122" s="24">
        <f t="shared" si="26"/>
        <v>37.463333333333331</v>
      </c>
      <c r="BU122" s="35">
        <v>68.7</v>
      </c>
      <c r="BV122" s="35">
        <v>68.73</v>
      </c>
      <c r="BW122" s="35">
        <v>68.760000000000005</v>
      </c>
      <c r="BX122" s="24">
        <f t="shared" si="27"/>
        <v>68.73</v>
      </c>
      <c r="BY122" t="s">
        <v>1252</v>
      </c>
      <c r="BZ122" t="s">
        <v>1252</v>
      </c>
      <c r="CA122" t="s">
        <v>1252</v>
      </c>
      <c r="CB122" s="100">
        <v>43245</v>
      </c>
      <c r="CE122" s="35">
        <v>0.8</v>
      </c>
    </row>
    <row r="123" spans="1:86" x14ac:dyDescent="0.25">
      <c r="A123" s="97" t="s">
        <v>1509</v>
      </c>
      <c r="B123" s="260" t="s">
        <v>207</v>
      </c>
      <c r="C123" s="15" t="s">
        <v>379</v>
      </c>
      <c r="D123" s="12">
        <v>1364</v>
      </c>
      <c r="E123" s="265" t="s">
        <v>1510</v>
      </c>
      <c r="F123" s="100">
        <v>43245</v>
      </c>
      <c r="G123" t="s">
        <v>1511</v>
      </c>
      <c r="H123" s="9" t="s">
        <v>1108</v>
      </c>
      <c r="I123" s="10">
        <v>2</v>
      </c>
      <c r="J123" s="10" t="s">
        <v>64</v>
      </c>
      <c r="K123">
        <v>357</v>
      </c>
      <c r="L123">
        <v>93</v>
      </c>
      <c r="M123" s="9">
        <f t="shared" si="15"/>
        <v>264</v>
      </c>
      <c r="N123" s="35">
        <v>151</v>
      </c>
      <c r="O123" s="35">
        <v>151</v>
      </c>
      <c r="P123" s="35">
        <v>151</v>
      </c>
      <c r="Q123" s="24">
        <f t="shared" si="16"/>
        <v>151</v>
      </c>
      <c r="R123" s="35">
        <v>205</v>
      </c>
      <c r="S123" s="35">
        <v>205</v>
      </c>
      <c r="T123" s="35">
        <v>205</v>
      </c>
      <c r="U123" s="24">
        <f t="shared" si="14"/>
        <v>205</v>
      </c>
      <c r="V123" s="35">
        <v>13.29</v>
      </c>
      <c r="W123" s="35">
        <v>13.35</v>
      </c>
      <c r="X123" s="35">
        <v>13.35</v>
      </c>
      <c r="Y123" s="24">
        <f t="shared" si="17"/>
        <v>13.33</v>
      </c>
      <c r="Z123" s="35">
        <v>28.28</v>
      </c>
      <c r="AA123" s="35">
        <v>28.64</v>
      </c>
      <c r="AB123" s="35">
        <v>28.42</v>
      </c>
      <c r="AC123" s="24">
        <f t="shared" si="18"/>
        <v>28.446666666666669</v>
      </c>
      <c r="AD123" s="35">
        <v>37.28</v>
      </c>
      <c r="AE123" s="35">
        <v>37.270000000000003</v>
      </c>
      <c r="AF123" s="35">
        <v>37.31</v>
      </c>
      <c r="AG123" s="24">
        <f t="shared" si="19"/>
        <v>37.286666666666669</v>
      </c>
      <c r="AH123" s="35">
        <v>57.12</v>
      </c>
      <c r="AI123" s="35">
        <v>57.18</v>
      </c>
      <c r="AJ123" s="35">
        <v>57.05</v>
      </c>
      <c r="AK123" s="24">
        <f t="shared" si="20"/>
        <v>57.116666666666667</v>
      </c>
      <c r="AT123" s="10" t="s">
        <v>1251</v>
      </c>
      <c r="AU123">
        <v>8</v>
      </c>
      <c r="AV123" s="9">
        <v>7</v>
      </c>
      <c r="AW123" s="35">
        <v>28.13</v>
      </c>
      <c r="AX123" s="35">
        <v>28.22</v>
      </c>
      <c r="AY123" s="35">
        <v>28.21</v>
      </c>
      <c r="AZ123" s="24">
        <f t="shared" si="21"/>
        <v>28.186666666666667</v>
      </c>
      <c r="BA123" s="35">
        <v>37.36</v>
      </c>
      <c r="BB123" s="35">
        <v>37.33</v>
      </c>
      <c r="BC123" s="35">
        <v>37.409999999999997</v>
      </c>
      <c r="BD123" s="24">
        <f t="shared" si="22"/>
        <v>37.366666666666667</v>
      </c>
      <c r="BE123" s="35">
        <v>57.91</v>
      </c>
      <c r="BF123" s="35">
        <v>57.5</v>
      </c>
      <c r="BG123" s="35">
        <v>57.85</v>
      </c>
      <c r="BH123" s="24">
        <f t="shared" si="23"/>
        <v>57.75333333333333</v>
      </c>
      <c r="BI123" s="35">
        <v>43.57</v>
      </c>
      <c r="BJ123" s="35">
        <v>43.5</v>
      </c>
      <c r="BK123" s="35">
        <v>43.61</v>
      </c>
      <c r="BL123" s="24">
        <f t="shared" si="24"/>
        <v>43.56</v>
      </c>
      <c r="BM123" s="35">
        <v>43.82</v>
      </c>
      <c r="BN123" s="35">
        <v>43.59</v>
      </c>
      <c r="BO123" s="35">
        <v>43.6</v>
      </c>
      <c r="BP123" s="24">
        <f t="shared" si="25"/>
        <v>43.669999999999995</v>
      </c>
      <c r="BQ123" s="35">
        <v>32.99</v>
      </c>
      <c r="BR123" s="35">
        <v>32.950000000000003</v>
      </c>
      <c r="BS123" s="35">
        <v>32.94</v>
      </c>
      <c r="BT123" s="24">
        <f t="shared" si="26"/>
        <v>32.96</v>
      </c>
      <c r="BU123" s="35">
        <v>63.39</v>
      </c>
      <c r="BV123" s="35">
        <v>63.29</v>
      </c>
      <c r="BW123" s="35">
        <v>63.4</v>
      </c>
      <c r="BX123" s="24">
        <f t="shared" si="27"/>
        <v>63.360000000000007</v>
      </c>
      <c r="BY123" t="s">
        <v>1252</v>
      </c>
      <c r="BZ123" t="s">
        <v>1252</v>
      </c>
      <c r="CA123" t="s">
        <v>1252</v>
      </c>
      <c r="CB123" t="s">
        <v>202</v>
      </c>
      <c r="CE123" s="144" t="s">
        <v>1253</v>
      </c>
      <c r="CF123" s="144" t="s">
        <v>1253</v>
      </c>
      <c r="CG123" s="266" t="s">
        <v>1253</v>
      </c>
    </row>
    <row r="124" spans="1:86" x14ac:dyDescent="0.25">
      <c r="A124" s="97" t="s">
        <v>516</v>
      </c>
      <c r="B124" s="260" t="s">
        <v>49</v>
      </c>
      <c r="C124" s="15" t="s">
        <v>379</v>
      </c>
      <c r="D124">
        <v>1515</v>
      </c>
      <c r="E124" s="15" t="s">
        <v>1512</v>
      </c>
      <c r="F124" s="100">
        <v>43245</v>
      </c>
      <c r="G124" t="s">
        <v>1513</v>
      </c>
      <c r="H124" s="9" t="s">
        <v>1108</v>
      </c>
      <c r="I124" s="10">
        <v>1</v>
      </c>
      <c r="J124" s="10" t="s">
        <v>50</v>
      </c>
      <c r="K124">
        <v>520</v>
      </c>
      <c r="L124">
        <v>94</v>
      </c>
      <c r="M124" s="9">
        <f t="shared" si="15"/>
        <v>426</v>
      </c>
      <c r="N124" s="35">
        <v>184</v>
      </c>
      <c r="O124" s="35">
        <v>183</v>
      </c>
      <c r="P124" s="35">
        <v>184</v>
      </c>
      <c r="Q124" s="24">
        <f t="shared" si="16"/>
        <v>183.66666666666666</v>
      </c>
      <c r="R124" s="35">
        <v>245</v>
      </c>
      <c r="S124" s="35">
        <v>244</v>
      </c>
      <c r="T124" s="35">
        <v>244</v>
      </c>
      <c r="U124" s="24">
        <f t="shared" si="14"/>
        <v>244.33333333333334</v>
      </c>
      <c r="V124" s="35">
        <v>14.78</v>
      </c>
      <c r="W124" s="35">
        <v>14.78</v>
      </c>
      <c r="X124" s="35">
        <v>14.87</v>
      </c>
      <c r="Y124" s="24">
        <f t="shared" si="17"/>
        <v>14.81</v>
      </c>
      <c r="Z124" s="35">
        <v>31.97</v>
      </c>
      <c r="AA124" s="35">
        <v>31.85</v>
      </c>
      <c r="AB124" s="35">
        <v>31.95</v>
      </c>
      <c r="AC124" s="24">
        <f t="shared" si="18"/>
        <v>31.923333333333332</v>
      </c>
      <c r="AD124" s="35">
        <v>41.9</v>
      </c>
      <c r="AE124" s="35">
        <v>41.75</v>
      </c>
      <c r="AF124" s="35">
        <v>41.8</v>
      </c>
      <c r="AG124" s="24">
        <f t="shared" si="19"/>
        <v>41.81666666666667</v>
      </c>
      <c r="AH124" s="35">
        <v>63.91</v>
      </c>
      <c r="AI124" s="35">
        <v>63.9</v>
      </c>
      <c r="AJ124" s="35">
        <v>63.94</v>
      </c>
      <c r="AK124" s="24">
        <f t="shared" si="20"/>
        <v>63.916666666666664</v>
      </c>
      <c r="AL124" s="35">
        <v>18.86</v>
      </c>
      <c r="AM124" s="35">
        <v>18.97</v>
      </c>
      <c r="AN124" s="35">
        <v>18.66</v>
      </c>
      <c r="AP124" s="35">
        <v>27.46</v>
      </c>
      <c r="AQ124" s="35">
        <v>27.49</v>
      </c>
      <c r="AR124" s="35">
        <v>27.54</v>
      </c>
      <c r="AW124" s="35">
        <v>32.6</v>
      </c>
      <c r="AX124" s="35">
        <v>32.6</v>
      </c>
      <c r="AY124" s="35">
        <v>32.6</v>
      </c>
      <c r="AZ124" s="24">
        <f t="shared" si="21"/>
        <v>32.6</v>
      </c>
      <c r="BA124" s="35">
        <v>42.93</v>
      </c>
      <c r="BB124" s="35">
        <v>42.98</v>
      </c>
      <c r="BC124" s="35">
        <v>42.91</v>
      </c>
      <c r="BD124" s="24">
        <f t="shared" si="22"/>
        <v>42.94</v>
      </c>
      <c r="BE124" s="35">
        <v>65.91</v>
      </c>
      <c r="BF124" s="35">
        <v>65.790000000000006</v>
      </c>
      <c r="BG124" s="35">
        <v>65.930000000000007</v>
      </c>
      <c r="BH124" s="24">
        <f t="shared" si="23"/>
        <v>65.876666666666665</v>
      </c>
      <c r="BI124" s="35">
        <v>51.85</v>
      </c>
      <c r="BJ124" s="35">
        <v>51.88</v>
      </c>
      <c r="BK124" s="35">
        <v>51.85</v>
      </c>
      <c r="BL124" s="24">
        <f t="shared" si="24"/>
        <v>51.860000000000007</v>
      </c>
      <c r="BM124" s="35">
        <v>51.88</v>
      </c>
      <c r="BN124" s="35">
        <v>51.8</v>
      </c>
      <c r="BO124" s="35">
        <v>51.85</v>
      </c>
      <c r="BP124" s="24">
        <f t="shared" si="25"/>
        <v>51.843333333333334</v>
      </c>
      <c r="BQ124" s="35">
        <v>35.99</v>
      </c>
      <c r="BR124" s="35">
        <v>35.92</v>
      </c>
      <c r="BS124" s="35">
        <v>35.99</v>
      </c>
      <c r="BT124" s="24">
        <f t="shared" si="26"/>
        <v>35.966666666666669</v>
      </c>
      <c r="BU124" s="35">
        <v>70.78</v>
      </c>
      <c r="BV124" s="35">
        <v>70.7</v>
      </c>
      <c r="BW124" s="35">
        <v>70.8</v>
      </c>
      <c r="BX124" s="24">
        <f t="shared" si="27"/>
        <v>70.760000000000005</v>
      </c>
      <c r="BY124" t="s">
        <v>1252</v>
      </c>
      <c r="BZ124" t="s">
        <v>1252</v>
      </c>
      <c r="CA124" t="s">
        <v>1252</v>
      </c>
      <c r="CB124" t="s">
        <v>202</v>
      </c>
      <c r="CE124" s="144" t="s">
        <v>1253</v>
      </c>
      <c r="CF124" s="144" t="s">
        <v>1253</v>
      </c>
      <c r="CG124" s="266" t="s">
        <v>1253</v>
      </c>
    </row>
    <row r="125" spans="1:86" x14ac:dyDescent="0.25">
      <c r="A125" s="97" t="s">
        <v>1514</v>
      </c>
      <c r="B125" s="260" t="s">
        <v>207</v>
      </c>
      <c r="C125" s="15" t="s">
        <v>379</v>
      </c>
      <c r="D125" s="12">
        <v>1479</v>
      </c>
      <c r="E125" s="265" t="s">
        <v>1515</v>
      </c>
      <c r="F125" s="100">
        <v>43245</v>
      </c>
      <c r="G125" t="s">
        <v>1516</v>
      </c>
      <c r="H125" s="9" t="s">
        <v>1108</v>
      </c>
      <c r="I125" s="10">
        <v>2</v>
      </c>
      <c r="J125" s="10" t="s">
        <v>64</v>
      </c>
      <c r="K125">
        <v>413</v>
      </c>
      <c r="L125">
        <v>92</v>
      </c>
      <c r="M125" s="9">
        <f t="shared" si="15"/>
        <v>321</v>
      </c>
      <c r="N125" s="35">
        <v>175</v>
      </c>
      <c r="O125" s="35">
        <v>175</v>
      </c>
      <c r="P125" s="35">
        <v>174</v>
      </c>
      <c r="Q125" s="24">
        <f t="shared" si="16"/>
        <v>174.66666666666666</v>
      </c>
      <c r="R125" s="35">
        <v>206</v>
      </c>
      <c r="S125" s="35">
        <v>206</v>
      </c>
      <c r="T125" s="35">
        <v>206</v>
      </c>
      <c r="U125" s="24">
        <f t="shared" si="14"/>
        <v>206</v>
      </c>
      <c r="V125" s="35">
        <v>13.82</v>
      </c>
      <c r="W125" s="35">
        <v>13.9</v>
      </c>
      <c r="X125" s="35">
        <v>13.67</v>
      </c>
      <c r="Y125" s="24">
        <f t="shared" si="17"/>
        <v>13.796666666666667</v>
      </c>
      <c r="Z125" s="35">
        <v>30.83</v>
      </c>
      <c r="AA125" s="35">
        <v>30.51</v>
      </c>
      <c r="AB125" s="35">
        <v>30.76</v>
      </c>
      <c r="AC125" s="24">
        <f t="shared" si="18"/>
        <v>30.700000000000003</v>
      </c>
      <c r="AD125" s="35">
        <v>40.24</v>
      </c>
      <c r="AE125" s="35">
        <v>40.46</v>
      </c>
      <c r="AF125" s="35">
        <v>40.200000000000003</v>
      </c>
      <c r="AG125" s="24">
        <f t="shared" si="19"/>
        <v>40.300000000000004</v>
      </c>
      <c r="AH125" s="35">
        <v>60.98</v>
      </c>
      <c r="AI125" s="35">
        <v>60.94</v>
      </c>
      <c r="AJ125" s="35">
        <v>60.85</v>
      </c>
      <c r="AK125" s="24">
        <f t="shared" si="20"/>
        <v>60.923333333333325</v>
      </c>
      <c r="AT125" s="10" t="s">
        <v>1251</v>
      </c>
      <c r="AU125">
        <v>8</v>
      </c>
      <c r="AV125" s="9">
        <v>4</v>
      </c>
      <c r="AW125" s="35">
        <v>30.45</v>
      </c>
      <c r="AX125" s="35">
        <v>30.26</v>
      </c>
      <c r="AY125" s="35">
        <v>30.16</v>
      </c>
      <c r="AZ125" s="24">
        <f t="shared" si="21"/>
        <v>30.290000000000003</v>
      </c>
      <c r="BA125" s="35">
        <v>39.909999999999997</v>
      </c>
      <c r="BB125" s="35">
        <v>39.880000000000003</v>
      </c>
      <c r="BC125" s="35">
        <v>39.85</v>
      </c>
      <c r="BD125" s="24">
        <f t="shared" si="22"/>
        <v>39.879999999999995</v>
      </c>
      <c r="BE125" s="35">
        <v>60.48</v>
      </c>
      <c r="BF125" s="35">
        <v>60.36</v>
      </c>
      <c r="BG125" s="35">
        <v>60.54</v>
      </c>
      <c r="BH125" s="24">
        <f t="shared" si="23"/>
        <v>60.46</v>
      </c>
      <c r="BI125" s="35">
        <v>47.32</v>
      </c>
      <c r="BJ125" s="35">
        <v>47.47</v>
      </c>
      <c r="BK125" s="35">
        <v>47.4</v>
      </c>
      <c r="BL125" s="24">
        <f t="shared" si="24"/>
        <v>47.396666666666668</v>
      </c>
      <c r="BM125" s="35">
        <v>47.76</v>
      </c>
      <c r="BN125" s="35">
        <v>47.72</v>
      </c>
      <c r="BO125" s="35">
        <v>47.59</v>
      </c>
      <c r="BP125" s="24">
        <f t="shared" si="25"/>
        <v>47.69</v>
      </c>
      <c r="BQ125" s="35">
        <v>35.229999999999997</v>
      </c>
      <c r="BR125" s="35">
        <v>35.24</v>
      </c>
      <c r="BS125" s="35">
        <v>35.200000000000003</v>
      </c>
      <c r="BT125" s="24">
        <f t="shared" si="26"/>
        <v>35.223333333333336</v>
      </c>
      <c r="BU125" s="35">
        <v>64.599999999999994</v>
      </c>
      <c r="BV125" s="35">
        <v>64.37</v>
      </c>
      <c r="BW125" s="35">
        <v>64.5</v>
      </c>
      <c r="BX125" s="24">
        <f t="shared" si="27"/>
        <v>64.489999999999995</v>
      </c>
      <c r="BY125" t="s">
        <v>1252</v>
      </c>
      <c r="BZ125" t="s">
        <v>1252</v>
      </c>
      <c r="CA125" t="s">
        <v>1252</v>
      </c>
      <c r="CB125" t="s">
        <v>202</v>
      </c>
      <c r="CE125" s="144" t="s">
        <v>1253</v>
      </c>
      <c r="CF125" s="144" t="s">
        <v>1253</v>
      </c>
      <c r="CG125" s="266" t="s">
        <v>1253</v>
      </c>
    </row>
    <row r="126" spans="1:86" x14ac:dyDescent="0.25">
      <c r="A126" s="97" t="s">
        <v>1517</v>
      </c>
      <c r="B126" s="260" t="s">
        <v>49</v>
      </c>
      <c r="C126" s="15">
        <v>98</v>
      </c>
      <c r="D126">
        <v>1706</v>
      </c>
      <c r="E126" s="15" t="s">
        <v>379</v>
      </c>
      <c r="F126" s="100">
        <v>43245</v>
      </c>
      <c r="G126" t="s">
        <v>1518</v>
      </c>
      <c r="H126" s="9" t="s">
        <v>1108</v>
      </c>
      <c r="I126" s="10">
        <v>1</v>
      </c>
      <c r="J126" s="10" t="s">
        <v>50</v>
      </c>
      <c r="K126">
        <v>565</v>
      </c>
      <c r="L126">
        <v>93</v>
      </c>
      <c r="M126" s="9">
        <f t="shared" si="15"/>
        <v>472</v>
      </c>
      <c r="N126" s="35">
        <v>195</v>
      </c>
      <c r="O126" s="35">
        <v>194</v>
      </c>
      <c r="P126" s="35">
        <v>194</v>
      </c>
      <c r="Q126" s="24">
        <f t="shared" si="16"/>
        <v>194.33333333333334</v>
      </c>
      <c r="R126" s="35">
        <v>242</v>
      </c>
      <c r="S126" s="35">
        <v>241</v>
      </c>
      <c r="T126" s="35">
        <v>241</v>
      </c>
      <c r="U126" s="24">
        <f t="shared" si="14"/>
        <v>241.33333333333334</v>
      </c>
      <c r="V126" s="35">
        <v>14.5</v>
      </c>
      <c r="W126" s="35">
        <v>14.5</v>
      </c>
      <c r="X126" s="35">
        <v>14.61</v>
      </c>
      <c r="Y126" s="24">
        <f t="shared" si="17"/>
        <v>14.536666666666667</v>
      </c>
      <c r="Z126" s="35">
        <v>32.85</v>
      </c>
      <c r="AA126" s="35">
        <v>32.86</v>
      </c>
      <c r="AB126" s="35">
        <v>32.76</v>
      </c>
      <c r="AC126" s="24">
        <f t="shared" si="18"/>
        <v>32.823333333333331</v>
      </c>
      <c r="AD126" s="35">
        <v>44.92</v>
      </c>
      <c r="AE126" s="35">
        <v>44.9</v>
      </c>
      <c r="AF126" s="35">
        <v>44.9</v>
      </c>
      <c r="AG126" s="24">
        <f t="shared" si="19"/>
        <v>44.906666666666666</v>
      </c>
      <c r="AH126" s="35">
        <v>66.34</v>
      </c>
      <c r="AI126" s="35">
        <v>66.349999999999994</v>
      </c>
      <c r="AJ126" s="35">
        <v>66.33</v>
      </c>
      <c r="AK126" s="24">
        <f t="shared" si="20"/>
        <v>66.339999999999989</v>
      </c>
      <c r="AL126" s="35">
        <v>20.78</v>
      </c>
      <c r="AM126" s="35">
        <v>20.64</v>
      </c>
      <c r="AN126" s="35">
        <v>20.74</v>
      </c>
      <c r="AP126" s="35">
        <v>26.15</v>
      </c>
      <c r="AQ126" s="35">
        <v>26.18</v>
      </c>
      <c r="AR126" s="35">
        <v>26.4</v>
      </c>
      <c r="AW126" s="35">
        <v>33.79</v>
      </c>
      <c r="AX126" s="35">
        <v>33.630000000000003</v>
      </c>
      <c r="AY126" s="35">
        <v>33.729999999999997</v>
      </c>
      <c r="AZ126" s="24">
        <f t="shared" si="21"/>
        <v>33.716666666666669</v>
      </c>
      <c r="BA126" s="35">
        <v>44.4</v>
      </c>
      <c r="BB126" s="35">
        <v>44.55</v>
      </c>
      <c r="BC126" s="35">
        <v>44.6</v>
      </c>
      <c r="BD126" s="24">
        <f t="shared" si="22"/>
        <v>44.516666666666659</v>
      </c>
      <c r="BE126" s="35">
        <v>66.459999999999994</v>
      </c>
      <c r="BF126" s="35">
        <v>66.599999999999994</v>
      </c>
      <c r="BG126" s="35">
        <v>66.459999999999994</v>
      </c>
      <c r="BH126" s="24">
        <f t="shared" si="23"/>
        <v>66.506666666666661</v>
      </c>
      <c r="BI126" s="35">
        <v>52.83</v>
      </c>
      <c r="BJ126" s="35">
        <v>52.8</v>
      </c>
      <c r="BK126" s="35">
        <v>52.94</v>
      </c>
      <c r="BL126" s="24">
        <f t="shared" si="24"/>
        <v>52.856666666666662</v>
      </c>
      <c r="BM126" s="35">
        <v>52.55</v>
      </c>
      <c r="BN126" s="35">
        <v>52.58</v>
      </c>
      <c r="BO126" s="35">
        <v>52.48</v>
      </c>
      <c r="BP126" s="24">
        <f t="shared" si="25"/>
        <v>52.536666666666662</v>
      </c>
      <c r="BQ126" s="35">
        <v>37.619999999999997</v>
      </c>
      <c r="BR126" s="35">
        <v>37.86</v>
      </c>
      <c r="BS126" s="35">
        <v>37.979999999999997</v>
      </c>
      <c r="BT126" s="24">
        <f t="shared" si="26"/>
        <v>37.819999999999993</v>
      </c>
      <c r="BU126" s="35">
        <v>71.28</v>
      </c>
      <c r="BV126" s="35">
        <v>71.3</v>
      </c>
      <c r="BW126" s="35">
        <v>71.430000000000007</v>
      </c>
      <c r="BX126" s="24">
        <f t="shared" si="27"/>
        <v>71.336666666666659</v>
      </c>
      <c r="BY126" t="s">
        <v>1252</v>
      </c>
      <c r="BZ126" t="s">
        <v>1252</v>
      </c>
      <c r="CA126" t="s">
        <v>1252</v>
      </c>
      <c r="CB126" s="100">
        <v>43245</v>
      </c>
      <c r="CE126" s="12">
        <v>0.6</v>
      </c>
    </row>
    <row r="127" spans="1:86" x14ac:dyDescent="0.25">
      <c r="A127" s="97" t="s">
        <v>1519</v>
      </c>
      <c r="B127" s="260" t="s">
        <v>49</v>
      </c>
      <c r="C127" s="15">
        <v>99</v>
      </c>
      <c r="D127">
        <v>1707</v>
      </c>
      <c r="E127" s="15" t="s">
        <v>379</v>
      </c>
      <c r="F127" s="100">
        <v>43245</v>
      </c>
      <c r="G127" t="s">
        <v>1520</v>
      </c>
      <c r="H127" s="9" t="s">
        <v>1108</v>
      </c>
      <c r="I127" s="10">
        <v>1</v>
      </c>
      <c r="J127" s="10" t="s">
        <v>64</v>
      </c>
      <c r="K127">
        <v>336</v>
      </c>
      <c r="L127">
        <v>95</v>
      </c>
      <c r="M127" s="9">
        <f t="shared" si="15"/>
        <v>241</v>
      </c>
      <c r="N127" s="35">
        <v>151</v>
      </c>
      <c r="O127" s="35">
        <v>150</v>
      </c>
      <c r="P127" s="35">
        <v>151</v>
      </c>
      <c r="Q127" s="24">
        <f t="shared" si="16"/>
        <v>150.66666666666666</v>
      </c>
      <c r="R127" s="35">
        <v>215</v>
      </c>
      <c r="S127" s="35">
        <v>214</v>
      </c>
      <c r="T127" s="35">
        <v>214</v>
      </c>
      <c r="U127" s="24">
        <f t="shared" si="14"/>
        <v>214.33333333333334</v>
      </c>
      <c r="V127" s="35">
        <v>10.65</v>
      </c>
      <c r="W127" s="35">
        <v>10.3</v>
      </c>
      <c r="X127" s="35">
        <v>10.52</v>
      </c>
      <c r="Y127" s="24">
        <f t="shared" si="17"/>
        <v>10.49</v>
      </c>
      <c r="Z127" s="35">
        <v>29.72</v>
      </c>
      <c r="AA127" s="35">
        <v>29.82</v>
      </c>
      <c r="AB127" s="35">
        <v>29.71</v>
      </c>
      <c r="AC127" s="24">
        <f t="shared" si="18"/>
        <v>29.75</v>
      </c>
      <c r="AD127" s="35">
        <v>39.08</v>
      </c>
      <c r="AE127" s="35">
        <v>39.090000000000003</v>
      </c>
      <c r="AF127" s="35">
        <v>39.06</v>
      </c>
      <c r="AG127" s="24">
        <f t="shared" si="19"/>
        <v>39.076666666666668</v>
      </c>
      <c r="AH127" s="35">
        <v>57.34</v>
      </c>
      <c r="AI127" s="35">
        <v>57.53</v>
      </c>
      <c r="AJ127" s="35">
        <v>57.5</v>
      </c>
      <c r="AK127" s="24">
        <f t="shared" si="20"/>
        <v>57.456666666666671</v>
      </c>
      <c r="AT127" s="10" t="s">
        <v>1258</v>
      </c>
      <c r="AU127">
        <v>8</v>
      </c>
      <c r="AV127" s="9">
        <v>0</v>
      </c>
      <c r="AW127" s="35">
        <v>29.59</v>
      </c>
      <c r="AX127" s="35">
        <v>29.91</v>
      </c>
      <c r="AY127" s="35">
        <v>29.89</v>
      </c>
      <c r="AZ127" s="24">
        <f t="shared" si="21"/>
        <v>29.796666666666667</v>
      </c>
      <c r="BA127" s="35">
        <v>37.630000000000003</v>
      </c>
      <c r="BB127" s="35">
        <v>37.92</v>
      </c>
      <c r="BC127" s="35">
        <v>37.9</v>
      </c>
      <c r="BD127" s="24">
        <f t="shared" si="22"/>
        <v>37.81666666666667</v>
      </c>
      <c r="BE127" s="35">
        <v>57.71</v>
      </c>
      <c r="BF127" s="35">
        <v>57.96</v>
      </c>
      <c r="BG127" s="35">
        <v>57.88</v>
      </c>
      <c r="BH127" s="24">
        <f t="shared" si="23"/>
        <v>57.85</v>
      </c>
      <c r="BI127" s="35">
        <v>44.03</v>
      </c>
      <c r="BJ127" s="35">
        <v>44.05</v>
      </c>
      <c r="BK127" s="35">
        <v>44.02</v>
      </c>
      <c r="BL127" s="24">
        <f t="shared" si="24"/>
        <v>44.033333333333331</v>
      </c>
      <c r="BM127" s="35">
        <v>44.01</v>
      </c>
      <c r="BN127" s="35">
        <v>44.08</v>
      </c>
      <c r="BO127" s="35">
        <v>44.05</v>
      </c>
      <c r="BP127" s="24">
        <f t="shared" si="25"/>
        <v>44.04666666666666</v>
      </c>
      <c r="BQ127" s="35">
        <v>33.51</v>
      </c>
      <c r="BR127" s="35">
        <v>33.64</v>
      </c>
      <c r="BS127" s="35">
        <v>33.450000000000003</v>
      </c>
      <c r="BT127" s="24">
        <f t="shared" si="26"/>
        <v>33.533333333333339</v>
      </c>
      <c r="BU127" s="35">
        <v>58.85</v>
      </c>
      <c r="BV127" s="35">
        <v>58.95</v>
      </c>
      <c r="BW127" s="35">
        <v>58.73</v>
      </c>
      <c r="BX127" s="24">
        <f t="shared" si="27"/>
        <v>58.843333333333334</v>
      </c>
      <c r="BY127" t="s">
        <v>1252</v>
      </c>
      <c r="BZ127" t="s">
        <v>1252</v>
      </c>
      <c r="CA127" t="s">
        <v>1252</v>
      </c>
      <c r="CB127" s="100">
        <v>43245</v>
      </c>
      <c r="CD127" s="100">
        <v>43245</v>
      </c>
      <c r="CE127" s="12">
        <v>0.9</v>
      </c>
    </row>
    <row r="128" spans="1:86" x14ac:dyDescent="0.25">
      <c r="A128" s="97" t="s">
        <v>1521</v>
      </c>
      <c r="B128" s="260" t="s">
        <v>49</v>
      </c>
      <c r="C128" s="15">
        <v>100</v>
      </c>
      <c r="D128">
        <v>1708</v>
      </c>
      <c r="E128" s="15" t="s">
        <v>379</v>
      </c>
      <c r="F128" s="100">
        <v>43245</v>
      </c>
      <c r="G128" t="s">
        <v>1522</v>
      </c>
      <c r="H128" s="9" t="s">
        <v>1111</v>
      </c>
      <c r="I128" s="10">
        <v>1</v>
      </c>
      <c r="J128" s="10" t="s">
        <v>50</v>
      </c>
      <c r="K128">
        <v>537</v>
      </c>
      <c r="L128">
        <v>89</v>
      </c>
      <c r="M128" s="9">
        <f t="shared" si="15"/>
        <v>448</v>
      </c>
      <c r="N128" s="35">
        <v>205</v>
      </c>
      <c r="O128" s="35">
        <v>204</v>
      </c>
      <c r="P128" s="35">
        <v>204</v>
      </c>
      <c r="Q128" s="24">
        <f t="shared" si="16"/>
        <v>204.33333333333334</v>
      </c>
      <c r="R128" s="35">
        <v>275</v>
      </c>
      <c r="S128" s="35">
        <v>275</v>
      </c>
      <c r="T128" s="35">
        <v>275</v>
      </c>
      <c r="U128" s="24">
        <f t="shared" si="14"/>
        <v>275</v>
      </c>
      <c r="V128" s="35">
        <v>13.3</v>
      </c>
      <c r="W128" s="35">
        <v>13.21</v>
      </c>
      <c r="X128" s="35">
        <v>13.4</v>
      </c>
      <c r="Y128" s="24">
        <f t="shared" si="17"/>
        <v>13.303333333333335</v>
      </c>
      <c r="Z128" s="35">
        <v>34.54</v>
      </c>
      <c r="AA128" s="35">
        <v>34.1</v>
      </c>
      <c r="AB128" s="35">
        <v>34.53</v>
      </c>
      <c r="AC128" s="24">
        <f t="shared" si="18"/>
        <v>34.39</v>
      </c>
      <c r="AD128" s="35">
        <v>46.06</v>
      </c>
      <c r="AE128" s="35">
        <v>45.95</v>
      </c>
      <c r="AF128" s="35">
        <v>46.04</v>
      </c>
      <c r="AG128" s="24">
        <f t="shared" si="19"/>
        <v>46.016666666666673</v>
      </c>
      <c r="AH128" s="35">
        <v>69.819999999999993</v>
      </c>
      <c r="AI128" s="35">
        <v>69.73</v>
      </c>
      <c r="AJ128" s="35">
        <v>69.849999999999994</v>
      </c>
      <c r="AK128" s="24">
        <f t="shared" si="20"/>
        <v>69.8</v>
      </c>
      <c r="AL128" s="35">
        <v>18.5</v>
      </c>
      <c r="AM128" s="35">
        <v>18.91</v>
      </c>
      <c r="AN128" s="35">
        <v>18.78</v>
      </c>
      <c r="AP128" s="35">
        <v>25.06</v>
      </c>
      <c r="AQ128" s="35">
        <v>24.85</v>
      </c>
      <c r="AR128" s="35">
        <v>25.08</v>
      </c>
      <c r="AW128" s="35">
        <v>34.76</v>
      </c>
      <c r="AX128" s="35">
        <v>34.72</v>
      </c>
      <c r="AY128" s="35">
        <v>34.75</v>
      </c>
      <c r="AZ128" s="24">
        <f t="shared" si="21"/>
        <v>34.743333333333332</v>
      </c>
      <c r="BA128" s="35">
        <v>46.85</v>
      </c>
      <c r="BB128" s="35">
        <v>46.83</v>
      </c>
      <c r="BC128" s="35">
        <v>46.83</v>
      </c>
      <c r="BD128" s="24">
        <f t="shared" si="22"/>
        <v>46.836666666666666</v>
      </c>
      <c r="BE128" s="35">
        <v>68.790000000000006</v>
      </c>
      <c r="BF128" s="35">
        <v>68.849999999999994</v>
      </c>
      <c r="BG128" s="35">
        <v>68.7</v>
      </c>
      <c r="BH128" s="24">
        <f t="shared" si="23"/>
        <v>68.779999999999987</v>
      </c>
      <c r="BI128" s="35">
        <v>55.88</v>
      </c>
      <c r="BJ128" s="35">
        <v>55.87</v>
      </c>
      <c r="BK128" s="35">
        <v>55.84</v>
      </c>
      <c r="BL128" s="24">
        <f t="shared" si="24"/>
        <v>55.863333333333337</v>
      </c>
      <c r="BM128" s="35">
        <v>54.41</v>
      </c>
      <c r="BN128" s="35">
        <v>54.56</v>
      </c>
      <c r="BO128" s="35">
        <v>54.78</v>
      </c>
      <c r="BP128" s="24">
        <f t="shared" si="25"/>
        <v>54.583333333333336</v>
      </c>
      <c r="BQ128" s="35">
        <v>36.700000000000003</v>
      </c>
      <c r="BR128" s="35">
        <v>36.74</v>
      </c>
      <c r="BS128" s="35">
        <v>36.520000000000003</v>
      </c>
      <c r="BT128" s="24">
        <f t="shared" si="26"/>
        <v>36.653333333333336</v>
      </c>
      <c r="BU128" s="35">
        <v>75.94</v>
      </c>
      <c r="BV128" s="35">
        <v>75.42</v>
      </c>
      <c r="BW128" s="35">
        <v>75.040000000000006</v>
      </c>
      <c r="BX128" s="24">
        <f t="shared" si="27"/>
        <v>75.466666666666683</v>
      </c>
      <c r="BY128" t="s">
        <v>1252</v>
      </c>
      <c r="BZ128" t="s">
        <v>1252</v>
      </c>
      <c r="CA128" t="s">
        <v>1252</v>
      </c>
      <c r="CB128" s="100">
        <v>43245</v>
      </c>
      <c r="CE128" s="12">
        <v>0.4</v>
      </c>
    </row>
    <row r="129" spans="1:83" x14ac:dyDescent="0.25">
      <c r="A129" s="97" t="s">
        <v>1523</v>
      </c>
      <c r="B129" s="260" t="s">
        <v>49</v>
      </c>
      <c r="C129" s="15">
        <v>101</v>
      </c>
      <c r="D129">
        <v>1709</v>
      </c>
      <c r="E129" s="15" t="s">
        <v>379</v>
      </c>
      <c r="F129" s="100">
        <v>43245</v>
      </c>
      <c r="G129" t="s">
        <v>1524</v>
      </c>
      <c r="H129" s="9" t="s">
        <v>1111</v>
      </c>
      <c r="I129" s="10">
        <v>1</v>
      </c>
      <c r="J129" s="10" t="s">
        <v>50</v>
      </c>
      <c r="K129">
        <v>452</v>
      </c>
      <c r="L129">
        <v>91</v>
      </c>
      <c r="M129" s="9">
        <f t="shared" si="15"/>
        <v>361</v>
      </c>
      <c r="N129" s="35">
        <v>192</v>
      </c>
      <c r="O129" s="35">
        <v>192</v>
      </c>
      <c r="P129" s="35">
        <v>192</v>
      </c>
      <c r="Q129" s="24">
        <f t="shared" si="16"/>
        <v>192</v>
      </c>
      <c r="R129" s="35">
        <v>230</v>
      </c>
      <c r="S129" s="35">
        <v>232</v>
      </c>
      <c r="T129" s="35">
        <v>232</v>
      </c>
      <c r="U129" s="24">
        <f t="shared" si="14"/>
        <v>231.33333333333334</v>
      </c>
      <c r="V129" s="35">
        <v>12.54</v>
      </c>
      <c r="W129" s="35">
        <v>12.8</v>
      </c>
      <c r="X129" s="35">
        <v>12.74</v>
      </c>
      <c r="Y129" s="24">
        <f t="shared" si="17"/>
        <v>12.693333333333333</v>
      </c>
      <c r="Z129" s="35">
        <v>32.67</v>
      </c>
      <c r="AA129" s="35">
        <v>32.520000000000003</v>
      </c>
      <c r="AB129" s="35">
        <v>32.74</v>
      </c>
      <c r="AC129" s="24">
        <f t="shared" si="18"/>
        <v>32.643333333333338</v>
      </c>
      <c r="AD129" s="35">
        <v>41.72</v>
      </c>
      <c r="AE129" s="35">
        <v>41.78</v>
      </c>
      <c r="AF129" s="35">
        <v>41.7</v>
      </c>
      <c r="AG129" s="24">
        <f t="shared" si="19"/>
        <v>41.733333333333334</v>
      </c>
      <c r="AH129" s="35">
        <v>66.319999999999993</v>
      </c>
      <c r="AI129" s="35">
        <v>66.27</v>
      </c>
      <c r="AJ129" s="35">
        <v>66.27</v>
      </c>
      <c r="AK129" s="24">
        <f t="shared" si="20"/>
        <v>66.286666666666648</v>
      </c>
      <c r="AL129" s="35">
        <v>16.649999999999999</v>
      </c>
      <c r="AM129" s="35">
        <v>16.18</v>
      </c>
      <c r="AN129" s="35">
        <v>16.16</v>
      </c>
      <c r="AP129" s="35">
        <v>25.84</v>
      </c>
      <c r="AQ129" s="35">
        <v>25.48</v>
      </c>
      <c r="AR129" s="35">
        <v>25.24</v>
      </c>
      <c r="AW129" s="35">
        <v>32.74</v>
      </c>
      <c r="AX129" s="35">
        <v>32.9</v>
      </c>
      <c r="AY129" s="35">
        <v>32.44</v>
      </c>
      <c r="AZ129" s="24">
        <f t="shared" si="21"/>
        <v>32.693333333333335</v>
      </c>
      <c r="BA129" s="35">
        <v>42.02</v>
      </c>
      <c r="BB129" s="35">
        <v>42.06</v>
      </c>
      <c r="BC129" s="35">
        <v>42.07</v>
      </c>
      <c r="BD129" s="24">
        <f t="shared" si="22"/>
        <v>42.050000000000004</v>
      </c>
      <c r="BE129" s="35">
        <v>66.27</v>
      </c>
      <c r="BF129" s="35">
        <v>66.22</v>
      </c>
      <c r="BG129" s="35">
        <v>66.34</v>
      </c>
      <c r="BH129" s="24">
        <f t="shared" si="23"/>
        <v>66.276666666666671</v>
      </c>
      <c r="BI129" s="35">
        <v>52.83</v>
      </c>
      <c r="BJ129" s="35">
        <v>52.88</v>
      </c>
      <c r="BK129" s="35">
        <v>52.8</v>
      </c>
      <c r="BL129" s="24">
        <f t="shared" si="24"/>
        <v>52.836666666666666</v>
      </c>
      <c r="BM129" s="35">
        <v>52.38</v>
      </c>
      <c r="BN129" s="35">
        <v>52.38</v>
      </c>
      <c r="BO129" s="35">
        <v>52.37</v>
      </c>
      <c r="BP129" s="24">
        <f t="shared" si="25"/>
        <v>52.376666666666665</v>
      </c>
      <c r="BQ129" s="35">
        <v>35.57</v>
      </c>
      <c r="BR129" s="35">
        <v>35.53</v>
      </c>
      <c r="BS129" s="35">
        <v>35.590000000000003</v>
      </c>
      <c r="BT129" s="24">
        <f t="shared" si="26"/>
        <v>35.563333333333333</v>
      </c>
      <c r="BU129" s="35">
        <v>69.78</v>
      </c>
      <c r="BV129" s="35">
        <v>69.72</v>
      </c>
      <c r="BW129" s="35">
        <v>69.739999999999995</v>
      </c>
      <c r="BX129" s="24">
        <f t="shared" si="27"/>
        <v>69.74666666666667</v>
      </c>
      <c r="BY129" t="s">
        <v>1252</v>
      </c>
      <c r="BZ129" t="s">
        <v>1252</v>
      </c>
      <c r="CA129" t="s">
        <v>1252</v>
      </c>
      <c r="CB129" s="100">
        <v>43245</v>
      </c>
      <c r="CD129" s="100">
        <v>43246</v>
      </c>
      <c r="CE129" s="12">
        <v>1</v>
      </c>
    </row>
    <row r="130" spans="1:83" x14ac:dyDescent="0.25">
      <c r="A130" s="97" t="s">
        <v>1525</v>
      </c>
      <c r="B130" s="260" t="s">
        <v>49</v>
      </c>
      <c r="C130" s="15">
        <v>102</v>
      </c>
      <c r="D130">
        <v>1710</v>
      </c>
      <c r="E130" s="15" t="s">
        <v>379</v>
      </c>
      <c r="F130" s="100">
        <v>43245</v>
      </c>
      <c r="G130" t="s">
        <v>1526</v>
      </c>
      <c r="H130" s="9" t="s">
        <v>1108</v>
      </c>
      <c r="I130" s="10">
        <v>1</v>
      </c>
      <c r="J130" s="10" t="s">
        <v>50</v>
      </c>
      <c r="K130">
        <v>655</v>
      </c>
      <c r="L130">
        <v>93</v>
      </c>
      <c r="M130" s="9">
        <f t="shared" si="15"/>
        <v>562</v>
      </c>
      <c r="N130" s="35">
        <v>204</v>
      </c>
      <c r="O130" s="35">
        <v>203</v>
      </c>
      <c r="P130" s="35">
        <v>203</v>
      </c>
      <c r="Q130" s="24">
        <f t="shared" si="16"/>
        <v>203.33333333333334</v>
      </c>
      <c r="R130" s="35">
        <v>256</v>
      </c>
      <c r="S130" s="35">
        <v>255</v>
      </c>
      <c r="T130" s="35">
        <v>255</v>
      </c>
      <c r="U130" s="24">
        <f t="shared" si="14"/>
        <v>255.33333333333334</v>
      </c>
      <c r="V130" s="35">
        <v>15.6</v>
      </c>
      <c r="W130" s="35">
        <v>15.49</v>
      </c>
      <c r="X130" s="35">
        <v>15.45</v>
      </c>
      <c r="Y130" s="24">
        <f t="shared" si="17"/>
        <v>15.513333333333334</v>
      </c>
      <c r="Z130" s="35">
        <v>32.78</v>
      </c>
      <c r="AA130" s="35">
        <v>32.79</v>
      </c>
      <c r="AB130" s="35">
        <v>32.729999999999997</v>
      </c>
      <c r="AC130" s="24">
        <f t="shared" ref="AC130:AC139" si="29">(Z130+AA130+AB130)/3</f>
        <v>32.766666666666659</v>
      </c>
      <c r="AD130" s="35">
        <v>42.84</v>
      </c>
      <c r="AE130" s="35">
        <v>42.73</v>
      </c>
      <c r="AF130" s="35">
        <v>42.76</v>
      </c>
      <c r="AG130" s="24">
        <f t="shared" ref="AG130:AG139" si="30">(AD130+AE130+AF130)/3</f>
        <v>42.776666666666664</v>
      </c>
      <c r="AH130" s="35">
        <v>67.67</v>
      </c>
      <c r="AI130" s="35">
        <v>67.760000000000005</v>
      </c>
      <c r="AJ130" s="35">
        <v>67.77</v>
      </c>
      <c r="AK130" s="24">
        <f t="shared" ref="AK130:AK139" si="31">(AH130+AI130+AJ130)/3</f>
        <v>67.733333333333334</v>
      </c>
      <c r="AL130" s="35">
        <v>18.05</v>
      </c>
      <c r="AM130" s="35">
        <v>18.3</v>
      </c>
      <c r="AN130" s="35">
        <v>18.170000000000002</v>
      </c>
      <c r="AP130" s="35">
        <v>25.32</v>
      </c>
      <c r="AQ130" s="35">
        <v>25.15</v>
      </c>
      <c r="AR130" s="35">
        <v>25.17</v>
      </c>
      <c r="AW130" s="35">
        <v>33.03</v>
      </c>
      <c r="AX130" s="35">
        <v>33.11</v>
      </c>
      <c r="AY130" s="35">
        <v>33.159999999999997</v>
      </c>
      <c r="AZ130" s="24">
        <f t="shared" si="21"/>
        <v>33.1</v>
      </c>
      <c r="BA130" s="35">
        <v>43.55</v>
      </c>
      <c r="BB130" s="35">
        <v>43.74</v>
      </c>
      <c r="BC130" s="35">
        <v>43.6</v>
      </c>
      <c r="BD130" s="24">
        <f t="shared" ref="BD130:BD139" si="32">(BA130+BB130+BC130)/3</f>
        <v>43.629999999999995</v>
      </c>
      <c r="BE130" s="35">
        <v>68.64</v>
      </c>
      <c r="BF130" s="35">
        <v>68.739999999999995</v>
      </c>
      <c r="BG130" s="35">
        <v>68.64</v>
      </c>
      <c r="BH130" s="24">
        <f t="shared" ref="BH130:BH139" si="33">(BE130+BF130+BG130)/3</f>
        <v>68.673333333333332</v>
      </c>
      <c r="BI130" s="35">
        <v>54.4</v>
      </c>
      <c r="BJ130" s="35">
        <v>54.36</v>
      </c>
      <c r="BK130" s="35">
        <v>54.39</v>
      </c>
      <c r="BL130" s="24">
        <f t="shared" ref="BL130:BL139" si="34">(BI130+BJ130+BK130)/3</f>
        <v>54.383333333333326</v>
      </c>
      <c r="BM130" s="35">
        <v>55.22</v>
      </c>
      <c r="BN130" s="35">
        <v>55.22</v>
      </c>
      <c r="BO130" s="35">
        <v>55.32</v>
      </c>
      <c r="BP130" s="24">
        <f t="shared" ref="BP130:BP139" si="35">(BM130+BN130+BO130)/3</f>
        <v>55.25333333333333</v>
      </c>
      <c r="BQ130" s="35">
        <v>39.25</v>
      </c>
      <c r="BR130" s="35">
        <v>39.32</v>
      </c>
      <c r="BS130" s="35">
        <v>39.33</v>
      </c>
      <c r="BT130" s="24">
        <f t="shared" ref="BT130:BT139" si="36">(BQ130+BR130+BS130)/3</f>
        <v>39.299999999999997</v>
      </c>
      <c r="BU130" s="35">
        <v>70.290000000000006</v>
      </c>
      <c r="BV130" s="35">
        <v>70.2</v>
      </c>
      <c r="BW130" s="35">
        <v>70.38</v>
      </c>
      <c r="BX130" s="24">
        <f t="shared" ref="BX130:BX139" si="37">(BU130+BV130+BW130)/3</f>
        <v>70.290000000000006</v>
      </c>
      <c r="BY130" t="s">
        <v>1252</v>
      </c>
      <c r="BZ130" t="s">
        <v>1252</v>
      </c>
      <c r="CA130" t="s">
        <v>1252</v>
      </c>
      <c r="CB130" s="100">
        <v>43245</v>
      </c>
      <c r="CE130" s="12">
        <v>0</v>
      </c>
    </row>
    <row r="131" spans="1:83" x14ac:dyDescent="0.25">
      <c r="A131" s="97" t="s">
        <v>1527</v>
      </c>
      <c r="B131" s="260" t="s">
        <v>49</v>
      </c>
      <c r="C131" s="15">
        <v>103</v>
      </c>
      <c r="D131">
        <v>1711</v>
      </c>
      <c r="E131" s="15" t="s">
        <v>379</v>
      </c>
      <c r="F131" s="100">
        <v>43246</v>
      </c>
      <c r="G131" t="s">
        <v>1528</v>
      </c>
      <c r="H131" s="9" t="s">
        <v>1111</v>
      </c>
      <c r="I131" s="10">
        <v>1</v>
      </c>
      <c r="J131" s="10" t="s">
        <v>50</v>
      </c>
      <c r="K131">
        <v>610</v>
      </c>
      <c r="L131">
        <v>92</v>
      </c>
      <c r="M131" s="9">
        <f t="shared" si="15"/>
        <v>518</v>
      </c>
      <c r="N131" s="35">
        <v>199</v>
      </c>
      <c r="O131" s="35">
        <v>198</v>
      </c>
      <c r="P131" s="35">
        <v>198</v>
      </c>
      <c r="Q131" s="24">
        <f t="shared" si="16"/>
        <v>198.33333333333334</v>
      </c>
      <c r="R131" s="35">
        <v>268</v>
      </c>
      <c r="S131" s="35">
        <v>268</v>
      </c>
      <c r="T131" s="35">
        <v>268</v>
      </c>
      <c r="U131" s="24">
        <f t="shared" si="14"/>
        <v>268</v>
      </c>
      <c r="V131" s="35">
        <v>15.44</v>
      </c>
      <c r="W131" s="35">
        <v>15.46</v>
      </c>
      <c r="X131" s="35">
        <v>15.52</v>
      </c>
      <c r="Y131" s="24">
        <f t="shared" si="17"/>
        <v>15.473333333333334</v>
      </c>
      <c r="Z131" s="35">
        <v>34.92</v>
      </c>
      <c r="AA131" s="35">
        <v>34.99</v>
      </c>
      <c r="AB131" s="35">
        <v>34.86</v>
      </c>
      <c r="AC131" s="24">
        <f t="shared" si="29"/>
        <v>34.923333333333332</v>
      </c>
      <c r="AD131" s="35">
        <v>45.5</v>
      </c>
      <c r="AE131" s="35">
        <v>45.49</v>
      </c>
      <c r="AF131" s="35">
        <v>49.48</v>
      </c>
      <c r="AG131" s="24">
        <f t="shared" si="30"/>
        <v>46.823333333333331</v>
      </c>
      <c r="AH131" s="35">
        <v>69.78</v>
      </c>
      <c r="AI131" s="35">
        <v>69.91</v>
      </c>
      <c r="AJ131" s="35">
        <v>69.8</v>
      </c>
      <c r="AK131" s="24">
        <f t="shared" si="31"/>
        <v>69.83</v>
      </c>
      <c r="AL131" s="35">
        <v>20.36</v>
      </c>
      <c r="AM131" s="35">
        <v>20.56</v>
      </c>
      <c r="AN131" s="35">
        <v>20.329999999999998</v>
      </c>
      <c r="AP131" s="35">
        <v>26.3</v>
      </c>
      <c r="AQ131" s="35">
        <v>26.56</v>
      </c>
      <c r="AR131" s="35">
        <v>26.31</v>
      </c>
      <c r="AW131" s="35">
        <v>34.78</v>
      </c>
      <c r="AX131" s="35">
        <v>35</v>
      </c>
      <c r="AY131" s="35">
        <v>34.85</v>
      </c>
      <c r="AZ131" s="24">
        <f t="shared" si="21"/>
        <v>34.876666666666665</v>
      </c>
      <c r="BA131" s="35">
        <v>44.82</v>
      </c>
      <c r="BB131" s="35">
        <v>44.89</v>
      </c>
      <c r="BC131" s="35">
        <v>44.91</v>
      </c>
      <c r="BD131" s="24">
        <f t="shared" si="32"/>
        <v>44.873333333333335</v>
      </c>
      <c r="BE131" s="35">
        <v>70.72</v>
      </c>
      <c r="BF131" s="35">
        <v>70.62</v>
      </c>
      <c r="BG131" s="35">
        <v>70.72</v>
      </c>
      <c r="BH131" s="24">
        <f t="shared" si="33"/>
        <v>70.686666666666667</v>
      </c>
      <c r="BI131" s="35">
        <v>55.56</v>
      </c>
      <c r="BJ131" s="35">
        <v>55.67</v>
      </c>
      <c r="BK131" s="35">
        <v>55.58</v>
      </c>
      <c r="BL131" s="24">
        <f t="shared" si="34"/>
        <v>55.603333333333332</v>
      </c>
      <c r="BM131" s="35">
        <v>55.22</v>
      </c>
      <c r="BN131" s="35">
        <v>55.45</v>
      </c>
      <c r="BO131" s="35">
        <v>55.45</v>
      </c>
      <c r="BP131" s="24">
        <f t="shared" si="35"/>
        <v>55.373333333333335</v>
      </c>
      <c r="BQ131" s="35">
        <v>40.19</v>
      </c>
      <c r="BR131" s="35">
        <v>40.33</v>
      </c>
      <c r="BS131" s="35">
        <v>40.24</v>
      </c>
      <c r="BT131" s="24">
        <f t="shared" si="36"/>
        <v>40.25333333333333</v>
      </c>
      <c r="BU131" s="35">
        <v>75.05</v>
      </c>
      <c r="BV131" s="35">
        <v>75.31</v>
      </c>
      <c r="BW131" s="35">
        <v>75.069999999999993</v>
      </c>
      <c r="BX131" s="24">
        <f t="shared" si="37"/>
        <v>75.143333333333331</v>
      </c>
      <c r="BY131" t="s">
        <v>1252</v>
      </c>
      <c r="BZ131" t="s">
        <v>1252</v>
      </c>
      <c r="CA131" t="s">
        <v>1252</v>
      </c>
      <c r="CB131" s="100">
        <v>43246</v>
      </c>
      <c r="CE131" s="35">
        <v>0.7</v>
      </c>
    </row>
    <row r="132" spans="1:83" x14ac:dyDescent="0.25">
      <c r="A132" s="97" t="s">
        <v>1529</v>
      </c>
      <c r="B132" s="260" t="s">
        <v>49</v>
      </c>
      <c r="C132" s="15">
        <v>104</v>
      </c>
      <c r="D132">
        <v>1712</v>
      </c>
      <c r="E132" s="15" t="s">
        <v>379</v>
      </c>
      <c r="F132" s="100">
        <v>43246</v>
      </c>
      <c r="G132" t="s">
        <v>1530</v>
      </c>
      <c r="H132" s="9" t="s">
        <v>1111</v>
      </c>
      <c r="I132" s="10">
        <v>1</v>
      </c>
      <c r="J132" s="10" t="s">
        <v>64</v>
      </c>
      <c r="K132">
        <v>360</v>
      </c>
      <c r="L132">
        <v>93</v>
      </c>
      <c r="M132" s="9">
        <f t="shared" si="15"/>
        <v>267</v>
      </c>
      <c r="N132" s="35">
        <v>164</v>
      </c>
      <c r="O132" s="35">
        <v>163</v>
      </c>
      <c r="P132" s="35">
        <v>163</v>
      </c>
      <c r="Q132" s="24">
        <f t="shared" si="16"/>
        <v>163.33333333333334</v>
      </c>
      <c r="R132" s="35">
        <v>223</v>
      </c>
      <c r="S132" s="35">
        <v>223</v>
      </c>
      <c r="T132" s="35">
        <v>223</v>
      </c>
      <c r="U132" s="24">
        <f t="shared" si="14"/>
        <v>223</v>
      </c>
      <c r="V132" s="35">
        <v>11.66</v>
      </c>
      <c r="W132" s="35">
        <v>11.8</v>
      </c>
      <c r="X132" s="35">
        <v>11.61</v>
      </c>
      <c r="Y132" s="24">
        <f t="shared" si="17"/>
        <v>11.69</v>
      </c>
      <c r="Z132" s="35">
        <v>29.77</v>
      </c>
      <c r="AA132" s="35">
        <v>29.79</v>
      </c>
      <c r="AB132" s="35">
        <v>29.72</v>
      </c>
      <c r="AC132" s="24">
        <f t="shared" si="29"/>
        <v>29.76</v>
      </c>
      <c r="AD132" s="35">
        <v>40.29</v>
      </c>
      <c r="AE132" s="35">
        <v>40.380000000000003</v>
      </c>
      <c r="AF132" s="35">
        <v>40.46</v>
      </c>
      <c r="AG132" s="24">
        <f t="shared" si="30"/>
        <v>40.376666666666665</v>
      </c>
      <c r="AH132" s="35">
        <v>58.36</v>
      </c>
      <c r="AI132" s="35">
        <v>58.55</v>
      </c>
      <c r="AJ132" s="35">
        <v>58.35</v>
      </c>
      <c r="AK132" s="24">
        <f t="shared" si="31"/>
        <v>58.419999999999995</v>
      </c>
      <c r="AT132" s="10" t="s">
        <v>1258</v>
      </c>
      <c r="AU132">
        <v>8</v>
      </c>
      <c r="AV132" s="9">
        <v>0</v>
      </c>
      <c r="AW132" s="35">
        <v>29.78</v>
      </c>
      <c r="AX132" s="35">
        <v>29.82</v>
      </c>
      <c r="AY132" s="35">
        <v>29.84</v>
      </c>
      <c r="AZ132" s="24">
        <f t="shared" si="21"/>
        <v>29.813333333333333</v>
      </c>
      <c r="BA132" s="35">
        <v>39.94</v>
      </c>
      <c r="BB132" s="12">
        <v>39.94</v>
      </c>
      <c r="BC132" s="35">
        <v>40.08</v>
      </c>
      <c r="BD132" s="24">
        <f t="shared" si="32"/>
        <v>39.986666666666665</v>
      </c>
      <c r="BE132" s="35">
        <v>59.53</v>
      </c>
      <c r="BF132" s="35">
        <v>59.68</v>
      </c>
      <c r="BG132" s="35">
        <v>59.59</v>
      </c>
      <c r="BH132" s="24">
        <f t="shared" si="33"/>
        <v>59.6</v>
      </c>
      <c r="BI132" s="35">
        <v>46.35</v>
      </c>
      <c r="BJ132" s="35">
        <v>46.37</v>
      </c>
      <c r="BK132" s="35">
        <v>46.5</v>
      </c>
      <c r="BL132" s="24">
        <f t="shared" si="34"/>
        <v>46.406666666666666</v>
      </c>
      <c r="BM132" s="35">
        <v>45.74</v>
      </c>
      <c r="BN132" s="35">
        <v>45.7</v>
      </c>
      <c r="BO132" s="35">
        <v>45.74</v>
      </c>
      <c r="BP132" s="24">
        <f t="shared" si="35"/>
        <v>45.726666666666667</v>
      </c>
      <c r="BQ132" s="35">
        <v>34.32</v>
      </c>
      <c r="BR132" s="35">
        <v>34.28</v>
      </c>
      <c r="BS132" s="35">
        <v>34.58</v>
      </c>
      <c r="BT132" s="24">
        <f t="shared" si="36"/>
        <v>34.393333333333331</v>
      </c>
      <c r="BU132" s="35">
        <v>65.31</v>
      </c>
      <c r="BV132" s="35">
        <v>65.53</v>
      </c>
      <c r="BW132" s="35">
        <v>65.459999999999994</v>
      </c>
      <c r="BX132" s="24">
        <f t="shared" si="37"/>
        <v>65.433333333333337</v>
      </c>
      <c r="BY132" t="s">
        <v>1252</v>
      </c>
      <c r="BZ132" t="s">
        <v>1252</v>
      </c>
      <c r="CA132" t="s">
        <v>1252</v>
      </c>
      <c r="CB132" s="100">
        <v>43246</v>
      </c>
      <c r="CE132" s="35">
        <v>0.7</v>
      </c>
    </row>
    <row r="133" spans="1:83" x14ac:dyDescent="0.25">
      <c r="A133" s="97" t="s">
        <v>1531</v>
      </c>
      <c r="B133" s="260" t="s">
        <v>49</v>
      </c>
      <c r="C133" s="15">
        <v>105</v>
      </c>
      <c r="D133">
        <v>1713</v>
      </c>
      <c r="E133" s="15" t="s">
        <v>379</v>
      </c>
      <c r="F133" s="100">
        <v>43246</v>
      </c>
      <c r="G133" t="s">
        <v>1532</v>
      </c>
      <c r="H133" s="9" t="s">
        <v>1111</v>
      </c>
      <c r="I133" s="10">
        <v>1</v>
      </c>
      <c r="J133" s="10" t="s">
        <v>50</v>
      </c>
      <c r="K133">
        <v>504</v>
      </c>
      <c r="L133">
        <v>95</v>
      </c>
      <c r="M133" s="9">
        <f t="shared" si="15"/>
        <v>409</v>
      </c>
      <c r="N133" s="35">
        <v>186</v>
      </c>
      <c r="O133" s="35">
        <v>186</v>
      </c>
      <c r="P133" s="35">
        <v>186</v>
      </c>
      <c r="Q133" s="24">
        <f t="shared" si="16"/>
        <v>186</v>
      </c>
      <c r="R133" s="35">
        <v>234</v>
      </c>
      <c r="S133" s="35">
        <v>234</v>
      </c>
      <c r="T133" s="35">
        <v>234</v>
      </c>
      <c r="U133" s="24">
        <f t="shared" si="14"/>
        <v>234</v>
      </c>
      <c r="V133" s="35">
        <v>11.44</v>
      </c>
      <c r="W133" s="35">
        <v>11.45</v>
      </c>
      <c r="X133" s="35">
        <v>11.84</v>
      </c>
      <c r="Y133" s="24">
        <f t="shared" si="17"/>
        <v>11.576666666666668</v>
      </c>
      <c r="Z133" s="35">
        <v>32.68</v>
      </c>
      <c r="AA133" s="35">
        <v>32.57</v>
      </c>
      <c r="AB133" s="35">
        <v>32.729999999999997</v>
      </c>
      <c r="AC133" s="24">
        <f t="shared" si="29"/>
        <v>32.659999999999997</v>
      </c>
      <c r="AD133" s="35">
        <v>44.02</v>
      </c>
      <c r="AE133" s="35">
        <v>43.97</v>
      </c>
      <c r="AF133" s="35">
        <v>44.03</v>
      </c>
      <c r="AG133" s="24">
        <f t="shared" si="30"/>
        <v>44.006666666666668</v>
      </c>
      <c r="AH133" s="35">
        <v>66.3</v>
      </c>
      <c r="AI133" s="35">
        <v>66.25</v>
      </c>
      <c r="AJ133" s="35">
        <v>66.34</v>
      </c>
      <c r="AK133" s="24">
        <f t="shared" si="31"/>
        <v>66.296666666666667</v>
      </c>
      <c r="AL133" s="35">
        <v>18.5</v>
      </c>
      <c r="AM133" s="35">
        <v>18.2</v>
      </c>
      <c r="AN133" s="35">
        <v>18.32</v>
      </c>
      <c r="AP133" s="35">
        <v>25.35</v>
      </c>
      <c r="AQ133" s="35">
        <v>25.3</v>
      </c>
      <c r="AR133" s="35">
        <v>25.31</v>
      </c>
      <c r="AW133" s="35">
        <v>32.76</v>
      </c>
      <c r="AX133" s="35">
        <v>32.86</v>
      </c>
      <c r="AY133" s="35">
        <v>32.72</v>
      </c>
      <c r="AZ133" s="24">
        <f t="shared" si="21"/>
        <v>32.78</v>
      </c>
      <c r="BA133" s="35">
        <v>43.61</v>
      </c>
      <c r="BB133" s="35">
        <v>43.62</v>
      </c>
      <c r="BC133" s="35">
        <v>43.62</v>
      </c>
      <c r="BD133" s="24">
        <f t="shared" si="32"/>
        <v>43.616666666666667</v>
      </c>
      <c r="BE133" s="35">
        <v>67.150000000000006</v>
      </c>
      <c r="BF133" s="35">
        <v>67.239999999999995</v>
      </c>
      <c r="BG133" s="35">
        <v>67.260000000000005</v>
      </c>
      <c r="BH133" s="24">
        <f t="shared" si="33"/>
        <v>67.216666666666654</v>
      </c>
      <c r="BI133" s="35">
        <v>52.11</v>
      </c>
      <c r="BJ133" s="35">
        <v>52.07</v>
      </c>
      <c r="BK133" s="35">
        <v>52.06</v>
      </c>
      <c r="BL133" s="24">
        <f t="shared" si="34"/>
        <v>52.080000000000005</v>
      </c>
      <c r="BM133" s="35">
        <v>51.81</v>
      </c>
      <c r="BN133" s="35">
        <v>51.77</v>
      </c>
      <c r="BO133" s="35">
        <v>51.88</v>
      </c>
      <c r="BP133" s="24">
        <f t="shared" si="35"/>
        <v>51.82</v>
      </c>
      <c r="BQ133" s="35">
        <v>38.36</v>
      </c>
      <c r="BR133" s="35">
        <v>38.51</v>
      </c>
      <c r="BS133" s="35">
        <v>38.25</v>
      </c>
      <c r="BT133" s="24">
        <f t="shared" si="36"/>
        <v>38.373333333333335</v>
      </c>
      <c r="BU133" s="35">
        <v>71.92</v>
      </c>
      <c r="BV133" s="35">
        <v>71.739999999999995</v>
      </c>
      <c r="BW133" s="35">
        <v>71.52</v>
      </c>
      <c r="BX133" s="24">
        <f t="shared" si="37"/>
        <v>71.726666666666674</v>
      </c>
      <c r="BY133" t="s">
        <v>1252</v>
      </c>
      <c r="BZ133" t="s">
        <v>1252</v>
      </c>
      <c r="CA133" t="s">
        <v>1252</v>
      </c>
      <c r="CB133" s="100">
        <v>43246</v>
      </c>
      <c r="CC133" s="100">
        <v>43247</v>
      </c>
      <c r="CD133" s="252">
        <v>43246</v>
      </c>
      <c r="CE133" s="35">
        <v>0.9</v>
      </c>
    </row>
    <row r="134" spans="1:83" x14ac:dyDescent="0.25">
      <c r="A134" s="97" t="s">
        <v>1533</v>
      </c>
      <c r="B134" s="260" t="s">
        <v>49</v>
      </c>
      <c r="C134" s="15">
        <v>106</v>
      </c>
      <c r="D134">
        <v>1714</v>
      </c>
      <c r="E134" s="15" t="s">
        <v>379</v>
      </c>
      <c r="F134" s="100">
        <v>43246</v>
      </c>
      <c r="G134" t="s">
        <v>1534</v>
      </c>
      <c r="H134" s="9" t="s">
        <v>1111</v>
      </c>
      <c r="I134" s="10">
        <v>1</v>
      </c>
      <c r="J134" s="10" t="s">
        <v>64</v>
      </c>
      <c r="K134">
        <v>374</v>
      </c>
      <c r="L134">
        <v>92</v>
      </c>
      <c r="M134" s="9">
        <f t="shared" si="15"/>
        <v>282</v>
      </c>
      <c r="N134" s="35">
        <v>168</v>
      </c>
      <c r="O134" s="35">
        <v>168</v>
      </c>
      <c r="P134" s="35">
        <v>167</v>
      </c>
      <c r="Q134" s="24">
        <f t="shared" si="16"/>
        <v>167.66666666666666</v>
      </c>
      <c r="R134" s="35">
        <v>218</v>
      </c>
      <c r="S134" s="35">
        <v>219</v>
      </c>
      <c r="T134" s="35">
        <v>219</v>
      </c>
      <c r="U134" s="24">
        <f t="shared" ref="U134:U139" si="38">(R134+S134+T134)/3</f>
        <v>218.66666666666666</v>
      </c>
      <c r="V134" s="35">
        <v>10.85</v>
      </c>
      <c r="W134" s="35">
        <v>10.63</v>
      </c>
      <c r="X134" s="35">
        <v>10.67</v>
      </c>
      <c r="Y134" s="24">
        <f t="shared" si="17"/>
        <v>10.716666666666667</v>
      </c>
      <c r="Z134" s="35">
        <v>30.72</v>
      </c>
      <c r="AA134" s="35">
        <v>30.52</v>
      </c>
      <c r="AB134" s="35">
        <v>30.7</v>
      </c>
      <c r="AC134" s="24">
        <f t="shared" si="29"/>
        <v>30.646666666666665</v>
      </c>
      <c r="AD134" s="35">
        <v>40.78</v>
      </c>
      <c r="AE134" s="35">
        <v>40.78</v>
      </c>
      <c r="AF134" s="35">
        <v>40.64</v>
      </c>
      <c r="AG134" s="24">
        <f t="shared" si="30"/>
        <v>40.733333333333334</v>
      </c>
      <c r="AH134" s="35">
        <v>61.9</v>
      </c>
      <c r="AI134" s="35">
        <v>61.84</v>
      </c>
      <c r="AJ134" s="35">
        <v>61.73</v>
      </c>
      <c r="AK134" s="24">
        <f t="shared" si="31"/>
        <v>61.823333333333331</v>
      </c>
      <c r="AT134" s="10" t="s">
        <v>1258</v>
      </c>
      <c r="AU134">
        <v>8</v>
      </c>
      <c r="AV134" s="9">
        <v>0</v>
      </c>
      <c r="AW134" s="35">
        <v>31</v>
      </c>
      <c r="AX134" s="35">
        <v>30.99</v>
      </c>
      <c r="AY134" s="35">
        <v>31.05</v>
      </c>
      <c r="AZ134" s="24">
        <f t="shared" si="21"/>
        <v>31.013333333333332</v>
      </c>
      <c r="BA134" s="35">
        <v>40.08</v>
      </c>
      <c r="BB134" s="35">
        <v>40.06</v>
      </c>
      <c r="BC134" s="35">
        <v>40.03</v>
      </c>
      <c r="BD134" s="24">
        <f t="shared" si="32"/>
        <v>40.056666666666665</v>
      </c>
      <c r="BE134" s="35">
        <v>62</v>
      </c>
      <c r="BF134" s="35">
        <v>62.02</v>
      </c>
      <c r="BG134" s="35">
        <v>61.9</v>
      </c>
      <c r="BH134" s="24">
        <f t="shared" si="33"/>
        <v>61.973333333333336</v>
      </c>
      <c r="BI134" s="35">
        <v>47.67</v>
      </c>
      <c r="BJ134" s="35">
        <v>47.5</v>
      </c>
      <c r="BK134" s="35">
        <v>47.45</v>
      </c>
      <c r="BL134" s="24">
        <f t="shared" si="34"/>
        <v>47.54</v>
      </c>
      <c r="BM134" s="35">
        <v>47.24</v>
      </c>
      <c r="BN134" s="35">
        <v>47.3</v>
      </c>
      <c r="BO134" s="35">
        <v>47.36</v>
      </c>
      <c r="BP134" s="24">
        <f t="shared" si="35"/>
        <v>47.29999999999999</v>
      </c>
      <c r="BQ134" s="35">
        <v>34.520000000000003</v>
      </c>
      <c r="BR134" s="35">
        <v>34.630000000000003</v>
      </c>
      <c r="BS134" s="35">
        <v>34.590000000000003</v>
      </c>
      <c r="BT134" s="24">
        <f t="shared" si="36"/>
        <v>34.580000000000005</v>
      </c>
      <c r="BU134" s="35">
        <v>65.89</v>
      </c>
      <c r="BV134" s="35">
        <v>65.930000000000007</v>
      </c>
      <c r="BW134" s="35">
        <v>65.92</v>
      </c>
      <c r="BX134" s="24">
        <f t="shared" si="37"/>
        <v>65.913333333333341</v>
      </c>
      <c r="BY134" t="s">
        <v>1252</v>
      </c>
      <c r="BZ134" t="s">
        <v>1252</v>
      </c>
      <c r="CA134" t="s">
        <v>1252</v>
      </c>
      <c r="CB134" s="100">
        <v>43246</v>
      </c>
      <c r="CC134" s="100">
        <v>43247</v>
      </c>
      <c r="CE134" s="35">
        <v>0.9</v>
      </c>
    </row>
    <row r="135" spans="1:83" x14ac:dyDescent="0.25">
      <c r="A135" s="97" t="s">
        <v>1535</v>
      </c>
      <c r="B135" s="260" t="s">
        <v>49</v>
      </c>
      <c r="C135" s="15">
        <v>107</v>
      </c>
      <c r="D135">
        <v>1715</v>
      </c>
      <c r="E135" s="15" t="s">
        <v>379</v>
      </c>
      <c r="F135" s="100">
        <v>43246</v>
      </c>
      <c r="G135" t="s">
        <v>1536</v>
      </c>
      <c r="H135" s="9" t="s">
        <v>1111</v>
      </c>
      <c r="I135" s="10">
        <v>1</v>
      </c>
      <c r="J135" s="10" t="s">
        <v>50</v>
      </c>
      <c r="K135">
        <v>467</v>
      </c>
      <c r="L135">
        <v>93</v>
      </c>
      <c r="M135" s="9">
        <f t="shared" si="15"/>
        <v>374</v>
      </c>
      <c r="N135" s="35">
        <v>186</v>
      </c>
      <c r="O135" s="35">
        <v>186</v>
      </c>
      <c r="P135" s="35">
        <v>186</v>
      </c>
      <c r="Q135" s="24">
        <f t="shared" si="16"/>
        <v>186</v>
      </c>
      <c r="R135" s="35">
        <v>252</v>
      </c>
      <c r="S135" s="35">
        <v>253</v>
      </c>
      <c r="T135" s="35">
        <v>253</v>
      </c>
      <c r="U135" s="24">
        <f t="shared" si="38"/>
        <v>252.66666666666666</v>
      </c>
      <c r="V135" s="35">
        <v>12.93</v>
      </c>
      <c r="W135" s="35">
        <v>12.81</v>
      </c>
      <c r="X135" s="35">
        <v>12.59</v>
      </c>
      <c r="Y135" s="24">
        <f t="shared" si="17"/>
        <v>12.776666666666666</v>
      </c>
      <c r="Z135" s="35">
        <v>34.619999999999997</v>
      </c>
      <c r="AA135" s="35">
        <v>34.54</v>
      </c>
      <c r="AB135" s="35">
        <v>34.47</v>
      </c>
      <c r="AC135" s="24">
        <f t="shared" si="29"/>
        <v>34.543333333333329</v>
      </c>
      <c r="AD135" s="35">
        <v>44.33</v>
      </c>
      <c r="AE135" s="35">
        <v>44.47</v>
      </c>
      <c r="AF135" s="35">
        <v>44.52</v>
      </c>
      <c r="AG135" s="24">
        <f t="shared" si="30"/>
        <v>44.44</v>
      </c>
      <c r="AH135" s="35">
        <v>67.66</v>
      </c>
      <c r="AI135" s="35">
        <v>67.52</v>
      </c>
      <c r="AJ135" s="35">
        <v>67.5</v>
      </c>
      <c r="AK135" s="24">
        <f t="shared" si="31"/>
        <v>67.56</v>
      </c>
      <c r="AL135" s="35">
        <v>17.809999999999999</v>
      </c>
      <c r="AM135" s="35">
        <v>17.73</v>
      </c>
      <c r="AN135" s="35">
        <v>18.079999999999998</v>
      </c>
      <c r="AP135" s="35">
        <v>23.86</v>
      </c>
      <c r="AQ135" s="35">
        <v>23.59</v>
      </c>
      <c r="AR135" s="35">
        <v>23.87</v>
      </c>
      <c r="AW135" s="35">
        <v>34.479999999999997</v>
      </c>
      <c r="AX135" s="35">
        <v>34.47</v>
      </c>
      <c r="AY135" s="35">
        <v>34.479999999999997</v>
      </c>
      <c r="AZ135" s="24">
        <f t="shared" si="21"/>
        <v>34.476666666666659</v>
      </c>
      <c r="BA135" s="35">
        <v>43.72</v>
      </c>
      <c r="BB135" s="35">
        <v>43.76</v>
      </c>
      <c r="BC135" s="35">
        <v>43.55</v>
      </c>
      <c r="BD135" s="24">
        <f t="shared" si="32"/>
        <v>43.676666666666655</v>
      </c>
      <c r="BE135" s="35">
        <v>69.48</v>
      </c>
      <c r="BF135" s="35">
        <v>69.31</v>
      </c>
      <c r="BG135" s="35">
        <v>69.25</v>
      </c>
      <c r="BH135" s="24">
        <f t="shared" si="33"/>
        <v>69.346666666666678</v>
      </c>
      <c r="BI135" s="35">
        <v>53.61</v>
      </c>
      <c r="BJ135" s="35">
        <v>53.6</v>
      </c>
      <c r="BK135" s="35">
        <v>53.67</v>
      </c>
      <c r="BL135" s="24">
        <f t="shared" si="34"/>
        <v>53.626666666666665</v>
      </c>
      <c r="BM135" s="35">
        <v>52.75</v>
      </c>
      <c r="BN135" s="35">
        <v>52.97</v>
      </c>
      <c r="BO135" s="35">
        <v>52.97</v>
      </c>
      <c r="BP135" s="24">
        <f t="shared" si="35"/>
        <v>52.896666666666668</v>
      </c>
      <c r="BQ135" s="35">
        <v>37.92</v>
      </c>
      <c r="BR135" s="35">
        <v>37.93</v>
      </c>
      <c r="BS135" s="35">
        <v>37.85</v>
      </c>
      <c r="BT135" s="24">
        <f t="shared" si="36"/>
        <v>37.9</v>
      </c>
      <c r="BU135" s="35">
        <v>72.86</v>
      </c>
      <c r="BV135" s="35">
        <v>72.489999999999995</v>
      </c>
      <c r="BW135" s="35">
        <v>72.56</v>
      </c>
      <c r="BX135" s="24">
        <f t="shared" si="37"/>
        <v>72.63666666666667</v>
      </c>
      <c r="BY135" t="s">
        <v>1252</v>
      </c>
      <c r="BZ135" t="s">
        <v>1252</v>
      </c>
      <c r="CA135" t="s">
        <v>1252</v>
      </c>
      <c r="CB135" s="100">
        <v>43246</v>
      </c>
      <c r="CE135" s="35">
        <v>1</v>
      </c>
    </row>
    <row r="136" spans="1:83" x14ac:dyDescent="0.25">
      <c r="A136" s="97" t="s">
        <v>1537</v>
      </c>
      <c r="B136" s="260" t="s">
        <v>49</v>
      </c>
      <c r="C136" s="15">
        <v>108</v>
      </c>
      <c r="D136">
        <v>1716</v>
      </c>
      <c r="E136" s="15" t="s">
        <v>379</v>
      </c>
      <c r="F136" s="100">
        <v>43246</v>
      </c>
      <c r="G136" t="s">
        <v>1538</v>
      </c>
      <c r="H136" s="9" t="s">
        <v>1111</v>
      </c>
      <c r="I136" s="10">
        <v>1</v>
      </c>
      <c r="J136" s="10" t="s">
        <v>50</v>
      </c>
      <c r="K136">
        <v>537</v>
      </c>
      <c r="L136">
        <v>92</v>
      </c>
      <c r="M136" s="9">
        <f t="shared" si="15"/>
        <v>445</v>
      </c>
      <c r="N136" s="35">
        <v>191</v>
      </c>
      <c r="O136" s="35">
        <v>191</v>
      </c>
      <c r="P136" s="35">
        <v>190</v>
      </c>
      <c r="Q136" s="24">
        <f t="shared" si="16"/>
        <v>190.66666666666666</v>
      </c>
      <c r="R136" s="35">
        <v>252</v>
      </c>
      <c r="S136" s="35">
        <v>251</v>
      </c>
      <c r="T136" s="35">
        <v>252</v>
      </c>
      <c r="U136" s="24">
        <f t="shared" si="38"/>
        <v>251.66666666666666</v>
      </c>
      <c r="V136" s="35">
        <v>13.13</v>
      </c>
      <c r="W136" s="35">
        <v>13.08</v>
      </c>
      <c r="X136" s="35">
        <v>13.03</v>
      </c>
      <c r="Y136" s="24">
        <f t="shared" si="17"/>
        <v>13.08</v>
      </c>
      <c r="Z136" s="35">
        <v>34.520000000000003</v>
      </c>
      <c r="AA136" s="35">
        <v>34.369999999999997</v>
      </c>
      <c r="AB136" s="35">
        <v>34.51</v>
      </c>
      <c r="AC136" s="24">
        <f t="shared" si="29"/>
        <v>34.466666666666669</v>
      </c>
      <c r="AD136" s="35">
        <v>45.01</v>
      </c>
      <c r="AE136" s="35">
        <v>45.03</v>
      </c>
      <c r="AF136" s="35">
        <v>44.94</v>
      </c>
      <c r="AG136" s="24">
        <f t="shared" si="30"/>
        <v>44.993333333333332</v>
      </c>
      <c r="AH136" s="35">
        <v>67.66</v>
      </c>
      <c r="AI136" s="35">
        <v>67.78</v>
      </c>
      <c r="AJ136" s="35">
        <v>67.66</v>
      </c>
      <c r="AK136" s="24">
        <f t="shared" si="31"/>
        <v>67.7</v>
      </c>
      <c r="AL136" s="35">
        <v>18.02</v>
      </c>
      <c r="AM136" s="35">
        <v>18.190000000000001</v>
      </c>
      <c r="AN136" s="35">
        <v>18.18</v>
      </c>
      <c r="AP136" s="35">
        <v>24.8</v>
      </c>
      <c r="AQ136" s="35">
        <v>24.87</v>
      </c>
      <c r="AR136" s="35">
        <v>24.8</v>
      </c>
      <c r="AW136" s="35">
        <v>34.04</v>
      </c>
      <c r="AX136" s="35">
        <v>34.03</v>
      </c>
      <c r="AY136" s="35">
        <v>34.1</v>
      </c>
      <c r="AZ136" s="24">
        <f t="shared" si="21"/>
        <v>34.056666666666665</v>
      </c>
      <c r="BA136" s="35">
        <v>44.79</v>
      </c>
      <c r="BB136" s="35">
        <v>44.98</v>
      </c>
      <c r="BC136" s="35">
        <v>44.92</v>
      </c>
      <c r="BD136" s="24">
        <f t="shared" si="32"/>
        <v>44.896666666666668</v>
      </c>
      <c r="BE136" s="35">
        <v>67.400000000000006</v>
      </c>
      <c r="BF136" s="35">
        <v>67.349999999999994</v>
      </c>
      <c r="BG136" s="35">
        <v>67.41</v>
      </c>
      <c r="BH136" s="24">
        <f t="shared" si="33"/>
        <v>67.38666666666667</v>
      </c>
      <c r="BI136" s="35">
        <v>54.15</v>
      </c>
      <c r="BJ136" s="35">
        <v>54.35</v>
      </c>
      <c r="BK136" s="35">
        <v>54.28</v>
      </c>
      <c r="BL136" s="24">
        <f t="shared" si="34"/>
        <v>54.26</v>
      </c>
      <c r="BM136" s="35">
        <v>54.2</v>
      </c>
      <c r="BN136" s="35">
        <v>54.27</v>
      </c>
      <c r="BO136" s="35">
        <v>54.35</v>
      </c>
      <c r="BP136" s="24">
        <f t="shared" si="35"/>
        <v>54.273333333333333</v>
      </c>
      <c r="BQ136" s="35">
        <v>39.83</v>
      </c>
      <c r="BR136" s="35">
        <v>39.729999999999997</v>
      </c>
      <c r="BS136" s="35">
        <v>39.6</v>
      </c>
      <c r="BT136" s="24">
        <f t="shared" si="36"/>
        <v>39.72</v>
      </c>
      <c r="BU136" s="35">
        <v>73.430000000000007</v>
      </c>
      <c r="BV136" s="35">
        <v>73.28</v>
      </c>
      <c r="BW136" s="35">
        <v>73.48</v>
      </c>
      <c r="BX136" s="24">
        <f t="shared" si="37"/>
        <v>73.396666666666661</v>
      </c>
      <c r="BY136" t="s">
        <v>1252</v>
      </c>
      <c r="BZ136" t="s">
        <v>1252</v>
      </c>
      <c r="CA136" t="s">
        <v>1252</v>
      </c>
      <c r="CB136" s="100">
        <v>43246</v>
      </c>
      <c r="CE136" s="35">
        <v>0.9</v>
      </c>
    </row>
    <row r="137" spans="1:83" x14ac:dyDescent="0.25">
      <c r="A137" s="97" t="s">
        <v>1539</v>
      </c>
      <c r="B137" s="260" t="s">
        <v>49</v>
      </c>
      <c r="C137" s="15">
        <v>109</v>
      </c>
      <c r="D137">
        <v>1717</v>
      </c>
      <c r="E137" s="15" t="s">
        <v>1540</v>
      </c>
      <c r="F137" s="100">
        <v>43246</v>
      </c>
      <c r="G137" t="s">
        <v>1541</v>
      </c>
      <c r="H137" s="9" t="s">
        <v>1111</v>
      </c>
      <c r="I137" s="10">
        <v>1</v>
      </c>
      <c r="J137" s="10" t="s">
        <v>50</v>
      </c>
      <c r="K137">
        <v>460</v>
      </c>
      <c r="L137">
        <v>91</v>
      </c>
      <c r="M137" s="9">
        <f t="shared" ref="M137:M139" si="39">K137-L137</f>
        <v>369</v>
      </c>
      <c r="N137" s="35">
        <v>204</v>
      </c>
      <c r="O137" s="35">
        <v>204</v>
      </c>
      <c r="P137" s="35">
        <v>204</v>
      </c>
      <c r="Q137" s="24">
        <f t="shared" si="16"/>
        <v>204</v>
      </c>
      <c r="R137" s="35">
        <v>247</v>
      </c>
      <c r="S137" s="35">
        <v>247</v>
      </c>
      <c r="T137" s="35">
        <v>247</v>
      </c>
      <c r="U137" s="24">
        <f t="shared" si="38"/>
        <v>247</v>
      </c>
      <c r="V137" s="35">
        <v>12.43</v>
      </c>
      <c r="W137" s="35">
        <v>12.6</v>
      </c>
      <c r="X137" s="35">
        <v>12.88</v>
      </c>
      <c r="Y137" s="24">
        <f t="shared" si="17"/>
        <v>12.636666666666668</v>
      </c>
      <c r="Z137" s="35">
        <v>34.83</v>
      </c>
      <c r="AA137" s="35">
        <v>34.81</v>
      </c>
      <c r="AB137" s="35">
        <v>34.409999999999997</v>
      </c>
      <c r="AC137" s="24">
        <f t="shared" si="29"/>
        <v>34.68333333333333</v>
      </c>
      <c r="AD137" s="35">
        <v>44.77</v>
      </c>
      <c r="AE137" s="35">
        <v>44.74</v>
      </c>
      <c r="AF137" s="35">
        <v>44.73</v>
      </c>
      <c r="AG137" s="24">
        <f t="shared" si="30"/>
        <v>44.74666666666667</v>
      </c>
      <c r="AH137" s="35">
        <v>69.760000000000005</v>
      </c>
      <c r="AI137" s="35">
        <v>69.67</v>
      </c>
      <c r="AJ137" s="35">
        <v>69.7</v>
      </c>
      <c r="AK137" s="24">
        <f t="shared" si="31"/>
        <v>69.709999999999994</v>
      </c>
      <c r="AL137" s="35">
        <v>19.14</v>
      </c>
      <c r="AM137" s="35">
        <v>19.59</v>
      </c>
      <c r="AN137" s="35">
        <v>19.57</v>
      </c>
      <c r="AP137" s="35">
        <v>25.34</v>
      </c>
      <c r="AQ137" s="35">
        <v>25.38</v>
      </c>
      <c r="AR137" s="35">
        <v>25.4</v>
      </c>
      <c r="AW137" s="35">
        <v>34.96</v>
      </c>
      <c r="AX137" s="35">
        <v>34.979999999999997</v>
      </c>
      <c r="AY137" s="35">
        <v>34.979999999999997</v>
      </c>
      <c r="AZ137" s="24">
        <f t="shared" si="21"/>
        <v>34.973333333333329</v>
      </c>
      <c r="BA137" s="35">
        <v>46.21</v>
      </c>
      <c r="BB137" s="35">
        <v>46.17</v>
      </c>
      <c r="BC137" s="35">
        <v>46.2</v>
      </c>
      <c r="BD137" s="24">
        <f t="shared" si="32"/>
        <v>46.193333333333328</v>
      </c>
      <c r="BE137" s="35">
        <v>71.319999999999993</v>
      </c>
      <c r="BF137" s="35">
        <v>71.349999999999994</v>
      </c>
      <c r="BG137" s="35">
        <v>71.36</v>
      </c>
      <c r="BH137" s="24">
        <f t="shared" si="33"/>
        <v>71.34333333333332</v>
      </c>
      <c r="BI137" s="35">
        <v>55.63</v>
      </c>
      <c r="BJ137" s="35">
        <v>55.56</v>
      </c>
      <c r="BK137" s="35">
        <v>55.59</v>
      </c>
      <c r="BL137" s="24">
        <f t="shared" si="34"/>
        <v>55.593333333333334</v>
      </c>
      <c r="BM137" s="12">
        <v>55.58</v>
      </c>
      <c r="BN137" s="35">
        <v>55.71</v>
      </c>
      <c r="BO137" s="35">
        <v>55.73</v>
      </c>
      <c r="BP137" s="24">
        <f t="shared" si="35"/>
        <v>55.673333333333325</v>
      </c>
      <c r="BQ137" s="35">
        <v>38.340000000000003</v>
      </c>
      <c r="BR137" s="35">
        <v>38.270000000000003</v>
      </c>
      <c r="BS137" s="35">
        <v>38.17</v>
      </c>
      <c r="BT137" s="24">
        <f t="shared" si="36"/>
        <v>38.260000000000005</v>
      </c>
      <c r="BU137" s="35">
        <v>73.239999999999995</v>
      </c>
      <c r="BV137" s="35">
        <v>73.040000000000006</v>
      </c>
      <c r="BW137" s="35">
        <v>73.19</v>
      </c>
      <c r="BX137" s="24">
        <f t="shared" si="37"/>
        <v>73.156666666666666</v>
      </c>
      <c r="BY137" t="s">
        <v>1252</v>
      </c>
      <c r="BZ137" t="s">
        <v>1252</v>
      </c>
      <c r="CA137" t="s">
        <v>1252</v>
      </c>
      <c r="CB137" s="100">
        <v>43246</v>
      </c>
      <c r="CE137" s="35">
        <v>0.4</v>
      </c>
    </row>
    <row r="138" spans="1:83" x14ac:dyDescent="0.25">
      <c r="A138" s="97" t="s">
        <v>1542</v>
      </c>
      <c r="B138" s="260" t="s">
        <v>49</v>
      </c>
      <c r="C138" s="15">
        <v>110</v>
      </c>
      <c r="D138">
        <v>1718</v>
      </c>
      <c r="E138" s="15" t="s">
        <v>379</v>
      </c>
      <c r="F138" s="100">
        <v>43247</v>
      </c>
      <c r="G138" t="s">
        <v>1543</v>
      </c>
      <c r="H138" s="9" t="s">
        <v>1111</v>
      </c>
      <c r="I138" s="10">
        <v>1</v>
      </c>
      <c r="J138" s="10" t="s">
        <v>50</v>
      </c>
      <c r="K138">
        <v>485</v>
      </c>
      <c r="L138">
        <v>89</v>
      </c>
      <c r="M138" s="9">
        <f t="shared" si="39"/>
        <v>396</v>
      </c>
      <c r="N138" s="35">
        <v>174</v>
      </c>
      <c r="O138" s="35">
        <v>174</v>
      </c>
      <c r="P138" s="35">
        <v>174</v>
      </c>
      <c r="Q138" s="24">
        <f t="shared" si="16"/>
        <v>174</v>
      </c>
      <c r="R138" s="35">
        <v>230</v>
      </c>
      <c r="S138" s="35">
        <v>230</v>
      </c>
      <c r="T138" s="35">
        <v>230</v>
      </c>
      <c r="U138" s="24">
        <f t="shared" si="38"/>
        <v>230</v>
      </c>
      <c r="V138" s="35">
        <v>11.34</v>
      </c>
      <c r="W138" s="35">
        <v>11.24</v>
      </c>
      <c r="X138" s="35">
        <v>11.15</v>
      </c>
      <c r="Y138" s="24">
        <f t="shared" si="17"/>
        <v>11.243333333333332</v>
      </c>
      <c r="Z138" s="35">
        <v>32.24</v>
      </c>
      <c r="AA138" s="35">
        <v>32.22</v>
      </c>
      <c r="AB138" s="35">
        <v>32.15</v>
      </c>
      <c r="AC138" s="24">
        <f t="shared" si="29"/>
        <v>32.20333333333334</v>
      </c>
      <c r="AD138" s="35">
        <v>41.8</v>
      </c>
      <c r="AE138" s="35">
        <v>41.83</v>
      </c>
      <c r="AF138" s="35">
        <v>41.9</v>
      </c>
      <c r="AG138" s="24">
        <f t="shared" si="30"/>
        <v>41.843333333333334</v>
      </c>
      <c r="AH138" s="35">
        <v>63.69</v>
      </c>
      <c r="AI138" s="35">
        <v>63.61</v>
      </c>
      <c r="AJ138" s="35">
        <v>63.4</v>
      </c>
      <c r="AK138" s="24">
        <f t="shared" si="31"/>
        <v>63.566666666666663</v>
      </c>
      <c r="AL138" s="35">
        <v>19.309999999999999</v>
      </c>
      <c r="AM138" s="35">
        <v>19.149999999999999</v>
      </c>
      <c r="AN138" s="35">
        <v>19.39</v>
      </c>
      <c r="AP138" s="35">
        <v>27.07</v>
      </c>
      <c r="AQ138" s="35">
        <v>27.01</v>
      </c>
      <c r="AR138" s="35">
        <v>27.16</v>
      </c>
      <c r="AW138" s="35">
        <v>32.4</v>
      </c>
      <c r="AX138" s="35">
        <v>32.369999999999997</v>
      </c>
      <c r="AY138" s="35">
        <v>32.409999999999997</v>
      </c>
      <c r="AZ138" s="24">
        <f t="shared" si="21"/>
        <v>32.393333333333331</v>
      </c>
      <c r="BA138" s="35">
        <v>42.7</v>
      </c>
      <c r="BB138" s="35">
        <v>42.78</v>
      </c>
      <c r="BC138" s="35">
        <v>42.72</v>
      </c>
      <c r="BD138" s="24">
        <f t="shared" si="32"/>
        <v>42.733333333333327</v>
      </c>
      <c r="BE138" s="35">
        <v>64.34</v>
      </c>
      <c r="BF138" s="35">
        <v>64.260000000000005</v>
      </c>
      <c r="BG138" s="35">
        <v>64.319999999999993</v>
      </c>
      <c r="BH138" s="24">
        <f t="shared" si="33"/>
        <v>64.306666666666672</v>
      </c>
      <c r="BI138" s="35">
        <v>50.27</v>
      </c>
      <c r="BJ138" s="35">
        <v>50.25</v>
      </c>
      <c r="BK138" s="35">
        <v>50.27</v>
      </c>
      <c r="BL138" s="24">
        <f t="shared" si="34"/>
        <v>50.263333333333343</v>
      </c>
      <c r="BM138" s="35">
        <v>50.35</v>
      </c>
      <c r="BN138" s="35">
        <v>50.28</v>
      </c>
      <c r="BO138" s="35">
        <v>50.37</v>
      </c>
      <c r="BP138" s="24">
        <f t="shared" si="35"/>
        <v>50.333333333333336</v>
      </c>
      <c r="BQ138" s="35">
        <v>37.340000000000003</v>
      </c>
      <c r="BR138" s="35">
        <v>37.380000000000003</v>
      </c>
      <c r="BS138" s="35">
        <v>37.35</v>
      </c>
      <c r="BT138" s="24">
        <f t="shared" si="36"/>
        <v>37.356666666666662</v>
      </c>
      <c r="BU138" s="35">
        <v>69.28</v>
      </c>
      <c r="BV138" s="35">
        <v>69.23</v>
      </c>
      <c r="BW138" s="35">
        <v>69.260000000000005</v>
      </c>
      <c r="BX138" s="24">
        <f t="shared" si="37"/>
        <v>69.256666666666661</v>
      </c>
      <c r="BY138" t="s">
        <v>1252</v>
      </c>
      <c r="BZ138" t="s">
        <v>1252</v>
      </c>
      <c r="CA138" t="s">
        <v>1252</v>
      </c>
      <c r="CB138" s="100">
        <v>43247</v>
      </c>
      <c r="CE138" s="35">
        <v>1</v>
      </c>
    </row>
    <row r="139" spans="1:83" x14ac:dyDescent="0.25">
      <c r="A139" s="97" t="s">
        <v>1544</v>
      </c>
      <c r="B139" s="260" t="s">
        <v>49</v>
      </c>
      <c r="C139" s="15">
        <v>111</v>
      </c>
      <c r="D139">
        <v>1719</v>
      </c>
      <c r="E139" s="15" t="s">
        <v>379</v>
      </c>
      <c r="F139" s="100">
        <v>43247</v>
      </c>
      <c r="G139" t="s">
        <v>1545</v>
      </c>
      <c r="H139" s="9" t="s">
        <v>1111</v>
      </c>
      <c r="I139" s="10">
        <v>1</v>
      </c>
      <c r="J139" s="10" t="s">
        <v>50</v>
      </c>
      <c r="K139">
        <v>480</v>
      </c>
      <c r="L139">
        <v>92</v>
      </c>
      <c r="M139" s="9">
        <f t="shared" si="39"/>
        <v>388</v>
      </c>
      <c r="N139" s="35">
        <v>171</v>
      </c>
      <c r="O139" s="35">
        <v>172</v>
      </c>
      <c r="P139" s="35">
        <v>172</v>
      </c>
      <c r="Q139" s="24">
        <f t="shared" si="16"/>
        <v>171.66666666666666</v>
      </c>
      <c r="R139" s="35">
        <v>236</v>
      </c>
      <c r="S139" s="35">
        <v>236</v>
      </c>
      <c r="T139" s="35">
        <v>236</v>
      </c>
      <c r="U139" s="24">
        <f t="shared" si="38"/>
        <v>236</v>
      </c>
      <c r="V139" s="35">
        <v>12.07</v>
      </c>
      <c r="W139" s="35">
        <v>11.96</v>
      </c>
      <c r="X139" s="35">
        <v>11.95</v>
      </c>
      <c r="Y139" s="24">
        <f t="shared" si="17"/>
        <v>11.993333333333334</v>
      </c>
      <c r="Z139" s="35">
        <v>33</v>
      </c>
      <c r="AA139" s="35">
        <v>33.090000000000003</v>
      </c>
      <c r="AB139" s="35">
        <v>33.08</v>
      </c>
      <c r="AC139" s="24">
        <f t="shared" si="29"/>
        <v>33.056666666666665</v>
      </c>
      <c r="AD139" s="35">
        <v>43.77</v>
      </c>
      <c r="AE139" s="35">
        <v>43.85</v>
      </c>
      <c r="AF139" s="35">
        <v>43.72</v>
      </c>
      <c r="AG139" s="24">
        <f t="shared" si="30"/>
        <v>43.78</v>
      </c>
      <c r="AH139" s="35">
        <v>65.349999999999994</v>
      </c>
      <c r="AI139" s="35">
        <v>65.39</v>
      </c>
      <c r="AJ139" s="35">
        <v>65.39</v>
      </c>
      <c r="AK139" s="24">
        <f t="shared" si="31"/>
        <v>65.376666666666665</v>
      </c>
      <c r="AL139" s="35">
        <v>17.66</v>
      </c>
      <c r="AM139" s="35">
        <v>17.75</v>
      </c>
      <c r="AN139" s="35">
        <v>17.72</v>
      </c>
      <c r="AP139" s="35">
        <v>25.48</v>
      </c>
      <c r="AQ139" s="35">
        <v>25.42</v>
      </c>
      <c r="AR139" s="35">
        <v>25.45</v>
      </c>
      <c r="AW139" s="35">
        <v>33.29</v>
      </c>
      <c r="AX139" s="35">
        <v>33.299999999999997</v>
      </c>
      <c r="AY139" s="35">
        <v>33.26</v>
      </c>
      <c r="AZ139" s="24">
        <f t="shared" si="21"/>
        <v>33.283333333333331</v>
      </c>
      <c r="BA139" s="35">
        <v>43.02</v>
      </c>
      <c r="BB139" s="35">
        <v>42.98</v>
      </c>
      <c r="BC139" s="35">
        <v>43.06</v>
      </c>
      <c r="BD139" s="24">
        <f t="shared" si="32"/>
        <v>43.02</v>
      </c>
      <c r="BE139" s="35">
        <v>66.39</v>
      </c>
      <c r="BF139" s="35">
        <v>66.33</v>
      </c>
      <c r="BG139" s="35">
        <v>66.45</v>
      </c>
      <c r="BH139" s="24">
        <f t="shared" si="33"/>
        <v>66.39</v>
      </c>
      <c r="BI139" s="35">
        <v>52.11</v>
      </c>
      <c r="BJ139" s="35">
        <v>52.16</v>
      </c>
      <c r="BK139" s="35">
        <v>52.16</v>
      </c>
      <c r="BL139" s="24">
        <f t="shared" si="34"/>
        <v>52.143333333333338</v>
      </c>
      <c r="BM139" s="35">
        <v>52.37</v>
      </c>
      <c r="BN139" s="35">
        <v>52.2</v>
      </c>
      <c r="BO139" s="35">
        <v>52.18</v>
      </c>
      <c r="BP139" s="24">
        <f t="shared" si="35"/>
        <v>52.25</v>
      </c>
      <c r="BQ139" s="35">
        <v>36.96</v>
      </c>
      <c r="BR139" s="35">
        <v>36.96</v>
      </c>
      <c r="BS139" s="35">
        <v>36.9</v>
      </c>
      <c r="BT139" s="24">
        <f t="shared" si="36"/>
        <v>36.94</v>
      </c>
      <c r="BU139" s="35">
        <v>69.87</v>
      </c>
      <c r="BV139" s="35">
        <v>69.81</v>
      </c>
      <c r="BW139" s="35">
        <v>69.790000000000006</v>
      </c>
      <c r="BX139" s="24">
        <f t="shared" si="37"/>
        <v>69.823333333333338</v>
      </c>
      <c r="BY139" t="s">
        <v>1252</v>
      </c>
      <c r="BZ139" t="s">
        <v>1252</v>
      </c>
      <c r="CA139" t="s">
        <v>1252</v>
      </c>
      <c r="CB139" s="100">
        <v>43247</v>
      </c>
      <c r="CE139" s="35">
        <v>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Z146"/>
  <sheetViews>
    <sheetView topLeftCell="A2" workbookViewId="0">
      <pane xSplit="2" ySplit="1" topLeftCell="C114" activePane="bottomRight" state="frozen"/>
      <selection activeCell="A2" sqref="A2"/>
      <selection pane="topRight" activeCell="C2" sqref="C2"/>
      <selection pane="bottomLeft" activeCell="A3" sqref="A3"/>
      <selection pane="bottomRight" activeCell="A3" sqref="A3"/>
    </sheetView>
  </sheetViews>
  <sheetFormatPr defaultColWidth="10.125" defaultRowHeight="15.75" x14ac:dyDescent="0.25"/>
  <cols>
    <col min="1" max="1" width="12" customWidth="1"/>
    <col min="2" max="2" width="19.125" customWidth="1"/>
    <col min="3" max="3" width="10.375" bestFit="1" customWidth="1"/>
    <col min="4" max="4" width="9.375" bestFit="1" customWidth="1"/>
    <col min="5" max="5" width="6.625" bestFit="1" customWidth="1"/>
    <col min="6" max="6" width="11.375" style="5" bestFit="1" customWidth="1"/>
    <col min="7" max="7" width="10.875" bestFit="1" customWidth="1"/>
    <col min="8" max="8" width="8" bestFit="1" customWidth="1"/>
    <col min="9" max="9" width="7.125" style="9" bestFit="1" customWidth="1"/>
    <col min="10" max="10" width="8.125" style="147" bestFit="1" customWidth="1"/>
    <col min="11" max="11" width="7.875" style="10" bestFit="1" customWidth="1"/>
    <col min="12" max="12" width="13.125" bestFit="1" customWidth="1"/>
    <col min="13" max="13" width="4.375" bestFit="1" customWidth="1"/>
    <col min="14" max="14" width="5.5" style="9" bestFit="1" customWidth="1"/>
    <col min="15" max="16" width="11.625" bestFit="1" customWidth="1"/>
    <col min="17" max="17" width="11.625" customWidth="1"/>
    <col min="18" max="18" width="13.625" style="24" bestFit="1" customWidth="1"/>
    <col min="22" max="22" width="12.125" style="24" bestFit="1" customWidth="1"/>
    <col min="23" max="23" width="9.125" style="36" bestFit="1" customWidth="1"/>
    <col min="24" max="25" width="9.125" bestFit="1" customWidth="1"/>
    <col min="26" max="26" width="12.125" style="24" bestFit="1" customWidth="1"/>
    <col min="27" max="29" width="7" bestFit="1" customWidth="1"/>
    <col min="30" max="30" width="12.125" style="24" bestFit="1" customWidth="1"/>
    <col min="31" max="33" width="12.125" style="42" customWidth="1"/>
    <col min="34" max="34" width="12.125" style="24" customWidth="1"/>
    <col min="35" max="37" width="11" bestFit="1" customWidth="1"/>
    <col min="38" max="38" width="13" style="24" bestFit="1" customWidth="1"/>
    <col min="39" max="41" width="8" style="12" customWidth="1"/>
    <col min="42" max="42" width="8" style="9" customWidth="1"/>
    <col min="43" max="45" width="8" style="12" customWidth="1"/>
    <col min="46" max="46" width="8" style="9" customWidth="1"/>
    <col min="47" max="48" width="8" style="10" bestFit="1" customWidth="1"/>
    <col min="49" max="49" width="8" style="9" customWidth="1"/>
    <col min="50" max="50" width="6.375" style="10" bestFit="1" customWidth="1"/>
    <col min="51" max="51" width="6.375" style="9" bestFit="1" customWidth="1"/>
    <col min="52" max="52" width="13.375" bestFit="1" customWidth="1"/>
    <col min="53" max="53" width="13" bestFit="1" customWidth="1"/>
    <col min="54" max="54" width="9.375" style="12" customWidth="1"/>
    <col min="55" max="55" width="9.375" style="9" bestFit="1" customWidth="1"/>
    <col min="56" max="58" width="10.375" bestFit="1" customWidth="1"/>
    <col min="59" max="59" width="12.375" style="24" bestFit="1" customWidth="1"/>
    <col min="60" max="62" width="11.125" bestFit="1" customWidth="1"/>
    <col min="63" max="63" width="13.125" style="24" bestFit="1" customWidth="1"/>
    <col min="64" max="66" width="11.625" bestFit="1" customWidth="1"/>
    <col min="67" max="67" width="13.625" style="24" bestFit="1" customWidth="1"/>
    <col min="68" max="71" width="8.125" customWidth="1"/>
    <col min="72" max="72" width="8.125" style="9" customWidth="1"/>
    <col min="73" max="76" width="7.375" style="12" customWidth="1"/>
    <col min="77" max="77" width="7.375" style="9" customWidth="1"/>
    <col min="78" max="78" width="69.375" bestFit="1" customWidth="1"/>
  </cols>
  <sheetData>
    <row r="1" spans="1:78" s="1" customFormat="1" x14ac:dyDescent="0.25">
      <c r="A1" s="43"/>
      <c r="B1" s="43"/>
      <c r="C1" s="43"/>
      <c r="D1" s="43"/>
      <c r="E1" s="43"/>
      <c r="F1" s="153"/>
      <c r="G1" s="43"/>
      <c r="H1" s="43"/>
      <c r="I1" s="116"/>
      <c r="J1" s="145" t="s">
        <v>107</v>
      </c>
      <c r="K1" s="46"/>
      <c r="L1" s="294" t="s">
        <v>119</v>
      </c>
      <c r="M1" s="295"/>
      <c r="N1" s="296"/>
      <c r="O1" s="294" t="s">
        <v>120</v>
      </c>
      <c r="P1" s="295"/>
      <c r="Q1" s="295"/>
      <c r="R1" s="296"/>
      <c r="S1" s="294" t="s">
        <v>121</v>
      </c>
      <c r="T1" s="295"/>
      <c r="U1" s="295"/>
      <c r="V1" s="296"/>
      <c r="W1" s="294" t="s">
        <v>122</v>
      </c>
      <c r="X1" s="295"/>
      <c r="Y1" s="295"/>
      <c r="Z1" s="296"/>
      <c r="AA1" s="294" t="s">
        <v>124</v>
      </c>
      <c r="AB1" s="295"/>
      <c r="AC1" s="295"/>
      <c r="AD1" s="296"/>
      <c r="AE1" s="47" t="s">
        <v>291</v>
      </c>
      <c r="AF1" s="48"/>
      <c r="AG1" s="115"/>
      <c r="AH1" s="50"/>
      <c r="AI1" s="294" t="s">
        <v>123</v>
      </c>
      <c r="AJ1" s="295"/>
      <c r="AK1" s="295"/>
      <c r="AL1" s="296"/>
      <c r="AM1" s="294" t="s">
        <v>272</v>
      </c>
      <c r="AN1" s="295"/>
      <c r="AO1" s="295"/>
      <c r="AP1" s="295"/>
      <c r="AQ1" s="295"/>
      <c r="AR1" s="295"/>
      <c r="AS1" s="295"/>
      <c r="AT1" s="296"/>
      <c r="AU1" s="49" t="s">
        <v>295</v>
      </c>
      <c r="AV1" s="49" t="s">
        <v>294</v>
      </c>
      <c r="AW1" s="152" t="s">
        <v>308</v>
      </c>
      <c r="AX1" s="294" t="s">
        <v>1</v>
      </c>
      <c r="AY1" s="295"/>
      <c r="AZ1" s="295"/>
      <c r="BA1" s="295"/>
      <c r="BB1" s="101"/>
      <c r="BC1" s="50"/>
      <c r="BD1" s="294" t="s">
        <v>125</v>
      </c>
      <c r="BE1" s="295"/>
      <c r="BF1" s="295"/>
      <c r="BG1" s="296"/>
      <c r="BH1" s="294" t="s">
        <v>126</v>
      </c>
      <c r="BI1" s="295"/>
      <c r="BJ1" s="295"/>
      <c r="BK1" s="296"/>
      <c r="BL1" s="294" t="s">
        <v>127</v>
      </c>
      <c r="BM1" s="295"/>
      <c r="BN1" s="295"/>
      <c r="BO1" s="296"/>
      <c r="BP1" s="295" t="s">
        <v>108</v>
      </c>
      <c r="BQ1" s="295"/>
      <c r="BR1" s="295"/>
      <c r="BS1" s="295"/>
      <c r="BT1" s="296"/>
      <c r="BU1" s="291" t="s">
        <v>109</v>
      </c>
      <c r="BV1" s="292"/>
      <c r="BW1" s="292"/>
      <c r="BX1" s="292"/>
      <c r="BY1" s="293"/>
      <c r="BZ1" s="43"/>
    </row>
    <row r="2" spans="1:78" s="22" customFormat="1" ht="16.5" thickBot="1" x14ac:dyDescent="0.3">
      <c r="A2" s="51" t="s">
        <v>56</v>
      </c>
      <c r="B2" s="51" t="s">
        <v>2</v>
      </c>
      <c r="C2" s="51" t="s">
        <v>3</v>
      </c>
      <c r="D2" s="51" t="s">
        <v>4</v>
      </c>
      <c r="E2" s="51" t="s">
        <v>5</v>
      </c>
      <c r="F2" s="154" t="s">
        <v>104</v>
      </c>
      <c r="G2" s="51" t="s">
        <v>6</v>
      </c>
      <c r="H2" s="51" t="s">
        <v>7</v>
      </c>
      <c r="I2" s="52" t="s">
        <v>8</v>
      </c>
      <c r="J2" s="146" t="s">
        <v>40</v>
      </c>
      <c r="K2" s="54" t="s">
        <v>41</v>
      </c>
      <c r="L2" s="51" t="s">
        <v>9</v>
      </c>
      <c r="M2" s="51" t="s">
        <v>10</v>
      </c>
      <c r="N2" s="52" t="s">
        <v>11</v>
      </c>
      <c r="O2" s="51" t="s">
        <v>12</v>
      </c>
      <c r="P2" s="51" t="s">
        <v>13</v>
      </c>
      <c r="Q2" s="51" t="s">
        <v>14</v>
      </c>
      <c r="R2" s="52" t="s">
        <v>15</v>
      </c>
      <c r="S2" s="51" t="s">
        <v>16</v>
      </c>
      <c r="T2" s="51" t="s">
        <v>17</v>
      </c>
      <c r="U2" s="51" t="s">
        <v>18</v>
      </c>
      <c r="V2" s="52" t="s">
        <v>19</v>
      </c>
      <c r="W2" s="51" t="s">
        <v>20</v>
      </c>
      <c r="X2" s="51" t="s">
        <v>21</v>
      </c>
      <c r="Y2" s="51" t="s">
        <v>22</v>
      </c>
      <c r="Z2" s="52" t="s">
        <v>23</v>
      </c>
      <c r="AA2" s="51" t="s">
        <v>28</v>
      </c>
      <c r="AB2" s="51" t="s">
        <v>29</v>
      </c>
      <c r="AC2" s="51" t="s">
        <v>30</v>
      </c>
      <c r="AD2" s="52" t="s">
        <v>31</v>
      </c>
      <c r="AE2" s="51" t="s">
        <v>673</v>
      </c>
      <c r="AF2" s="51" t="s">
        <v>674</v>
      </c>
      <c r="AG2" s="51" t="s">
        <v>676</v>
      </c>
      <c r="AH2" s="51" t="s">
        <v>677</v>
      </c>
      <c r="AI2" s="51" t="s">
        <v>675</v>
      </c>
      <c r="AJ2" s="51" t="s">
        <v>25</v>
      </c>
      <c r="AK2" s="51" t="s">
        <v>26</v>
      </c>
      <c r="AL2" s="52" t="s">
        <v>27</v>
      </c>
      <c r="AM2" s="51" t="s">
        <v>273</v>
      </c>
      <c r="AN2" s="51" t="s">
        <v>274</v>
      </c>
      <c r="AO2" s="51" t="s">
        <v>275</v>
      </c>
      <c r="AP2" s="52" t="s">
        <v>276</v>
      </c>
      <c r="AQ2" s="51" t="s">
        <v>277</v>
      </c>
      <c r="AR2" s="51" t="s">
        <v>278</v>
      </c>
      <c r="AS2" s="51" t="s">
        <v>279</v>
      </c>
      <c r="AT2" s="52" t="s">
        <v>276</v>
      </c>
      <c r="AU2" s="54" t="s">
        <v>128</v>
      </c>
      <c r="AV2" s="54" t="s">
        <v>128</v>
      </c>
      <c r="AW2" s="52" t="s">
        <v>341</v>
      </c>
      <c r="AX2" s="54" t="s">
        <v>42</v>
      </c>
      <c r="AY2" s="52" t="s">
        <v>43</v>
      </c>
      <c r="AZ2" s="51" t="s">
        <v>44</v>
      </c>
      <c r="BA2" s="51" t="s">
        <v>45</v>
      </c>
      <c r="BB2" s="51" t="s">
        <v>483</v>
      </c>
      <c r="BC2" s="52" t="s">
        <v>91</v>
      </c>
      <c r="BD2" s="51" t="s">
        <v>115</v>
      </c>
      <c r="BE2" s="51" t="s">
        <v>116</v>
      </c>
      <c r="BF2" s="51" t="s">
        <v>117</v>
      </c>
      <c r="BG2" s="52" t="s">
        <v>118</v>
      </c>
      <c r="BH2" s="51" t="s">
        <v>32</v>
      </c>
      <c r="BI2" s="51" t="s">
        <v>33</v>
      </c>
      <c r="BJ2" s="51" t="s">
        <v>34</v>
      </c>
      <c r="BK2" s="52" t="s">
        <v>35</v>
      </c>
      <c r="BL2" s="51" t="s">
        <v>36</v>
      </c>
      <c r="BM2" s="51" t="s">
        <v>37</v>
      </c>
      <c r="BN2" s="51" t="s">
        <v>38</v>
      </c>
      <c r="BO2" s="52" t="s">
        <v>39</v>
      </c>
      <c r="BP2" s="51" t="s">
        <v>105</v>
      </c>
      <c r="BQ2" s="51" t="s">
        <v>110</v>
      </c>
      <c r="BR2" s="51" t="s">
        <v>106</v>
      </c>
      <c r="BS2" s="51" t="s">
        <v>46</v>
      </c>
      <c r="BT2" s="52" t="s">
        <v>47</v>
      </c>
      <c r="BU2" s="51" t="s">
        <v>110</v>
      </c>
      <c r="BV2" s="51" t="s">
        <v>111</v>
      </c>
      <c r="BW2" s="51" t="s">
        <v>112</v>
      </c>
      <c r="BX2" s="51" t="s">
        <v>113</v>
      </c>
      <c r="BY2" s="52" t="s">
        <v>114</v>
      </c>
      <c r="BZ2" s="51" t="s">
        <v>48</v>
      </c>
    </row>
    <row r="3" spans="1:78" x14ac:dyDescent="0.25">
      <c r="A3" t="s">
        <v>302</v>
      </c>
      <c r="B3" t="s">
        <v>306</v>
      </c>
      <c r="C3" t="s">
        <v>49</v>
      </c>
      <c r="D3" t="s">
        <v>208</v>
      </c>
      <c r="E3">
        <v>1027</v>
      </c>
      <c r="F3" s="155" t="s">
        <v>303</v>
      </c>
      <c r="G3" s="100">
        <v>42598</v>
      </c>
      <c r="H3" t="s">
        <v>304</v>
      </c>
      <c r="J3" s="147">
        <v>1</v>
      </c>
      <c r="K3" s="10" t="s">
        <v>64</v>
      </c>
      <c r="L3">
        <v>447</v>
      </c>
      <c r="M3">
        <v>91</v>
      </c>
      <c r="N3" s="9">
        <f t="shared" ref="N3:N8" si="0">L3-M3</f>
        <v>356</v>
      </c>
      <c r="O3">
        <v>170</v>
      </c>
      <c r="P3">
        <v>170</v>
      </c>
      <c r="Q3">
        <v>169</v>
      </c>
      <c r="R3" s="24">
        <f t="shared" ref="R3:R8" si="1">AVERAGE(O3:Q3)</f>
        <v>169.66666666666666</v>
      </c>
      <c r="S3">
        <v>239</v>
      </c>
      <c r="T3">
        <v>239</v>
      </c>
      <c r="U3">
        <v>239</v>
      </c>
      <c r="V3" s="24">
        <f t="shared" ref="V3:V8" si="2">AVERAGE(S3:U3)</f>
        <v>239</v>
      </c>
      <c r="W3" s="36">
        <v>12.86</v>
      </c>
      <c r="X3">
        <v>12.49</v>
      </c>
      <c r="Y3">
        <v>13.23</v>
      </c>
      <c r="Z3" s="24">
        <f>AVERAGE(W3:Y3)</f>
        <v>12.86</v>
      </c>
      <c r="AA3" s="37">
        <v>29.76</v>
      </c>
      <c r="AB3" s="37">
        <v>30.65</v>
      </c>
      <c r="AC3" s="37">
        <v>29.78</v>
      </c>
      <c r="AD3" s="24">
        <f t="shared" ref="AD3:AD8" si="3">AVERAGE(AA3:AC3)</f>
        <v>30.063333333333333</v>
      </c>
      <c r="AE3" s="42">
        <v>38.89</v>
      </c>
      <c r="AF3" s="42">
        <v>38.21</v>
      </c>
      <c r="AG3" s="24">
        <v>38.270000000000003</v>
      </c>
      <c r="AH3" s="24">
        <f t="shared" ref="AH3:AH8" si="4">AVERAGE(AE3:AG3)</f>
        <v>38.456666666666671</v>
      </c>
      <c r="AI3" s="37">
        <v>62.71</v>
      </c>
      <c r="AJ3" s="37">
        <v>62.88</v>
      </c>
      <c r="AK3" s="37">
        <v>62.84</v>
      </c>
      <c r="AL3" s="24">
        <f t="shared" ref="AL3:AL8" si="5">AVERAGE(AI3:AK3)</f>
        <v>62.81</v>
      </c>
      <c r="AY3" s="9">
        <v>8</v>
      </c>
      <c r="BA3">
        <v>8</v>
      </c>
      <c r="BC3" s="9">
        <v>8.31</v>
      </c>
      <c r="BD3">
        <v>48.71</v>
      </c>
      <c r="BE3">
        <v>48.59</v>
      </c>
      <c r="BF3">
        <v>48.67</v>
      </c>
      <c r="BG3" s="24">
        <f t="shared" ref="BG3:BG8" si="6">AVERAGE(BD3:BF3)</f>
        <v>48.656666666666673</v>
      </c>
      <c r="BH3">
        <v>34.64</v>
      </c>
      <c r="BI3">
        <v>34.04</v>
      </c>
      <c r="BJ3">
        <v>34.67</v>
      </c>
      <c r="BK3" s="24">
        <f t="shared" ref="BK3:BK8" si="7">AVERAGE(BH3:BJ3)</f>
        <v>34.450000000000003</v>
      </c>
      <c r="BL3">
        <v>65.64</v>
      </c>
      <c r="BM3">
        <v>65.650000000000006</v>
      </c>
      <c r="BN3">
        <v>65.63</v>
      </c>
      <c r="BO3" s="24">
        <f t="shared" ref="BO3:BO8" si="8">AVERAGE(BL3:BN3)</f>
        <v>65.64</v>
      </c>
      <c r="BP3" t="s">
        <v>51</v>
      </c>
      <c r="BQ3" t="s">
        <v>51</v>
      </c>
      <c r="BR3" t="s">
        <v>52</v>
      </c>
      <c r="BS3" t="s">
        <v>52</v>
      </c>
      <c r="BT3" s="9" t="s">
        <v>52</v>
      </c>
      <c r="BZ3" t="s">
        <v>305</v>
      </c>
    </row>
    <row r="4" spans="1:78" x14ac:dyDescent="0.25">
      <c r="A4" t="s">
        <v>302</v>
      </c>
      <c r="B4" t="s">
        <v>307</v>
      </c>
      <c r="C4" t="s">
        <v>49</v>
      </c>
      <c r="D4" t="s">
        <v>208</v>
      </c>
      <c r="E4">
        <v>1028</v>
      </c>
      <c r="F4" s="155" t="s">
        <v>310</v>
      </c>
      <c r="G4" s="100">
        <v>42598</v>
      </c>
      <c r="H4" t="s">
        <v>309</v>
      </c>
      <c r="J4" s="147">
        <v>1</v>
      </c>
      <c r="K4" s="10" t="s">
        <v>50</v>
      </c>
      <c r="L4">
        <v>457</v>
      </c>
      <c r="M4">
        <v>96</v>
      </c>
      <c r="N4" s="9">
        <f t="shared" si="0"/>
        <v>361</v>
      </c>
      <c r="O4">
        <v>189</v>
      </c>
      <c r="P4">
        <v>187</v>
      </c>
      <c r="Q4">
        <v>187</v>
      </c>
      <c r="R4" s="24">
        <f t="shared" si="1"/>
        <v>187.66666666666666</v>
      </c>
      <c r="S4">
        <v>215</v>
      </c>
      <c r="T4">
        <v>215</v>
      </c>
      <c r="U4">
        <v>215</v>
      </c>
      <c r="V4" s="24">
        <f t="shared" si="2"/>
        <v>215</v>
      </c>
      <c r="W4" s="36">
        <v>12.92</v>
      </c>
      <c r="X4">
        <v>12.02</v>
      </c>
      <c r="Y4">
        <v>12.21</v>
      </c>
      <c r="AA4" s="37">
        <v>32</v>
      </c>
      <c r="AB4" s="37">
        <v>32.409999999999997</v>
      </c>
      <c r="AC4" s="37">
        <v>32.17</v>
      </c>
      <c r="AD4" s="24">
        <f t="shared" si="3"/>
        <v>32.193333333333335</v>
      </c>
      <c r="AE4" s="42">
        <v>40.24</v>
      </c>
      <c r="AF4" s="42">
        <v>40</v>
      </c>
      <c r="AG4" s="24">
        <v>40.24</v>
      </c>
      <c r="AH4" s="24">
        <f t="shared" si="4"/>
        <v>40.160000000000004</v>
      </c>
      <c r="AI4" s="37">
        <v>66.099999999999994</v>
      </c>
      <c r="AJ4" s="37">
        <v>66.010000000000005</v>
      </c>
      <c r="AK4" s="37">
        <v>65.739999999999995</v>
      </c>
      <c r="AL4" s="24">
        <f t="shared" si="5"/>
        <v>65.95</v>
      </c>
      <c r="AM4" s="37">
        <v>15.71</v>
      </c>
      <c r="AN4" s="37">
        <v>14.14</v>
      </c>
      <c r="AO4" s="37">
        <v>14.23</v>
      </c>
      <c r="AP4" s="24">
        <f>AVERAGE(AM4:AO4)</f>
        <v>14.693333333333333</v>
      </c>
      <c r="AQ4" s="37">
        <v>23.29</v>
      </c>
      <c r="AR4" s="37">
        <v>22.22</v>
      </c>
      <c r="AS4" s="37">
        <v>23.07</v>
      </c>
      <c r="AT4" s="24">
        <f>AVERAGE(AQ4:AS4)</f>
        <v>22.86</v>
      </c>
      <c r="AU4" s="10" t="s">
        <v>296</v>
      </c>
      <c r="AW4" s="9">
        <v>1</v>
      </c>
      <c r="AY4" s="9">
        <v>8</v>
      </c>
      <c r="BD4">
        <v>52.44</v>
      </c>
      <c r="BE4">
        <v>52.03</v>
      </c>
      <c r="BF4">
        <v>52.06</v>
      </c>
      <c r="BG4" s="24">
        <f t="shared" si="6"/>
        <v>52.176666666666669</v>
      </c>
      <c r="BH4">
        <v>36.65</v>
      </c>
      <c r="BI4">
        <v>36.619999999999997</v>
      </c>
      <c r="BJ4">
        <v>36.39</v>
      </c>
      <c r="BK4" s="24">
        <f t="shared" si="7"/>
        <v>36.553333333333335</v>
      </c>
      <c r="BL4">
        <v>63.28</v>
      </c>
      <c r="BM4">
        <v>63.28</v>
      </c>
      <c r="BN4">
        <v>63.52</v>
      </c>
      <c r="BO4" s="24">
        <f t="shared" si="8"/>
        <v>63.360000000000007</v>
      </c>
      <c r="BP4" t="s">
        <v>51</v>
      </c>
      <c r="BQ4" t="s">
        <v>51</v>
      </c>
      <c r="BR4" t="s">
        <v>52</v>
      </c>
      <c r="BS4" t="s">
        <v>52</v>
      </c>
      <c r="BT4" s="9" t="s">
        <v>52</v>
      </c>
    </row>
    <row r="5" spans="1:78" x14ac:dyDescent="0.25">
      <c r="A5" t="s">
        <v>302</v>
      </c>
      <c r="B5" t="s">
        <v>338</v>
      </c>
      <c r="C5" t="s">
        <v>49</v>
      </c>
      <c r="D5" t="s">
        <v>208</v>
      </c>
      <c r="E5" t="s">
        <v>343</v>
      </c>
      <c r="F5" s="5" t="s">
        <v>339</v>
      </c>
      <c r="G5" s="100">
        <v>42599</v>
      </c>
      <c r="H5" s="4" t="s">
        <v>340</v>
      </c>
      <c r="J5" s="147">
        <v>3</v>
      </c>
      <c r="K5" s="10" t="s">
        <v>64</v>
      </c>
      <c r="L5">
        <v>581</v>
      </c>
      <c r="M5">
        <v>100</v>
      </c>
      <c r="N5" s="9">
        <f t="shared" si="0"/>
        <v>481</v>
      </c>
      <c r="O5" s="35">
        <v>187</v>
      </c>
      <c r="P5" s="35">
        <v>188</v>
      </c>
      <c r="Q5" s="35">
        <v>187</v>
      </c>
      <c r="R5" s="24">
        <f t="shared" si="1"/>
        <v>187.33333333333334</v>
      </c>
      <c r="S5" s="35">
        <v>242</v>
      </c>
      <c r="T5" s="35">
        <v>242</v>
      </c>
      <c r="U5" s="35">
        <v>241</v>
      </c>
      <c r="V5" s="24">
        <f t="shared" si="2"/>
        <v>241.66666666666666</v>
      </c>
      <c r="W5" s="36">
        <v>14.67</v>
      </c>
      <c r="X5" s="35">
        <v>15.38</v>
      </c>
      <c r="Y5" s="35">
        <v>14.94</v>
      </c>
      <c r="AA5" s="37">
        <v>32.08</v>
      </c>
      <c r="AB5" s="37">
        <v>32.19</v>
      </c>
      <c r="AC5" s="37">
        <v>31.78</v>
      </c>
      <c r="AD5" s="24">
        <f t="shared" si="3"/>
        <v>32.016666666666666</v>
      </c>
      <c r="AE5" s="42">
        <v>41.13</v>
      </c>
      <c r="AF5" s="42">
        <v>41.36</v>
      </c>
      <c r="AG5" s="24">
        <v>41.13</v>
      </c>
      <c r="AH5" s="24">
        <f t="shared" si="4"/>
        <v>41.206666666666671</v>
      </c>
      <c r="AI5" s="37">
        <v>65.8</v>
      </c>
      <c r="AJ5" s="37">
        <v>65.650000000000006</v>
      </c>
      <c r="AK5" s="37">
        <v>65.28</v>
      </c>
      <c r="AL5" s="24">
        <f t="shared" si="5"/>
        <v>65.576666666666668</v>
      </c>
      <c r="BA5">
        <v>2</v>
      </c>
      <c r="BC5" s="9">
        <v>8.06</v>
      </c>
      <c r="BD5">
        <v>51.92</v>
      </c>
      <c r="BE5">
        <v>51.6</v>
      </c>
      <c r="BF5">
        <v>51.76</v>
      </c>
      <c r="BG5" s="24">
        <f t="shared" si="6"/>
        <v>51.76</v>
      </c>
      <c r="BH5">
        <v>39.07</v>
      </c>
      <c r="BI5">
        <v>38.99</v>
      </c>
      <c r="BJ5">
        <v>38.82</v>
      </c>
      <c r="BK5" s="24">
        <f t="shared" si="7"/>
        <v>38.96</v>
      </c>
      <c r="BL5">
        <v>68.62</v>
      </c>
      <c r="BM5">
        <v>68.67</v>
      </c>
      <c r="BN5">
        <v>68.819999999999993</v>
      </c>
      <c r="BO5" s="24">
        <f t="shared" si="8"/>
        <v>68.703333333333333</v>
      </c>
      <c r="BP5" t="s">
        <v>51</v>
      </c>
      <c r="BQ5" t="s">
        <v>51</v>
      </c>
      <c r="BR5" t="s">
        <v>52</v>
      </c>
      <c r="BS5" t="s">
        <v>52</v>
      </c>
      <c r="BT5" s="9" t="s">
        <v>52</v>
      </c>
      <c r="BZ5" t="s">
        <v>342</v>
      </c>
    </row>
    <row r="6" spans="1:78" x14ac:dyDescent="0.25">
      <c r="A6" t="s">
        <v>302</v>
      </c>
      <c r="B6" t="s">
        <v>407</v>
      </c>
      <c r="C6" t="s">
        <v>49</v>
      </c>
      <c r="D6" t="s">
        <v>393</v>
      </c>
      <c r="E6">
        <v>1044</v>
      </c>
      <c r="F6" s="5" t="s">
        <v>408</v>
      </c>
      <c r="G6" s="100">
        <v>42640</v>
      </c>
      <c r="H6" s="4" t="s">
        <v>405</v>
      </c>
      <c r="J6" s="147">
        <v>1</v>
      </c>
      <c r="K6" s="10" t="s">
        <v>406</v>
      </c>
      <c r="L6">
        <v>422</v>
      </c>
      <c r="M6">
        <v>95</v>
      </c>
      <c r="N6" s="9">
        <f t="shared" si="0"/>
        <v>327</v>
      </c>
      <c r="O6" s="35">
        <v>174</v>
      </c>
      <c r="P6" s="35">
        <v>174</v>
      </c>
      <c r="Q6" s="35">
        <v>174</v>
      </c>
      <c r="R6" s="24">
        <f t="shared" si="1"/>
        <v>174</v>
      </c>
      <c r="S6" s="35">
        <v>234</v>
      </c>
      <c r="T6" s="35">
        <v>235</v>
      </c>
      <c r="U6" s="35">
        <v>235</v>
      </c>
      <c r="V6" s="24">
        <f t="shared" si="2"/>
        <v>234.66666666666666</v>
      </c>
      <c r="W6" s="36">
        <v>12.55</v>
      </c>
      <c r="X6" s="35">
        <v>11.96</v>
      </c>
      <c r="Y6" s="35">
        <v>12.11</v>
      </c>
      <c r="AA6" s="37">
        <v>31.17</v>
      </c>
      <c r="AB6" s="37">
        <v>29.88</v>
      </c>
      <c r="AC6" s="37">
        <v>31</v>
      </c>
      <c r="AD6" s="24">
        <f t="shared" si="3"/>
        <v>30.683333333333334</v>
      </c>
      <c r="AE6" s="42">
        <v>38.75</v>
      </c>
      <c r="AF6" s="42">
        <v>38.659999999999997</v>
      </c>
      <c r="AG6" s="24">
        <v>39.61</v>
      </c>
      <c r="AH6" s="24">
        <f t="shared" si="4"/>
        <v>39.006666666666668</v>
      </c>
      <c r="AI6" s="37">
        <v>60.3</v>
      </c>
      <c r="AJ6" s="37">
        <v>60.47</v>
      </c>
      <c r="AK6" s="37">
        <v>60.48</v>
      </c>
      <c r="AL6" s="24">
        <f t="shared" si="5"/>
        <v>60.416666666666664</v>
      </c>
      <c r="AY6" s="9">
        <v>8</v>
      </c>
      <c r="AZ6">
        <v>8</v>
      </c>
      <c r="BA6">
        <v>8</v>
      </c>
      <c r="BC6" s="9">
        <v>20.77</v>
      </c>
      <c r="BD6" s="35">
        <v>48.07</v>
      </c>
      <c r="BE6" s="35">
        <v>47.82</v>
      </c>
      <c r="BF6" s="35">
        <v>48.14</v>
      </c>
      <c r="BG6" s="24">
        <f t="shared" si="6"/>
        <v>48.01</v>
      </c>
      <c r="BH6" s="35">
        <v>35.47</v>
      </c>
      <c r="BI6" s="35">
        <v>35.4</v>
      </c>
      <c r="BJ6" s="35">
        <v>35</v>
      </c>
      <c r="BK6" s="24">
        <f t="shared" si="7"/>
        <v>35.29</v>
      </c>
      <c r="BL6" s="35">
        <v>68.739999999999995</v>
      </c>
      <c r="BM6" s="35">
        <v>68.510000000000005</v>
      </c>
      <c r="BN6" s="35">
        <v>68.34</v>
      </c>
      <c r="BO6" s="24">
        <f t="shared" si="8"/>
        <v>68.53</v>
      </c>
      <c r="BP6" t="s">
        <v>238</v>
      </c>
      <c r="BQ6" t="s">
        <v>238</v>
      </c>
      <c r="BR6" t="s">
        <v>238</v>
      </c>
      <c r="BS6" t="s">
        <v>52</v>
      </c>
      <c r="BT6" s="9" t="s">
        <v>52</v>
      </c>
      <c r="BZ6" t="s">
        <v>409</v>
      </c>
    </row>
    <row r="7" spans="1:78" x14ac:dyDescent="0.25">
      <c r="A7" t="s">
        <v>302</v>
      </c>
      <c r="B7" t="s">
        <v>306</v>
      </c>
      <c r="C7" t="s">
        <v>207</v>
      </c>
      <c r="D7" t="s">
        <v>393</v>
      </c>
      <c r="E7">
        <v>1027</v>
      </c>
      <c r="F7" s="5" t="s">
        <v>303</v>
      </c>
      <c r="G7" s="100">
        <v>42641</v>
      </c>
      <c r="H7" s="4" t="s">
        <v>317</v>
      </c>
      <c r="J7" s="147">
        <v>1</v>
      </c>
      <c r="K7" s="10" t="s">
        <v>64</v>
      </c>
      <c r="L7">
        <v>542</v>
      </c>
      <c r="M7">
        <v>96</v>
      </c>
      <c r="N7" s="9">
        <f t="shared" si="0"/>
        <v>446</v>
      </c>
      <c r="O7" s="35">
        <v>190</v>
      </c>
      <c r="P7" s="35">
        <v>190</v>
      </c>
      <c r="Q7" s="35">
        <v>191</v>
      </c>
      <c r="R7" s="24">
        <f t="shared" si="1"/>
        <v>190.33333333333334</v>
      </c>
      <c r="S7" s="35">
        <v>240</v>
      </c>
      <c r="T7" s="35">
        <v>240</v>
      </c>
      <c r="U7" s="35">
        <v>239</v>
      </c>
      <c r="V7" s="24">
        <f t="shared" si="2"/>
        <v>239.66666666666666</v>
      </c>
      <c r="W7" s="36">
        <v>15.37</v>
      </c>
      <c r="X7" s="35">
        <v>15.82</v>
      </c>
      <c r="Y7" s="35">
        <v>16.05</v>
      </c>
      <c r="AA7" s="37">
        <v>29.06</v>
      </c>
      <c r="AB7" s="37">
        <v>29.32</v>
      </c>
      <c r="AC7" s="37">
        <v>29</v>
      </c>
      <c r="AD7" s="24">
        <f t="shared" si="3"/>
        <v>29.126666666666665</v>
      </c>
      <c r="AE7" s="42">
        <v>38.909999999999997</v>
      </c>
      <c r="AF7" s="42">
        <v>38.799999999999997</v>
      </c>
      <c r="AG7" s="24">
        <v>38.82</v>
      </c>
      <c r="AH7" s="24">
        <f t="shared" si="4"/>
        <v>38.843333333333334</v>
      </c>
      <c r="AI7" s="37">
        <v>62.72</v>
      </c>
      <c r="AJ7" s="37">
        <v>63.06</v>
      </c>
      <c r="AK7" s="37">
        <v>62.75</v>
      </c>
      <c r="AL7" s="24">
        <f t="shared" si="5"/>
        <v>62.843333333333334</v>
      </c>
      <c r="AY7" s="9">
        <v>8</v>
      </c>
      <c r="AZ7">
        <v>8</v>
      </c>
      <c r="BA7">
        <v>8</v>
      </c>
      <c r="BC7" s="9">
        <v>23.6</v>
      </c>
      <c r="BD7" s="35">
        <v>49.45</v>
      </c>
      <c r="BE7" s="35">
        <v>49.7</v>
      </c>
      <c r="BF7" s="35">
        <v>49.38</v>
      </c>
      <c r="BG7" s="24">
        <f t="shared" si="6"/>
        <v>49.51</v>
      </c>
      <c r="BH7" s="35">
        <v>36.39</v>
      </c>
      <c r="BI7" s="35">
        <v>36.44</v>
      </c>
      <c r="BJ7" s="35">
        <v>36.090000000000003</v>
      </c>
      <c r="BK7" s="24">
        <f t="shared" si="7"/>
        <v>36.306666666666665</v>
      </c>
      <c r="BL7" s="35">
        <v>65.11</v>
      </c>
      <c r="BM7" s="35">
        <v>65.489999999999995</v>
      </c>
      <c r="BN7" s="35">
        <v>65.97</v>
      </c>
      <c r="BO7" s="24">
        <f t="shared" si="8"/>
        <v>65.523333333333326</v>
      </c>
      <c r="BP7" t="s">
        <v>52</v>
      </c>
      <c r="BQ7" t="s">
        <v>51</v>
      </c>
      <c r="BR7" t="s">
        <v>51</v>
      </c>
      <c r="BS7" t="s">
        <v>52</v>
      </c>
      <c r="BT7" s="9" t="s">
        <v>52</v>
      </c>
    </row>
    <row r="8" spans="1:78" x14ac:dyDescent="0.25">
      <c r="A8" t="s">
        <v>302</v>
      </c>
      <c r="B8" t="s">
        <v>516</v>
      </c>
      <c r="C8" t="s">
        <v>49</v>
      </c>
      <c r="D8" t="s">
        <v>393</v>
      </c>
      <c r="E8">
        <v>936</v>
      </c>
      <c r="F8" s="5" t="s">
        <v>518</v>
      </c>
      <c r="G8" s="100">
        <v>42648</v>
      </c>
      <c r="H8" s="4" t="s">
        <v>515</v>
      </c>
      <c r="J8" s="147">
        <v>2</v>
      </c>
      <c r="K8" s="10" t="s">
        <v>64</v>
      </c>
      <c r="L8">
        <v>562</v>
      </c>
      <c r="M8">
        <v>97</v>
      </c>
      <c r="N8" s="9">
        <f t="shared" si="0"/>
        <v>465</v>
      </c>
      <c r="O8" s="35">
        <v>183</v>
      </c>
      <c r="P8" s="35">
        <v>184</v>
      </c>
      <c r="Q8" s="35">
        <v>184</v>
      </c>
      <c r="R8" s="24">
        <f t="shared" si="1"/>
        <v>183.66666666666666</v>
      </c>
      <c r="S8" s="35">
        <v>252</v>
      </c>
      <c r="T8" s="35">
        <v>252</v>
      </c>
      <c r="U8" s="35">
        <v>252</v>
      </c>
      <c r="V8" s="24">
        <f t="shared" si="2"/>
        <v>252</v>
      </c>
      <c r="W8" s="36">
        <v>16.350000000000001</v>
      </c>
      <c r="X8" s="35">
        <v>16.98</v>
      </c>
      <c r="Y8" s="35">
        <v>16.510000000000002</v>
      </c>
      <c r="AA8" s="37">
        <v>33.380000000000003</v>
      </c>
      <c r="AB8" s="37">
        <v>33.68</v>
      </c>
      <c r="AC8" s="37">
        <v>33.72</v>
      </c>
      <c r="AD8" s="24">
        <f t="shared" si="3"/>
        <v>33.593333333333334</v>
      </c>
      <c r="AE8" s="42">
        <v>43.58</v>
      </c>
      <c r="AF8" s="42">
        <v>42.81</v>
      </c>
      <c r="AG8" s="24">
        <v>42.77</v>
      </c>
      <c r="AH8" s="24">
        <f t="shared" si="4"/>
        <v>43.053333333333335</v>
      </c>
      <c r="AI8" s="37">
        <v>66.650000000000006</v>
      </c>
      <c r="AJ8" s="37">
        <v>66.33</v>
      </c>
      <c r="AK8" s="37">
        <v>66.5</v>
      </c>
      <c r="AL8" s="24">
        <f t="shared" si="5"/>
        <v>66.493333333333339</v>
      </c>
      <c r="AY8" s="9">
        <v>8</v>
      </c>
      <c r="AZ8">
        <v>8</v>
      </c>
      <c r="BA8">
        <v>8</v>
      </c>
      <c r="BB8" s="12" t="s">
        <v>517</v>
      </c>
      <c r="BC8" s="9">
        <v>17.100000000000001</v>
      </c>
      <c r="BD8" s="35">
        <v>51.5</v>
      </c>
      <c r="BE8" s="35">
        <v>51.34</v>
      </c>
      <c r="BF8" s="35">
        <v>51.71</v>
      </c>
      <c r="BG8" s="24">
        <f t="shared" si="6"/>
        <v>51.516666666666673</v>
      </c>
      <c r="BH8" s="35">
        <v>37.57</v>
      </c>
      <c r="BI8" s="35">
        <v>37.08</v>
      </c>
      <c r="BJ8" s="35">
        <v>36.58</v>
      </c>
      <c r="BK8" s="24">
        <f t="shared" si="7"/>
        <v>37.076666666666668</v>
      </c>
      <c r="BL8" s="35">
        <v>69.739999999999995</v>
      </c>
      <c r="BM8" s="35">
        <v>69.13</v>
      </c>
      <c r="BN8" s="35">
        <v>69.739999999999995</v>
      </c>
      <c r="BO8" s="24">
        <f t="shared" si="8"/>
        <v>69.536666666666676</v>
      </c>
      <c r="BP8" t="s">
        <v>51</v>
      </c>
      <c r="BQ8" t="s">
        <v>51</v>
      </c>
      <c r="BR8" t="s">
        <v>52</v>
      </c>
      <c r="BS8" t="s">
        <v>52</v>
      </c>
      <c r="BT8" s="9" t="s">
        <v>52</v>
      </c>
    </row>
    <row r="9" spans="1:78" s="102" customFormat="1" x14ac:dyDescent="0.25">
      <c r="A9" s="102" t="s">
        <v>302</v>
      </c>
      <c r="B9" s="102" t="s">
        <v>521</v>
      </c>
      <c r="C9" s="102" t="s">
        <v>49</v>
      </c>
      <c r="D9" s="102" t="s">
        <v>393</v>
      </c>
      <c r="F9" s="156">
        <v>7351409</v>
      </c>
      <c r="G9" s="141">
        <v>42648</v>
      </c>
      <c r="H9" s="103" t="s">
        <v>506</v>
      </c>
      <c r="I9" s="104"/>
      <c r="J9" s="148"/>
      <c r="K9" s="105" t="s">
        <v>64</v>
      </c>
      <c r="N9" s="104"/>
      <c r="R9" s="106"/>
      <c r="V9" s="106"/>
      <c r="W9" s="107"/>
      <c r="Z9" s="106"/>
      <c r="AD9" s="106"/>
      <c r="AE9" s="108"/>
      <c r="AF9" s="108"/>
      <c r="AG9" s="106"/>
      <c r="AH9" s="106"/>
      <c r="AL9" s="106"/>
      <c r="AM9" s="109"/>
      <c r="AN9" s="109"/>
      <c r="AO9" s="109"/>
      <c r="AP9" s="104"/>
      <c r="AQ9" s="109"/>
      <c r="AR9" s="109"/>
      <c r="AS9" s="109"/>
      <c r="AT9" s="104"/>
      <c r="AU9" s="105"/>
      <c r="AV9" s="105"/>
      <c r="AW9" s="104"/>
      <c r="AX9" s="105"/>
      <c r="AY9" s="104">
        <v>8</v>
      </c>
      <c r="AZ9" s="102">
        <v>6</v>
      </c>
      <c r="BA9" s="102">
        <v>6</v>
      </c>
      <c r="BB9" s="109"/>
      <c r="BC9" s="104">
        <v>27.46</v>
      </c>
      <c r="BG9" s="106"/>
      <c r="BK9" s="106"/>
      <c r="BO9" s="106"/>
      <c r="BT9" s="104"/>
      <c r="BU9" s="109"/>
      <c r="BV9" s="109"/>
      <c r="BW9" s="109"/>
      <c r="BX9" s="109"/>
      <c r="BY9" s="104"/>
      <c r="BZ9" s="102" t="s">
        <v>525</v>
      </c>
    </row>
    <row r="10" spans="1:78" x14ac:dyDescent="0.25">
      <c r="A10" t="s">
        <v>302</v>
      </c>
      <c r="B10" t="s">
        <v>543</v>
      </c>
      <c r="C10" t="s">
        <v>49</v>
      </c>
      <c r="D10" t="s">
        <v>393</v>
      </c>
      <c r="E10">
        <v>943</v>
      </c>
      <c r="F10" s="5" t="s">
        <v>551</v>
      </c>
      <c r="G10" s="100">
        <v>42653</v>
      </c>
      <c r="H10" s="4" t="s">
        <v>550</v>
      </c>
      <c r="J10" s="147">
        <v>1</v>
      </c>
      <c r="K10" s="10" t="s">
        <v>64</v>
      </c>
      <c r="L10">
        <v>510</v>
      </c>
      <c r="M10">
        <v>98</v>
      </c>
      <c r="N10" s="9">
        <f>L10-M10</f>
        <v>412</v>
      </c>
      <c r="O10" s="35">
        <v>185</v>
      </c>
      <c r="P10" s="35">
        <v>185</v>
      </c>
      <c r="Q10" s="35">
        <v>185</v>
      </c>
      <c r="R10" s="24">
        <f>AVERAGE(O10:Q10)</f>
        <v>185</v>
      </c>
      <c r="S10" s="35">
        <v>242</v>
      </c>
      <c r="T10" s="35">
        <v>241</v>
      </c>
      <c r="U10" s="35">
        <v>242</v>
      </c>
      <c r="V10" s="24">
        <f>AVERAGE(S10:U10)</f>
        <v>241.66666666666666</v>
      </c>
      <c r="W10" s="36">
        <v>13.96</v>
      </c>
      <c r="X10" s="35">
        <v>13.79</v>
      </c>
      <c r="Y10" s="35">
        <v>13.45</v>
      </c>
      <c r="AA10" s="37">
        <v>31.59</v>
      </c>
      <c r="AB10" s="37">
        <v>31.82</v>
      </c>
      <c r="AC10" s="37">
        <v>32.090000000000003</v>
      </c>
      <c r="AD10" s="24">
        <f>AVERAGE(AA10:AC10)</f>
        <v>31.833333333333332</v>
      </c>
      <c r="AE10" s="42">
        <v>40.58</v>
      </c>
      <c r="AF10" s="42">
        <v>40.78</v>
      </c>
      <c r="AG10" s="24">
        <v>40.78</v>
      </c>
      <c r="AH10" s="24">
        <f>AVERAGE(AE10:AG10)</f>
        <v>40.713333333333331</v>
      </c>
      <c r="AI10" s="37">
        <v>64.069999999999993</v>
      </c>
      <c r="AJ10" s="37">
        <v>64.11</v>
      </c>
      <c r="AK10" s="37">
        <v>64.05</v>
      </c>
      <c r="AL10" s="24">
        <f>AVERAGE(AI10:AK10)</f>
        <v>64.076666666666668</v>
      </c>
      <c r="AZ10">
        <v>8</v>
      </c>
      <c r="BA10">
        <v>8</v>
      </c>
      <c r="BB10" s="12" t="s">
        <v>544</v>
      </c>
      <c r="BC10" s="9">
        <v>23.39</v>
      </c>
      <c r="BD10" s="35">
        <v>50</v>
      </c>
      <c r="BE10" s="35">
        <v>50.23</v>
      </c>
      <c r="BF10" s="35">
        <v>50.06</v>
      </c>
      <c r="BG10" s="24">
        <f>AVERAGE(BD10:BF10)</f>
        <v>50.096666666666664</v>
      </c>
      <c r="BH10" s="35">
        <v>37.28</v>
      </c>
      <c r="BI10" s="35">
        <v>37.78</v>
      </c>
      <c r="BJ10" s="35">
        <v>37.22</v>
      </c>
      <c r="BK10" s="24">
        <f>AVERAGE(BH10:BJ10)</f>
        <v>37.426666666666669</v>
      </c>
      <c r="BL10" s="35">
        <v>69.72</v>
      </c>
      <c r="BM10" s="35">
        <v>69.930000000000007</v>
      </c>
      <c r="BN10" s="35">
        <v>70.12</v>
      </c>
      <c r="BO10" s="24">
        <f>AVERAGE(BL10:BN10)</f>
        <v>69.923333333333332</v>
      </c>
      <c r="BP10" t="s">
        <v>51</v>
      </c>
      <c r="BQ10" t="s">
        <v>51</v>
      </c>
      <c r="BR10" t="s">
        <v>51</v>
      </c>
      <c r="BS10" t="s">
        <v>52</v>
      </c>
      <c r="BT10" s="9" t="s">
        <v>52</v>
      </c>
    </row>
    <row r="11" spans="1:78" s="126" customFormat="1" x14ac:dyDescent="0.25">
      <c r="A11" s="127">
        <v>2017</v>
      </c>
      <c r="F11" s="157"/>
      <c r="I11" s="130"/>
      <c r="J11" s="149"/>
      <c r="K11" s="131"/>
      <c r="N11" s="130"/>
      <c r="R11" s="132"/>
      <c r="V11" s="132"/>
      <c r="W11" s="133"/>
      <c r="Z11" s="132"/>
      <c r="AD11" s="132"/>
      <c r="AE11" s="134"/>
      <c r="AF11" s="134"/>
      <c r="AG11" s="132"/>
      <c r="AH11" s="132"/>
      <c r="AL11" s="132"/>
      <c r="AM11" s="135"/>
      <c r="AN11" s="135"/>
      <c r="AO11" s="135"/>
      <c r="AP11" s="130"/>
      <c r="AQ11" s="135"/>
      <c r="AR11" s="135"/>
      <c r="AS11" s="135"/>
      <c r="AT11" s="130"/>
      <c r="AU11" s="131"/>
      <c r="AV11" s="131"/>
      <c r="AW11" s="130"/>
      <c r="AX11" s="131"/>
      <c r="AY11" s="130"/>
      <c r="BB11" s="135"/>
      <c r="BC11" s="130"/>
      <c r="BG11" s="132"/>
      <c r="BK11" s="132"/>
      <c r="BO11" s="132"/>
      <c r="BT11" s="130"/>
      <c r="BU11" s="135"/>
      <c r="BV11" s="135"/>
      <c r="BW11" s="135"/>
      <c r="BX11" s="135"/>
      <c r="BY11" s="130"/>
    </row>
    <row r="12" spans="1:78" x14ac:dyDescent="0.25">
      <c r="A12" t="s">
        <v>302</v>
      </c>
      <c r="B12" t="s">
        <v>651</v>
      </c>
      <c r="C12" t="s">
        <v>49</v>
      </c>
      <c r="D12" t="s">
        <v>615</v>
      </c>
      <c r="E12">
        <v>1336</v>
      </c>
      <c r="F12" s="5" t="s">
        <v>652</v>
      </c>
      <c r="G12" s="100">
        <v>42815</v>
      </c>
      <c r="H12" s="4" t="s">
        <v>653</v>
      </c>
      <c r="J12" s="147">
        <v>1</v>
      </c>
      <c r="K12" s="10" t="s">
        <v>64</v>
      </c>
      <c r="L12">
        <v>413</v>
      </c>
      <c r="M12">
        <v>91</v>
      </c>
      <c r="N12" s="9">
        <f t="shared" ref="N12:N54" si="9">L12-M12</f>
        <v>322</v>
      </c>
      <c r="O12" s="35">
        <v>153</v>
      </c>
      <c r="P12" s="35">
        <v>154</v>
      </c>
      <c r="Q12" s="35">
        <v>154</v>
      </c>
      <c r="R12" s="24">
        <f t="shared" ref="R12:R19" si="10">AVERAGE(O12:Q12)</f>
        <v>153.66666666666666</v>
      </c>
      <c r="S12" s="35">
        <v>219</v>
      </c>
      <c r="T12" s="35">
        <v>218</v>
      </c>
      <c r="U12" s="35">
        <v>219</v>
      </c>
      <c r="V12" s="24">
        <f t="shared" ref="V12:V19" si="11">AVERAGE(S12:U12)</f>
        <v>218.66666666666666</v>
      </c>
      <c r="W12" s="36">
        <v>15.75</v>
      </c>
      <c r="X12" s="35">
        <v>15.12</v>
      </c>
      <c r="Y12" s="35">
        <v>15.3</v>
      </c>
      <c r="AA12" s="37">
        <v>39.869999999999997</v>
      </c>
      <c r="AB12" s="37">
        <v>40.36</v>
      </c>
      <c r="AC12" s="37">
        <v>40.56</v>
      </c>
      <c r="AD12" s="24">
        <f>AVERAGE(AA12:AC12)</f>
        <v>40.263333333333328</v>
      </c>
      <c r="AE12" s="42">
        <v>39.869999999999997</v>
      </c>
      <c r="AF12" s="42">
        <v>40.36</v>
      </c>
      <c r="AG12" s="24">
        <v>40.56</v>
      </c>
      <c r="AH12" s="24">
        <f t="shared" ref="AH12:AH19" si="12">AVERAGE(AE12:AG12)</f>
        <v>40.263333333333328</v>
      </c>
      <c r="AI12" s="37">
        <v>59.35</v>
      </c>
      <c r="AJ12" s="37">
        <v>59.05</v>
      </c>
      <c r="AK12" s="37">
        <v>59.37</v>
      </c>
      <c r="AL12" s="24">
        <f t="shared" ref="AL12:AL43" si="13">AVERAGE(AI12:AK12)</f>
        <v>59.256666666666668</v>
      </c>
      <c r="AX12" s="10" t="s">
        <v>654</v>
      </c>
      <c r="AY12" s="9">
        <v>8</v>
      </c>
      <c r="AZ12">
        <v>0</v>
      </c>
      <c r="BD12" s="35">
        <v>45.11</v>
      </c>
      <c r="BE12" s="35">
        <v>45.18</v>
      </c>
      <c r="BF12" s="35">
        <v>44.88</v>
      </c>
      <c r="BG12" s="24">
        <f t="shared" ref="BG12:BG43" si="14">AVERAGE(BD12:BF12)</f>
        <v>45.056666666666665</v>
      </c>
      <c r="BH12" s="35">
        <v>34.340000000000003</v>
      </c>
      <c r="BI12" s="35">
        <v>34.08</v>
      </c>
      <c r="BJ12" s="35">
        <v>34.19</v>
      </c>
      <c r="BK12" s="24">
        <f t="shared" ref="BK12:BK43" si="15">AVERAGE(BH12:BJ12)</f>
        <v>34.203333333333333</v>
      </c>
      <c r="BL12" s="35">
        <v>69.7</v>
      </c>
      <c r="BM12" s="35">
        <v>69.94</v>
      </c>
      <c r="BN12" s="35">
        <v>69.7</v>
      </c>
      <c r="BO12" s="24">
        <f t="shared" ref="BO12:BO43" si="16">AVERAGE(BL12:BN12)</f>
        <v>69.779999999999987</v>
      </c>
      <c r="BP12" t="s">
        <v>51</v>
      </c>
      <c r="BQ12" t="s">
        <v>51</v>
      </c>
      <c r="BZ12" t="s">
        <v>655</v>
      </c>
    </row>
    <row r="13" spans="1:78" x14ac:dyDescent="0.25">
      <c r="A13" t="s">
        <v>302</v>
      </c>
      <c r="B13" t="s">
        <v>670</v>
      </c>
      <c r="C13" t="s">
        <v>49</v>
      </c>
      <c r="D13" t="s">
        <v>671</v>
      </c>
      <c r="E13">
        <v>1276</v>
      </c>
      <c r="F13" s="5" t="s">
        <v>672</v>
      </c>
      <c r="G13" s="100">
        <v>42876</v>
      </c>
      <c r="H13" s="4" t="s">
        <v>735</v>
      </c>
      <c r="J13" s="147">
        <v>1</v>
      </c>
      <c r="K13" s="10" t="s">
        <v>50</v>
      </c>
      <c r="L13">
        <v>957</v>
      </c>
      <c r="M13">
        <v>94</v>
      </c>
      <c r="N13" s="9">
        <f t="shared" si="9"/>
        <v>863</v>
      </c>
      <c r="O13" s="35">
        <v>214</v>
      </c>
      <c r="P13" s="35">
        <v>214</v>
      </c>
      <c r="Q13" s="35">
        <v>215</v>
      </c>
      <c r="R13" s="24">
        <f t="shared" si="10"/>
        <v>214.33333333333334</v>
      </c>
      <c r="S13" s="35">
        <v>255</v>
      </c>
      <c r="T13" s="35">
        <v>255</v>
      </c>
      <c r="U13" s="35">
        <v>255</v>
      </c>
      <c r="V13" s="24">
        <f t="shared" si="11"/>
        <v>255</v>
      </c>
      <c r="W13" s="36">
        <v>22.84</v>
      </c>
      <c r="X13" s="35">
        <v>22.16</v>
      </c>
      <c r="Y13" s="35">
        <v>22.2</v>
      </c>
      <c r="Z13" s="24">
        <f t="shared" ref="Z13:Z19" si="17">AVERAGE(W13:Y13)</f>
        <v>22.400000000000002</v>
      </c>
      <c r="AA13" s="128"/>
      <c r="AB13" s="128"/>
      <c r="AC13" s="128"/>
      <c r="AD13" s="129"/>
      <c r="AE13" s="37">
        <v>47.46</v>
      </c>
      <c r="AF13" s="37">
        <v>47.77</v>
      </c>
      <c r="AG13" s="37">
        <v>47.9</v>
      </c>
      <c r="AH13" s="24">
        <f t="shared" si="12"/>
        <v>47.71</v>
      </c>
      <c r="AI13" s="37">
        <v>72.760000000000005</v>
      </c>
      <c r="AJ13" s="37">
        <v>72.59</v>
      </c>
      <c r="AK13" s="37">
        <v>72.69</v>
      </c>
      <c r="AL13" s="24">
        <f t="shared" si="13"/>
        <v>72.680000000000007</v>
      </c>
      <c r="AM13" s="37">
        <v>19.72</v>
      </c>
      <c r="AN13" s="37">
        <v>19.739999999999998</v>
      </c>
      <c r="AO13" s="37">
        <v>19.239999999999998</v>
      </c>
      <c r="AP13" s="24">
        <f>AVERAGE(AM13:AO13)</f>
        <v>19.566666666666663</v>
      </c>
      <c r="AQ13" s="37">
        <v>24</v>
      </c>
      <c r="AR13" s="37">
        <v>23.22</v>
      </c>
      <c r="AS13" s="37">
        <v>24.46</v>
      </c>
      <c r="AT13" s="24">
        <f>AVERAGE(AQ13:AS13)</f>
        <v>23.893333333333334</v>
      </c>
      <c r="BB13" s="35"/>
      <c r="BD13" s="35">
        <v>58.97</v>
      </c>
      <c r="BE13" s="35">
        <v>58.82</v>
      </c>
      <c r="BF13" s="35">
        <v>58.73</v>
      </c>
      <c r="BG13" s="24">
        <f t="shared" si="14"/>
        <v>58.839999999999996</v>
      </c>
      <c r="BH13" s="35">
        <v>44.45</v>
      </c>
      <c r="BI13" s="35">
        <v>44.77</v>
      </c>
      <c r="BJ13" s="35">
        <v>44.37</v>
      </c>
      <c r="BK13" s="24">
        <f t="shared" si="15"/>
        <v>44.53</v>
      </c>
      <c r="BL13" s="35">
        <v>69.459999999999994</v>
      </c>
      <c r="BM13" s="35">
        <v>70</v>
      </c>
      <c r="BN13" s="35">
        <v>69.900000000000006</v>
      </c>
      <c r="BO13" s="24">
        <f t="shared" si="16"/>
        <v>69.786666666666662</v>
      </c>
      <c r="BP13" t="s">
        <v>51</v>
      </c>
      <c r="BQ13" t="s">
        <v>51</v>
      </c>
    </row>
    <row r="14" spans="1:78" x14ac:dyDescent="0.25">
      <c r="A14" t="s">
        <v>302</v>
      </c>
      <c r="B14" t="s">
        <v>678</v>
      </c>
      <c r="C14" t="s">
        <v>49</v>
      </c>
      <c r="D14" t="s">
        <v>671</v>
      </c>
      <c r="E14">
        <v>1249</v>
      </c>
      <c r="F14" s="5" t="s">
        <v>679</v>
      </c>
      <c r="G14" s="100">
        <v>42877</v>
      </c>
      <c r="H14" s="4" t="s">
        <v>734</v>
      </c>
      <c r="J14" s="147">
        <v>1</v>
      </c>
      <c r="K14" s="10" t="s">
        <v>64</v>
      </c>
      <c r="L14">
        <v>435</v>
      </c>
      <c r="M14">
        <v>95</v>
      </c>
      <c r="N14" s="9">
        <f t="shared" si="9"/>
        <v>340</v>
      </c>
      <c r="O14" s="35">
        <v>151</v>
      </c>
      <c r="P14" s="35">
        <v>151</v>
      </c>
      <c r="Q14" s="35">
        <v>152</v>
      </c>
      <c r="R14" s="24">
        <f t="shared" si="10"/>
        <v>151.33333333333334</v>
      </c>
      <c r="S14" s="35">
        <v>253</v>
      </c>
      <c r="T14" s="35">
        <v>253</v>
      </c>
      <c r="U14" s="35">
        <v>253</v>
      </c>
      <c r="V14" s="24">
        <f t="shared" si="11"/>
        <v>253</v>
      </c>
      <c r="W14" s="36">
        <v>13.8</v>
      </c>
      <c r="X14" s="35">
        <v>13.85</v>
      </c>
      <c r="Y14" s="35">
        <v>13.29</v>
      </c>
      <c r="Z14" s="24">
        <f t="shared" si="17"/>
        <v>13.646666666666667</v>
      </c>
      <c r="AA14" s="37">
        <v>33.19</v>
      </c>
      <c r="AB14" s="37">
        <v>33.270000000000003</v>
      </c>
      <c r="AC14" s="37">
        <v>33.26</v>
      </c>
      <c r="AD14" s="24">
        <f t="shared" ref="AD14:AD19" si="18">AVERAGE(AA14:AC14)</f>
        <v>33.24</v>
      </c>
      <c r="AE14" s="42">
        <v>43.55</v>
      </c>
      <c r="AF14" s="42">
        <v>43.58</v>
      </c>
      <c r="AG14" s="42">
        <v>43.69</v>
      </c>
      <c r="AH14" s="24">
        <f t="shared" si="12"/>
        <v>43.606666666666662</v>
      </c>
      <c r="AI14" s="37">
        <v>64.040000000000006</v>
      </c>
      <c r="AJ14" s="37">
        <v>63.94</v>
      </c>
      <c r="AK14" s="37">
        <v>63.93</v>
      </c>
      <c r="AL14" s="24">
        <f t="shared" si="13"/>
        <v>63.97</v>
      </c>
      <c r="AX14" s="10" t="s">
        <v>654</v>
      </c>
      <c r="AY14" s="9">
        <v>8</v>
      </c>
      <c r="AZ14">
        <v>0</v>
      </c>
      <c r="BB14" s="35"/>
      <c r="BD14" s="35">
        <v>50.04</v>
      </c>
      <c r="BE14" s="35">
        <v>49.81</v>
      </c>
      <c r="BF14" s="35">
        <v>50.06</v>
      </c>
      <c r="BG14" s="24">
        <f t="shared" si="14"/>
        <v>49.97</v>
      </c>
      <c r="BH14" s="35">
        <v>34.619999999999997</v>
      </c>
      <c r="BI14" s="35">
        <v>34.5</v>
      </c>
      <c r="BJ14" s="35">
        <v>34.44</v>
      </c>
      <c r="BK14" s="24">
        <f t="shared" si="15"/>
        <v>34.520000000000003</v>
      </c>
      <c r="BL14" s="35">
        <v>65.47</v>
      </c>
      <c r="BM14" s="35">
        <v>65.75</v>
      </c>
      <c r="BN14" s="35">
        <v>65.88</v>
      </c>
      <c r="BO14" s="24">
        <f t="shared" si="16"/>
        <v>65.7</v>
      </c>
      <c r="BP14" t="s">
        <v>51</v>
      </c>
      <c r="BQ14" t="s">
        <v>51</v>
      </c>
    </row>
    <row r="15" spans="1:78" x14ac:dyDescent="0.25">
      <c r="A15" t="s">
        <v>302</v>
      </c>
      <c r="B15" t="s">
        <v>680</v>
      </c>
      <c r="C15" t="s">
        <v>49</v>
      </c>
      <c r="D15" t="s">
        <v>671</v>
      </c>
      <c r="E15">
        <v>1248</v>
      </c>
      <c r="F15" s="5" t="s">
        <v>681</v>
      </c>
      <c r="G15" s="100">
        <v>42877</v>
      </c>
      <c r="H15" s="4" t="s">
        <v>733</v>
      </c>
      <c r="J15" s="147">
        <v>1</v>
      </c>
      <c r="K15" s="10" t="s">
        <v>50</v>
      </c>
      <c r="L15">
        <v>550</v>
      </c>
      <c r="M15">
        <v>92</v>
      </c>
      <c r="N15" s="9">
        <f t="shared" si="9"/>
        <v>458</v>
      </c>
      <c r="O15" s="35">
        <v>176</v>
      </c>
      <c r="P15" s="35">
        <v>175</v>
      </c>
      <c r="Q15" s="35">
        <v>175</v>
      </c>
      <c r="R15" s="24">
        <f t="shared" si="10"/>
        <v>175.33333333333334</v>
      </c>
      <c r="S15" s="35">
        <v>242</v>
      </c>
      <c r="T15" s="35">
        <v>241</v>
      </c>
      <c r="U15" s="35">
        <v>241</v>
      </c>
      <c r="V15" s="24">
        <f t="shared" si="11"/>
        <v>241.33333333333334</v>
      </c>
      <c r="W15" s="36">
        <v>14.86</v>
      </c>
      <c r="X15" s="35">
        <v>14.58</v>
      </c>
      <c r="Y15" s="35">
        <v>14.44</v>
      </c>
      <c r="Z15" s="24">
        <f t="shared" si="17"/>
        <v>14.626666666666665</v>
      </c>
      <c r="AA15" s="37">
        <v>32.6</v>
      </c>
      <c r="AB15" s="37">
        <v>32.56</v>
      </c>
      <c r="AC15" s="37">
        <v>32.590000000000003</v>
      </c>
      <c r="AD15" s="24">
        <f t="shared" si="18"/>
        <v>32.583333333333336</v>
      </c>
      <c r="AE15" s="42">
        <v>40.86</v>
      </c>
      <c r="AF15" s="42">
        <v>41.19</v>
      </c>
      <c r="AG15" s="42">
        <v>41.09</v>
      </c>
      <c r="AH15" s="24">
        <f t="shared" si="12"/>
        <v>41.046666666666667</v>
      </c>
      <c r="AI15" s="37">
        <v>63.19</v>
      </c>
      <c r="AJ15" s="37">
        <v>63.51</v>
      </c>
      <c r="AK15" s="37">
        <v>63.27</v>
      </c>
      <c r="AL15" s="24">
        <f t="shared" si="13"/>
        <v>63.323333333333331</v>
      </c>
      <c r="AM15" s="37">
        <v>18.72</v>
      </c>
      <c r="AN15" s="37">
        <v>17.02</v>
      </c>
      <c r="AO15" s="37">
        <v>17.399999999999999</v>
      </c>
      <c r="AP15" s="24">
        <f>AVERAGE(AM15:AO15)</f>
        <v>17.713333333333331</v>
      </c>
      <c r="AQ15" s="37">
        <v>23.08</v>
      </c>
      <c r="AR15" s="37">
        <v>22.62</v>
      </c>
      <c r="AS15" s="37">
        <v>21.69</v>
      </c>
      <c r="AT15" s="24">
        <f>AVERAGE(AQ15:AS15)</f>
        <v>22.463333333333335</v>
      </c>
      <c r="BB15" s="35"/>
      <c r="BD15" s="35">
        <v>51.41</v>
      </c>
      <c r="BE15" s="35">
        <v>51.54</v>
      </c>
      <c r="BF15" s="35">
        <v>51.43</v>
      </c>
      <c r="BG15" s="24">
        <f t="shared" si="14"/>
        <v>51.46</v>
      </c>
      <c r="BH15" s="35">
        <v>36.57</v>
      </c>
      <c r="BI15" s="35">
        <v>36.32</v>
      </c>
      <c r="BJ15" s="35">
        <v>36.35</v>
      </c>
      <c r="BK15" s="24">
        <f t="shared" si="15"/>
        <v>36.413333333333334</v>
      </c>
      <c r="BL15" s="35">
        <v>65.5</v>
      </c>
      <c r="BM15" s="35">
        <v>65.260000000000005</v>
      </c>
      <c r="BN15" s="35">
        <v>65.52</v>
      </c>
      <c r="BO15" s="24">
        <f t="shared" si="16"/>
        <v>65.426666666666662</v>
      </c>
      <c r="BP15" t="s">
        <v>51</v>
      </c>
      <c r="BQ15" t="s">
        <v>51</v>
      </c>
    </row>
    <row r="16" spans="1:78" x14ac:dyDescent="0.25">
      <c r="A16" t="s">
        <v>302</v>
      </c>
      <c r="B16" t="s">
        <v>682</v>
      </c>
      <c r="C16" t="s">
        <v>49</v>
      </c>
      <c r="D16" t="s">
        <v>671</v>
      </c>
      <c r="E16">
        <v>1226</v>
      </c>
      <c r="F16" s="5" t="s">
        <v>683</v>
      </c>
      <c r="G16" s="100">
        <v>42877</v>
      </c>
      <c r="H16" s="4" t="s">
        <v>465</v>
      </c>
      <c r="J16" s="147">
        <v>1</v>
      </c>
      <c r="K16" s="10" t="s">
        <v>50</v>
      </c>
      <c r="L16">
        <v>381</v>
      </c>
      <c r="M16">
        <v>93</v>
      </c>
      <c r="N16" s="9">
        <f t="shared" si="9"/>
        <v>288</v>
      </c>
      <c r="O16" s="35">
        <v>161</v>
      </c>
      <c r="P16" s="35">
        <v>162</v>
      </c>
      <c r="Q16" s="35">
        <v>162</v>
      </c>
      <c r="R16" s="24">
        <f t="shared" si="10"/>
        <v>161.66666666666666</v>
      </c>
      <c r="S16" s="35">
        <v>204</v>
      </c>
      <c r="T16" s="35">
        <v>204</v>
      </c>
      <c r="U16" s="35">
        <v>204</v>
      </c>
      <c r="V16" s="24">
        <f t="shared" si="11"/>
        <v>204</v>
      </c>
      <c r="W16" s="36">
        <v>12.07</v>
      </c>
      <c r="X16" s="35">
        <v>12.37</v>
      </c>
      <c r="Y16" s="35">
        <v>12.26</v>
      </c>
      <c r="Z16" s="24">
        <f t="shared" si="17"/>
        <v>12.233333333333333</v>
      </c>
      <c r="AA16" s="37">
        <v>30.33</v>
      </c>
      <c r="AB16" s="37">
        <v>30.06</v>
      </c>
      <c r="AC16" s="37">
        <v>30.11</v>
      </c>
      <c r="AD16" s="24">
        <f t="shared" si="18"/>
        <v>30.166666666666668</v>
      </c>
      <c r="AE16" s="42">
        <v>39.22</v>
      </c>
      <c r="AF16" s="42">
        <v>39.08</v>
      </c>
      <c r="AG16" s="42">
        <v>39.11</v>
      </c>
      <c r="AH16" s="24">
        <f t="shared" si="12"/>
        <v>39.136666666666663</v>
      </c>
      <c r="AI16" s="37">
        <v>60.45</v>
      </c>
      <c r="AJ16" s="37">
        <v>60.51</v>
      </c>
      <c r="AK16" s="37">
        <v>60.32</v>
      </c>
      <c r="AL16" s="24">
        <f t="shared" si="13"/>
        <v>60.426666666666669</v>
      </c>
      <c r="AM16" s="37">
        <v>15.12</v>
      </c>
      <c r="AN16" s="37">
        <v>15.14</v>
      </c>
      <c r="AO16" s="37">
        <v>14.93</v>
      </c>
      <c r="AP16" s="24">
        <f>AVERAGE(AM16:AO16)</f>
        <v>15.063333333333333</v>
      </c>
      <c r="AQ16" s="37">
        <v>21.04</v>
      </c>
      <c r="AR16" s="37">
        <v>20.100000000000001</v>
      </c>
      <c r="AS16" s="37">
        <v>21.17</v>
      </c>
      <c r="AT16" s="24">
        <f>AVERAGE(AQ16:AS16)</f>
        <v>20.77</v>
      </c>
      <c r="BB16" s="35"/>
      <c r="BD16" s="35">
        <v>48.11</v>
      </c>
      <c r="BE16" s="35">
        <v>48.23</v>
      </c>
      <c r="BF16" s="35">
        <v>48.21</v>
      </c>
      <c r="BG16" s="24">
        <f t="shared" si="14"/>
        <v>48.183333333333337</v>
      </c>
      <c r="BH16" s="35">
        <v>32.979999999999997</v>
      </c>
      <c r="BI16" s="35">
        <v>32.54</v>
      </c>
      <c r="BJ16" s="35">
        <v>32.880000000000003</v>
      </c>
      <c r="BK16" s="24">
        <f t="shared" si="15"/>
        <v>32.800000000000004</v>
      </c>
      <c r="BL16" s="35">
        <v>64.459999999999994</v>
      </c>
      <c r="BM16" s="35">
        <v>64.5</v>
      </c>
      <c r="BN16" s="35">
        <v>64.56</v>
      </c>
      <c r="BO16" s="24">
        <f t="shared" si="16"/>
        <v>64.506666666666661</v>
      </c>
      <c r="BP16" t="s">
        <v>51</v>
      </c>
      <c r="BQ16" t="s">
        <v>51</v>
      </c>
    </row>
    <row r="17" spans="1:78" x14ac:dyDescent="0.25">
      <c r="A17" t="s">
        <v>302</v>
      </c>
      <c r="B17" t="s">
        <v>684</v>
      </c>
      <c r="C17" t="s">
        <v>49</v>
      </c>
      <c r="D17" t="s">
        <v>671</v>
      </c>
      <c r="E17">
        <v>1247</v>
      </c>
      <c r="F17" s="5">
        <v>7352810</v>
      </c>
      <c r="G17" s="100">
        <v>42877</v>
      </c>
      <c r="H17" s="4" t="s">
        <v>732</v>
      </c>
      <c r="J17" s="147">
        <v>2</v>
      </c>
      <c r="K17" s="10" t="s">
        <v>64</v>
      </c>
      <c r="L17">
        <v>492</v>
      </c>
      <c r="M17">
        <v>97</v>
      </c>
      <c r="N17" s="9">
        <f t="shared" si="9"/>
        <v>395</v>
      </c>
      <c r="O17" s="35">
        <v>179</v>
      </c>
      <c r="P17" s="35">
        <v>180</v>
      </c>
      <c r="Q17" s="35">
        <v>179</v>
      </c>
      <c r="R17" s="24">
        <f t="shared" si="10"/>
        <v>179.33333333333334</v>
      </c>
      <c r="S17" s="35">
        <v>235</v>
      </c>
      <c r="T17" s="35">
        <v>235</v>
      </c>
      <c r="U17" s="35">
        <v>235</v>
      </c>
      <c r="V17" s="24">
        <f t="shared" si="11"/>
        <v>235</v>
      </c>
      <c r="W17" s="36">
        <v>15.02</v>
      </c>
      <c r="X17" s="35">
        <v>14.81</v>
      </c>
      <c r="Y17" s="35">
        <v>14.97</v>
      </c>
      <c r="Z17" s="24">
        <f t="shared" si="17"/>
        <v>14.933333333333332</v>
      </c>
      <c r="AA17" s="37">
        <v>32.130000000000003</v>
      </c>
      <c r="AB17" s="37">
        <v>32.590000000000003</v>
      </c>
      <c r="AC17" s="37">
        <v>32.270000000000003</v>
      </c>
      <c r="AD17" s="24">
        <f t="shared" si="18"/>
        <v>32.330000000000005</v>
      </c>
      <c r="AE17" s="42">
        <v>41.69</v>
      </c>
      <c r="AF17" s="42">
        <v>42.04</v>
      </c>
      <c r="AG17" s="42">
        <v>41.74</v>
      </c>
      <c r="AH17" s="24">
        <f t="shared" si="12"/>
        <v>41.823333333333331</v>
      </c>
      <c r="AI17" s="37">
        <v>65.709999999999994</v>
      </c>
      <c r="AJ17" s="37">
        <v>65.86</v>
      </c>
      <c r="AK17" s="37">
        <v>65.989999999999995</v>
      </c>
      <c r="AL17" s="24">
        <f t="shared" si="13"/>
        <v>65.853333333333339</v>
      </c>
      <c r="AX17" s="10" t="s">
        <v>685</v>
      </c>
      <c r="AY17" s="9">
        <v>8</v>
      </c>
      <c r="AZ17">
        <v>8</v>
      </c>
      <c r="BD17" s="35">
        <v>51.1</v>
      </c>
      <c r="BE17" s="35">
        <v>51.29</v>
      </c>
      <c r="BF17" s="35">
        <v>51.11</v>
      </c>
      <c r="BG17" s="24">
        <f t="shared" si="14"/>
        <v>51.166666666666664</v>
      </c>
      <c r="BH17" s="35">
        <v>36.369999999999997</v>
      </c>
      <c r="BI17" s="35">
        <v>36.32</v>
      </c>
      <c r="BJ17" s="35">
        <v>36.1</v>
      </c>
      <c r="BK17" s="24">
        <f t="shared" si="15"/>
        <v>36.263333333333328</v>
      </c>
      <c r="BL17" s="35">
        <v>64.41</v>
      </c>
      <c r="BM17" s="35">
        <v>64.55</v>
      </c>
      <c r="BN17" s="35">
        <v>64.790000000000006</v>
      </c>
      <c r="BO17" s="24">
        <f t="shared" si="16"/>
        <v>64.583333333333329</v>
      </c>
      <c r="BP17" t="s">
        <v>51</v>
      </c>
      <c r="BQ17" t="s">
        <v>51</v>
      </c>
    </row>
    <row r="18" spans="1:78" x14ac:dyDescent="0.25">
      <c r="A18" t="s">
        <v>302</v>
      </c>
      <c r="B18" t="s">
        <v>692</v>
      </c>
      <c r="C18" t="s">
        <v>49</v>
      </c>
      <c r="D18" t="s">
        <v>671</v>
      </c>
      <c r="E18">
        <v>1243</v>
      </c>
      <c r="F18" s="5" t="s">
        <v>693</v>
      </c>
      <c r="G18" s="100">
        <v>42878</v>
      </c>
      <c r="H18" s="4" t="s">
        <v>309</v>
      </c>
      <c r="J18" s="147">
        <v>1</v>
      </c>
      <c r="K18" s="10" t="s">
        <v>50</v>
      </c>
      <c r="L18">
        <v>561</v>
      </c>
      <c r="M18">
        <v>95</v>
      </c>
      <c r="N18" s="9">
        <f t="shared" si="9"/>
        <v>466</v>
      </c>
      <c r="O18" s="35">
        <v>193</v>
      </c>
      <c r="P18" s="35">
        <v>192</v>
      </c>
      <c r="Q18" s="35">
        <v>192</v>
      </c>
      <c r="R18" s="24">
        <f t="shared" si="10"/>
        <v>192.33333333333334</v>
      </c>
      <c r="S18" s="35">
        <v>244</v>
      </c>
      <c r="T18" s="35">
        <v>244</v>
      </c>
      <c r="U18" s="35">
        <v>243</v>
      </c>
      <c r="V18" s="24">
        <f t="shared" si="11"/>
        <v>243.66666666666666</v>
      </c>
      <c r="W18" s="36">
        <v>14.01</v>
      </c>
      <c r="X18" s="35">
        <v>13.78</v>
      </c>
      <c r="Y18" s="35">
        <v>14.24</v>
      </c>
      <c r="Z18" s="24">
        <f t="shared" si="17"/>
        <v>14.01</v>
      </c>
      <c r="AA18" s="37">
        <v>33.35</v>
      </c>
      <c r="AB18" s="37">
        <v>33.22</v>
      </c>
      <c r="AC18" s="37">
        <v>33.36</v>
      </c>
      <c r="AD18" s="24">
        <f t="shared" si="18"/>
        <v>33.309999999999995</v>
      </c>
      <c r="AE18" s="42">
        <v>44.16</v>
      </c>
      <c r="AF18" s="42">
        <v>44.83</v>
      </c>
      <c r="AG18" s="42">
        <v>44.12</v>
      </c>
      <c r="AH18" s="24">
        <f t="shared" si="12"/>
        <v>44.37</v>
      </c>
      <c r="AI18" s="37">
        <v>67.25</v>
      </c>
      <c r="AJ18" s="37">
        <v>67.209999999999994</v>
      </c>
      <c r="AK18" s="37">
        <v>67.010000000000005</v>
      </c>
      <c r="AL18" s="24">
        <f t="shared" si="13"/>
        <v>67.156666666666652</v>
      </c>
      <c r="AM18" s="37">
        <v>17.8</v>
      </c>
      <c r="AN18" s="37">
        <v>17.14</v>
      </c>
      <c r="AO18" s="37">
        <v>17.559999999999999</v>
      </c>
      <c r="AP18" s="24">
        <f>AVERAGE(AM18:AO18)</f>
        <v>17.5</v>
      </c>
      <c r="AQ18" s="37">
        <v>23.61</v>
      </c>
      <c r="AR18" s="37">
        <v>23.81</v>
      </c>
      <c r="AS18" s="37">
        <v>22.22</v>
      </c>
      <c r="AT18" s="24">
        <f>AVERAGE(AQ18:AS18)</f>
        <v>23.213333333333335</v>
      </c>
      <c r="BD18" s="35">
        <v>56.32</v>
      </c>
      <c r="BE18" s="35">
        <v>56.22</v>
      </c>
      <c r="BF18" s="35">
        <v>56.27</v>
      </c>
      <c r="BG18" s="24">
        <f t="shared" si="14"/>
        <v>56.27</v>
      </c>
      <c r="BH18" s="35">
        <v>38.229999999999997</v>
      </c>
      <c r="BI18" s="35">
        <v>38.74</v>
      </c>
      <c r="BJ18" s="35">
        <v>38.53</v>
      </c>
      <c r="BK18" s="24">
        <f t="shared" si="15"/>
        <v>38.5</v>
      </c>
      <c r="BL18" s="35">
        <v>64.58</v>
      </c>
      <c r="BM18" s="35">
        <v>64.48</v>
      </c>
      <c r="BN18" s="35">
        <v>64.14</v>
      </c>
      <c r="BO18" s="24">
        <f t="shared" si="16"/>
        <v>64.399999999999991</v>
      </c>
      <c r="BP18" t="s">
        <v>51</v>
      </c>
      <c r="BQ18" t="s">
        <v>51</v>
      </c>
    </row>
    <row r="19" spans="1:78" x14ac:dyDescent="0.25">
      <c r="A19" t="s">
        <v>302</v>
      </c>
      <c r="B19" t="s">
        <v>701</v>
      </c>
      <c r="C19" t="s">
        <v>49</v>
      </c>
      <c r="D19" t="s">
        <v>671</v>
      </c>
      <c r="E19">
        <v>1239</v>
      </c>
      <c r="F19" s="5" t="s">
        <v>702</v>
      </c>
      <c r="G19" s="100">
        <v>42881</v>
      </c>
      <c r="H19" s="4" t="s">
        <v>703</v>
      </c>
      <c r="J19" s="147">
        <v>1</v>
      </c>
      <c r="K19" s="10" t="s">
        <v>50</v>
      </c>
      <c r="L19">
        <v>685</v>
      </c>
      <c r="M19">
        <v>94</v>
      </c>
      <c r="N19" s="9">
        <f t="shared" si="9"/>
        <v>591</v>
      </c>
      <c r="O19" s="35">
        <v>190</v>
      </c>
      <c r="P19" s="35">
        <v>191</v>
      </c>
      <c r="Q19" s="35">
        <v>191</v>
      </c>
      <c r="R19" s="24">
        <f t="shared" si="10"/>
        <v>190.66666666666666</v>
      </c>
      <c r="S19" s="35">
        <v>183</v>
      </c>
      <c r="T19" s="35">
        <v>184</v>
      </c>
      <c r="U19" s="35">
        <v>184</v>
      </c>
      <c r="V19" s="24">
        <f t="shared" si="11"/>
        <v>183.66666666666666</v>
      </c>
      <c r="W19" s="36">
        <v>18.22</v>
      </c>
      <c r="X19" s="35">
        <v>18.7</v>
      </c>
      <c r="Y19" s="35">
        <v>18.850000000000001</v>
      </c>
      <c r="Z19" s="24">
        <f t="shared" si="17"/>
        <v>18.59</v>
      </c>
      <c r="AA19" s="42">
        <v>34.17</v>
      </c>
      <c r="AB19" s="42">
        <v>34.44</v>
      </c>
      <c r="AC19" s="42">
        <v>34.159999999999997</v>
      </c>
      <c r="AD19" s="24">
        <f t="shared" si="18"/>
        <v>34.256666666666668</v>
      </c>
      <c r="AE19" s="37">
        <v>43.49</v>
      </c>
      <c r="AF19" s="37">
        <v>43.59</v>
      </c>
      <c r="AG19" s="37">
        <v>43.6</v>
      </c>
      <c r="AH19" s="24">
        <f t="shared" si="12"/>
        <v>43.56</v>
      </c>
      <c r="AI19" s="37">
        <v>68.209999999999994</v>
      </c>
      <c r="AJ19" s="37">
        <v>68.099999999999994</v>
      </c>
      <c r="AK19" s="37">
        <v>68</v>
      </c>
      <c r="AL19" s="24">
        <f t="shared" si="13"/>
        <v>68.103333333333339</v>
      </c>
      <c r="AM19" s="37">
        <v>18.57</v>
      </c>
      <c r="AN19" s="37">
        <v>18.25</v>
      </c>
      <c r="AO19" s="37">
        <v>18.649999999999999</v>
      </c>
      <c r="AP19" s="24">
        <f>AVERAGE(AM19:AO19)</f>
        <v>18.489999999999998</v>
      </c>
      <c r="AQ19" s="37">
        <v>23.27</v>
      </c>
      <c r="AR19" s="37">
        <v>23.28</v>
      </c>
      <c r="AS19" s="37">
        <v>23.58</v>
      </c>
      <c r="AT19" s="24">
        <f>AVERAGE(AQ19:AS19)</f>
        <v>23.376666666666665</v>
      </c>
      <c r="BD19" s="35">
        <v>55.11</v>
      </c>
      <c r="BE19" s="35">
        <v>55.27</v>
      </c>
      <c r="BF19" s="35">
        <v>55.38</v>
      </c>
      <c r="BG19" s="24">
        <f t="shared" si="14"/>
        <v>55.25333333333333</v>
      </c>
      <c r="BH19" s="35">
        <v>42.65</v>
      </c>
      <c r="BI19" s="35">
        <v>42.23</v>
      </c>
      <c r="BJ19" s="35">
        <v>42.42</v>
      </c>
      <c r="BK19" s="24">
        <f t="shared" si="15"/>
        <v>42.43333333333333</v>
      </c>
      <c r="BL19" s="35">
        <v>71.03</v>
      </c>
      <c r="BM19" s="35">
        <v>71.150000000000006</v>
      </c>
      <c r="BN19" s="35">
        <v>71.150000000000006</v>
      </c>
      <c r="BO19" s="24">
        <f t="shared" si="16"/>
        <v>71.11</v>
      </c>
      <c r="BP19" t="s">
        <v>51</v>
      </c>
      <c r="BQ19" t="s">
        <v>51</v>
      </c>
    </row>
    <row r="20" spans="1:78" x14ac:dyDescent="0.25">
      <c r="A20" t="s">
        <v>302</v>
      </c>
      <c r="B20" t="s">
        <v>704</v>
      </c>
      <c r="C20" t="s">
        <v>49</v>
      </c>
      <c r="D20" t="s">
        <v>671</v>
      </c>
      <c r="E20">
        <v>1238</v>
      </c>
      <c r="F20" s="5" t="s">
        <v>706</v>
      </c>
      <c r="G20" s="100">
        <v>42881</v>
      </c>
      <c r="H20" s="4" t="s">
        <v>705</v>
      </c>
      <c r="J20" s="147">
        <v>1</v>
      </c>
      <c r="K20" s="10" t="s">
        <v>50</v>
      </c>
      <c r="L20">
        <v>588</v>
      </c>
      <c r="M20">
        <v>96</v>
      </c>
      <c r="N20" s="9">
        <f t="shared" si="9"/>
        <v>492</v>
      </c>
      <c r="O20">
        <v>187</v>
      </c>
      <c r="P20">
        <v>188</v>
      </c>
      <c r="Q20">
        <v>188</v>
      </c>
      <c r="R20" s="24">
        <f t="shared" ref="R20:R80" si="19">AVERAGE(O20:Q20)</f>
        <v>187.66666666666666</v>
      </c>
      <c r="S20">
        <v>225</v>
      </c>
      <c r="T20">
        <v>225</v>
      </c>
      <c r="U20">
        <v>225</v>
      </c>
      <c r="V20" s="24">
        <f t="shared" ref="V20:V80" si="20">AVERAGE(S20:U20)</f>
        <v>225</v>
      </c>
      <c r="W20" s="36">
        <v>16.82</v>
      </c>
      <c r="X20">
        <v>16.2</v>
      </c>
      <c r="Y20">
        <v>16.48</v>
      </c>
      <c r="Z20" s="24">
        <f t="shared" ref="Z20:Z65" si="21">AVERAGE(W20:Y20)</f>
        <v>16.5</v>
      </c>
      <c r="AA20" s="37">
        <v>32.1</v>
      </c>
      <c r="AB20" s="37">
        <v>31.86</v>
      </c>
      <c r="AC20" s="37">
        <v>32.18</v>
      </c>
      <c r="AD20" s="24">
        <f t="shared" ref="AD20:AD79" si="22">AVERAGE(AA20:AC20)</f>
        <v>32.046666666666667</v>
      </c>
      <c r="AE20" s="42">
        <v>41.59</v>
      </c>
      <c r="AF20" s="42">
        <v>41.7</v>
      </c>
      <c r="AG20" s="42">
        <v>41.61</v>
      </c>
      <c r="AH20" s="24">
        <f t="shared" ref="AH20:AH80" si="23">AVERAGE(AE20:AG20)</f>
        <v>41.633333333333333</v>
      </c>
      <c r="AI20" s="37">
        <v>65.459999999999994</v>
      </c>
      <c r="AJ20" s="37">
        <v>65.349999999999994</v>
      </c>
      <c r="AK20" s="37">
        <v>64.22</v>
      </c>
      <c r="AL20" s="24">
        <f t="shared" si="13"/>
        <v>65.010000000000005</v>
      </c>
      <c r="AM20" s="37">
        <v>18.670000000000002</v>
      </c>
      <c r="AN20" s="37">
        <v>18.43</v>
      </c>
      <c r="AO20" s="37">
        <v>18.03</v>
      </c>
      <c r="AP20" s="24">
        <f t="shared" ref="AP20:AP25" si="24">AVERAGE(AM20:AO20)</f>
        <v>18.376666666666669</v>
      </c>
      <c r="AQ20" s="37">
        <v>22.53</v>
      </c>
      <c r="AR20" s="37">
        <v>22.62</v>
      </c>
      <c r="AS20" s="37">
        <v>22.84</v>
      </c>
      <c r="AT20" s="24">
        <f t="shared" ref="AT20:AT25" si="25">AVERAGE(AQ20:AS20)</f>
        <v>22.663333333333338</v>
      </c>
      <c r="BD20">
        <v>53.49</v>
      </c>
      <c r="BE20">
        <v>53.24</v>
      </c>
      <c r="BF20">
        <v>53.36</v>
      </c>
      <c r="BG20" s="24">
        <f t="shared" si="14"/>
        <v>53.363333333333337</v>
      </c>
      <c r="BH20">
        <v>40.53</v>
      </c>
      <c r="BI20">
        <v>40.729999999999997</v>
      </c>
      <c r="BJ20">
        <v>40.520000000000003</v>
      </c>
      <c r="BK20" s="24">
        <f t="shared" si="15"/>
        <v>40.593333333333334</v>
      </c>
      <c r="BL20">
        <v>72.989999999999995</v>
      </c>
      <c r="BM20">
        <v>72.680000000000007</v>
      </c>
      <c r="BN20">
        <v>72.73</v>
      </c>
      <c r="BO20" s="24">
        <f t="shared" si="16"/>
        <v>72.800000000000011</v>
      </c>
      <c r="BP20" t="s">
        <v>51</v>
      </c>
      <c r="BQ20" t="s">
        <v>51</v>
      </c>
    </row>
    <row r="21" spans="1:78" x14ac:dyDescent="0.25">
      <c r="A21" t="s">
        <v>302</v>
      </c>
      <c r="B21" t="s">
        <v>713</v>
      </c>
      <c r="C21" t="s">
        <v>49</v>
      </c>
      <c r="D21" t="s">
        <v>671</v>
      </c>
      <c r="E21">
        <v>1232</v>
      </c>
      <c r="F21" s="5" t="s">
        <v>715</v>
      </c>
      <c r="G21" s="100">
        <v>42883</v>
      </c>
      <c r="H21" s="4" t="s">
        <v>714</v>
      </c>
      <c r="J21" s="147">
        <v>1</v>
      </c>
      <c r="K21" s="10" t="s">
        <v>50</v>
      </c>
      <c r="L21">
        <v>646</v>
      </c>
      <c r="M21">
        <v>95</v>
      </c>
      <c r="N21" s="9">
        <f t="shared" si="9"/>
        <v>551</v>
      </c>
      <c r="O21">
        <v>205</v>
      </c>
      <c r="P21">
        <v>205</v>
      </c>
      <c r="Q21">
        <v>205</v>
      </c>
      <c r="R21" s="24">
        <f t="shared" si="19"/>
        <v>205</v>
      </c>
      <c r="S21">
        <v>261</v>
      </c>
      <c r="T21">
        <v>261</v>
      </c>
      <c r="U21">
        <v>261</v>
      </c>
      <c r="V21" s="24">
        <f t="shared" si="20"/>
        <v>261</v>
      </c>
      <c r="W21" s="36">
        <v>14.62</v>
      </c>
      <c r="X21">
        <v>14.67</v>
      </c>
      <c r="Y21">
        <v>14.74</v>
      </c>
      <c r="Z21" s="24">
        <f t="shared" si="21"/>
        <v>14.676666666666668</v>
      </c>
      <c r="AA21" s="37">
        <v>36.1</v>
      </c>
      <c r="AB21" s="37">
        <v>36.22</v>
      </c>
      <c r="AC21" s="37">
        <v>36.299999999999997</v>
      </c>
      <c r="AD21" s="24">
        <f t="shared" si="22"/>
        <v>36.206666666666663</v>
      </c>
      <c r="AE21" s="42">
        <v>47.77</v>
      </c>
      <c r="AF21" s="42">
        <v>47.48</v>
      </c>
      <c r="AG21" s="42">
        <v>47.53</v>
      </c>
      <c r="AH21" s="24">
        <f t="shared" si="23"/>
        <v>47.593333333333334</v>
      </c>
      <c r="AI21" s="37">
        <v>68.55</v>
      </c>
      <c r="AJ21" s="37">
        <v>69.86</v>
      </c>
      <c r="AK21" s="37">
        <v>69.5</v>
      </c>
      <c r="AL21" s="24">
        <f t="shared" si="13"/>
        <v>69.303333333333327</v>
      </c>
      <c r="AM21" s="37">
        <v>19.73</v>
      </c>
      <c r="AN21" s="37">
        <v>19.28</v>
      </c>
      <c r="AO21" s="37">
        <v>19.420000000000002</v>
      </c>
      <c r="AP21" s="24">
        <f t="shared" si="24"/>
        <v>19.47666666666667</v>
      </c>
      <c r="AQ21" s="37">
        <v>23.78</v>
      </c>
      <c r="AR21" s="37">
        <v>23.56</v>
      </c>
      <c r="AS21" s="37">
        <v>23.6</v>
      </c>
      <c r="AT21" s="24">
        <f t="shared" si="25"/>
        <v>23.646666666666665</v>
      </c>
      <c r="BD21">
        <v>22</v>
      </c>
      <c r="BE21">
        <v>56.47</v>
      </c>
      <c r="BF21">
        <v>56.59</v>
      </c>
      <c r="BG21" s="24">
        <f t="shared" si="14"/>
        <v>45.02</v>
      </c>
      <c r="BH21">
        <v>38.92</v>
      </c>
      <c r="BI21">
        <v>39.07</v>
      </c>
      <c r="BJ21">
        <v>38.979999999999997</v>
      </c>
      <c r="BK21" s="24">
        <f t="shared" si="15"/>
        <v>38.99</v>
      </c>
      <c r="BL21">
        <v>74.25</v>
      </c>
      <c r="BM21">
        <v>73.98</v>
      </c>
      <c r="BN21">
        <v>74.52</v>
      </c>
      <c r="BO21" s="24">
        <f t="shared" si="16"/>
        <v>74.25</v>
      </c>
      <c r="BP21" t="s">
        <v>51</v>
      </c>
      <c r="BQ21" t="s">
        <v>51</v>
      </c>
    </row>
    <row r="22" spans="1:78" x14ac:dyDescent="0.25">
      <c r="A22" t="s">
        <v>302</v>
      </c>
      <c r="B22" t="s">
        <v>722</v>
      </c>
      <c r="C22" t="s">
        <v>49</v>
      </c>
      <c r="D22" t="s">
        <v>671</v>
      </c>
      <c r="E22">
        <v>1228</v>
      </c>
      <c r="F22" s="5" t="s">
        <v>723</v>
      </c>
      <c r="G22" s="100">
        <v>42884</v>
      </c>
      <c r="H22" s="4" t="s">
        <v>731</v>
      </c>
      <c r="J22" s="147">
        <v>1</v>
      </c>
      <c r="K22" s="10" t="s">
        <v>50</v>
      </c>
      <c r="L22">
        <v>699</v>
      </c>
      <c r="M22">
        <v>94</v>
      </c>
      <c r="N22" s="9">
        <f t="shared" si="9"/>
        <v>605</v>
      </c>
      <c r="O22">
        <v>190</v>
      </c>
      <c r="P22">
        <v>190</v>
      </c>
      <c r="Q22">
        <v>189</v>
      </c>
      <c r="R22" s="24">
        <f t="shared" si="19"/>
        <v>189.66666666666666</v>
      </c>
      <c r="S22">
        <v>225</v>
      </c>
      <c r="T22">
        <v>225</v>
      </c>
      <c r="U22">
        <v>226</v>
      </c>
      <c r="V22" s="24">
        <f t="shared" si="20"/>
        <v>225.33333333333334</v>
      </c>
      <c r="W22" s="36">
        <v>14.1</v>
      </c>
      <c r="X22">
        <v>14.02</v>
      </c>
      <c r="Y22">
        <v>14.08</v>
      </c>
      <c r="Z22" s="24">
        <f t="shared" si="21"/>
        <v>14.066666666666665</v>
      </c>
      <c r="AA22" s="37">
        <v>35.69</v>
      </c>
      <c r="AB22" s="37">
        <v>35.14</v>
      </c>
      <c r="AC22" s="37">
        <v>35.18</v>
      </c>
      <c r="AD22" s="24">
        <f t="shared" si="22"/>
        <v>35.336666666666666</v>
      </c>
      <c r="AE22" s="42">
        <v>44.94</v>
      </c>
      <c r="AF22" s="42">
        <v>44.78</v>
      </c>
      <c r="AG22" s="42">
        <v>44.88</v>
      </c>
      <c r="AH22" s="24">
        <f t="shared" si="23"/>
        <v>44.866666666666667</v>
      </c>
      <c r="AI22" s="37">
        <v>69.28</v>
      </c>
      <c r="AJ22" s="37">
        <v>69.77</v>
      </c>
      <c r="AK22" s="37">
        <v>69.45</v>
      </c>
      <c r="AL22" s="24">
        <f t="shared" si="13"/>
        <v>69.5</v>
      </c>
      <c r="AM22" s="37">
        <v>19.75</v>
      </c>
      <c r="AN22" s="37">
        <v>18.5</v>
      </c>
      <c r="AO22" s="37">
        <v>18.89</v>
      </c>
      <c r="AP22" s="24">
        <f t="shared" si="24"/>
        <v>19.046666666666667</v>
      </c>
      <c r="AQ22" s="37">
        <v>22.57</v>
      </c>
      <c r="AR22" s="37">
        <v>22.34</v>
      </c>
      <c r="AS22" s="37">
        <v>22.89</v>
      </c>
      <c r="AT22" s="24">
        <f t="shared" si="25"/>
        <v>22.599999999999998</v>
      </c>
      <c r="BD22">
        <v>55.25</v>
      </c>
      <c r="BE22">
        <v>55.24</v>
      </c>
      <c r="BF22">
        <v>55.32</v>
      </c>
      <c r="BG22" s="24">
        <f t="shared" si="14"/>
        <v>55.27</v>
      </c>
      <c r="BH22">
        <v>42.56</v>
      </c>
      <c r="BI22">
        <v>42.17</v>
      </c>
      <c r="BJ22">
        <v>42.49</v>
      </c>
      <c r="BK22" s="24">
        <f t="shared" si="15"/>
        <v>42.406666666666666</v>
      </c>
      <c r="BL22">
        <v>71.25</v>
      </c>
      <c r="BM22">
        <v>71.31</v>
      </c>
      <c r="BN22">
        <v>71.989999999999995</v>
      </c>
      <c r="BO22" s="24">
        <f t="shared" si="16"/>
        <v>71.516666666666666</v>
      </c>
      <c r="BP22" t="s">
        <v>51</v>
      </c>
      <c r="BQ22" t="s">
        <v>51</v>
      </c>
    </row>
    <row r="23" spans="1:78" x14ac:dyDescent="0.25">
      <c r="A23" t="s">
        <v>302</v>
      </c>
      <c r="B23" t="s">
        <v>737</v>
      </c>
      <c r="C23" t="s">
        <v>49</v>
      </c>
      <c r="D23" t="s">
        <v>671</v>
      </c>
      <c r="E23">
        <v>1230</v>
      </c>
      <c r="F23" s="5">
        <v>7352354</v>
      </c>
      <c r="G23" s="100">
        <v>42885</v>
      </c>
      <c r="H23" s="4" t="s">
        <v>736</v>
      </c>
      <c r="J23" s="147">
        <v>1</v>
      </c>
      <c r="K23" s="10" t="s">
        <v>50</v>
      </c>
      <c r="L23">
        <v>539</v>
      </c>
      <c r="M23">
        <v>93</v>
      </c>
      <c r="N23" s="9">
        <f t="shared" si="9"/>
        <v>446</v>
      </c>
      <c r="O23">
        <v>179</v>
      </c>
      <c r="P23">
        <v>178</v>
      </c>
      <c r="Q23">
        <v>179</v>
      </c>
      <c r="R23" s="24">
        <f t="shared" si="19"/>
        <v>178.66666666666666</v>
      </c>
      <c r="S23">
        <v>237</v>
      </c>
      <c r="T23">
        <v>237</v>
      </c>
      <c r="U23">
        <v>237</v>
      </c>
      <c r="V23" s="24">
        <f t="shared" si="20"/>
        <v>237</v>
      </c>
      <c r="W23" s="36">
        <v>15.03</v>
      </c>
      <c r="X23">
        <v>15.26</v>
      </c>
      <c r="Y23">
        <v>14.79</v>
      </c>
      <c r="Z23" s="24">
        <f t="shared" si="21"/>
        <v>15.026666666666666</v>
      </c>
      <c r="AA23" s="37">
        <v>33.79</v>
      </c>
      <c r="AB23" s="37">
        <v>33.89</v>
      </c>
      <c r="AC23" s="37">
        <v>33.75</v>
      </c>
      <c r="AD23" s="24">
        <f t="shared" si="22"/>
        <v>33.81</v>
      </c>
      <c r="AE23" s="42">
        <v>43.17</v>
      </c>
      <c r="AF23" s="42">
        <v>42.94</v>
      </c>
      <c r="AG23" s="42">
        <v>43.16</v>
      </c>
      <c r="AH23" s="24">
        <f t="shared" si="23"/>
        <v>43.089999999999996</v>
      </c>
      <c r="AI23" s="37">
        <v>67.64</v>
      </c>
      <c r="AJ23" s="37">
        <v>67.72</v>
      </c>
      <c r="AK23" s="37">
        <v>67.77</v>
      </c>
      <c r="AL23" s="24">
        <f t="shared" si="13"/>
        <v>67.709999999999994</v>
      </c>
      <c r="AM23" s="37">
        <v>16.47</v>
      </c>
      <c r="AN23" s="37">
        <v>16.68</v>
      </c>
      <c r="AO23" s="37">
        <v>16.420000000000002</v>
      </c>
      <c r="AP23" s="9">
        <f t="shared" si="24"/>
        <v>16.523333333333333</v>
      </c>
      <c r="AQ23" s="37">
        <v>22.42</v>
      </c>
      <c r="AR23" s="37">
        <v>22.44</v>
      </c>
      <c r="AS23" s="37">
        <v>22.37</v>
      </c>
      <c r="AT23" s="9">
        <f t="shared" si="25"/>
        <v>22.41</v>
      </c>
      <c r="BD23">
        <v>52.93</v>
      </c>
      <c r="BE23">
        <v>52.62</v>
      </c>
      <c r="BF23">
        <v>52.83</v>
      </c>
      <c r="BG23" s="24">
        <f t="shared" si="14"/>
        <v>52.793333333333329</v>
      </c>
      <c r="BH23">
        <v>37.54</v>
      </c>
      <c r="BI23">
        <v>37.619999999999997</v>
      </c>
      <c r="BJ23">
        <v>37.65</v>
      </c>
      <c r="BK23" s="24">
        <f t="shared" si="15"/>
        <v>37.603333333333332</v>
      </c>
      <c r="BL23">
        <v>70.16</v>
      </c>
      <c r="BM23">
        <v>70.78</v>
      </c>
      <c r="BN23">
        <v>70.849999999999994</v>
      </c>
      <c r="BO23" s="24">
        <f t="shared" si="16"/>
        <v>70.596666666666664</v>
      </c>
      <c r="BP23" t="s">
        <v>51</v>
      </c>
      <c r="BQ23" t="s">
        <v>51</v>
      </c>
    </row>
    <row r="24" spans="1:78" x14ac:dyDescent="0.25">
      <c r="A24" t="s">
        <v>302</v>
      </c>
      <c r="B24" t="s">
        <v>740</v>
      </c>
      <c r="C24" t="s">
        <v>49</v>
      </c>
      <c r="D24" t="s">
        <v>671</v>
      </c>
      <c r="E24">
        <v>1202</v>
      </c>
      <c r="F24" s="5" t="s">
        <v>742</v>
      </c>
      <c r="G24" s="100">
        <v>42886</v>
      </c>
      <c r="H24" s="4" t="s">
        <v>741</v>
      </c>
      <c r="J24" s="147">
        <v>1</v>
      </c>
      <c r="K24" s="10" t="s">
        <v>50</v>
      </c>
      <c r="L24">
        <v>867</v>
      </c>
      <c r="M24">
        <v>97</v>
      </c>
      <c r="N24" s="9">
        <f t="shared" si="9"/>
        <v>770</v>
      </c>
      <c r="O24">
        <v>201</v>
      </c>
      <c r="P24">
        <v>200</v>
      </c>
      <c r="Q24">
        <v>200</v>
      </c>
      <c r="R24" s="24">
        <f t="shared" si="19"/>
        <v>200.33333333333334</v>
      </c>
      <c r="S24">
        <v>281</v>
      </c>
      <c r="T24">
        <v>282</v>
      </c>
      <c r="U24">
        <v>281</v>
      </c>
      <c r="V24" s="24">
        <f t="shared" si="20"/>
        <v>281.33333333333331</v>
      </c>
      <c r="W24" s="36">
        <v>19.07</v>
      </c>
      <c r="X24">
        <v>18.22</v>
      </c>
      <c r="Y24">
        <v>18.850000000000001</v>
      </c>
      <c r="Z24" s="24">
        <f t="shared" si="21"/>
        <v>18.713333333333335</v>
      </c>
      <c r="AA24" s="37">
        <v>35.57</v>
      </c>
      <c r="AB24" s="37">
        <v>36.01</v>
      </c>
      <c r="AC24" s="37">
        <v>35.799999999999997</v>
      </c>
      <c r="AD24" s="24">
        <f t="shared" si="22"/>
        <v>35.793333333333329</v>
      </c>
      <c r="AE24" s="42">
        <v>47.07</v>
      </c>
      <c r="AF24" s="42">
        <v>46.95</v>
      </c>
      <c r="AG24" s="42">
        <v>46.81</v>
      </c>
      <c r="AH24" s="24">
        <f t="shared" si="23"/>
        <v>46.943333333333335</v>
      </c>
      <c r="AI24" s="37">
        <v>72.349999999999994</v>
      </c>
      <c r="AJ24" s="37">
        <v>72.36</v>
      </c>
      <c r="AK24" s="37">
        <v>72.8</v>
      </c>
      <c r="AL24" s="24">
        <f t="shared" si="13"/>
        <v>72.50333333333333</v>
      </c>
      <c r="AM24" s="37">
        <v>17.78</v>
      </c>
      <c r="AN24" s="37">
        <v>16.98</v>
      </c>
      <c r="AO24" s="37">
        <v>17.28</v>
      </c>
      <c r="AP24" s="9">
        <f t="shared" si="24"/>
        <v>17.346666666666668</v>
      </c>
      <c r="AQ24" s="37">
        <v>22.9</v>
      </c>
      <c r="AR24" s="37">
        <v>23.53</v>
      </c>
      <c r="AS24" s="37">
        <v>23.53</v>
      </c>
      <c r="AT24" s="9">
        <f t="shared" si="25"/>
        <v>23.320000000000004</v>
      </c>
      <c r="AU24" s="9"/>
      <c r="BD24">
        <v>58.75</v>
      </c>
      <c r="BE24">
        <v>58.68</v>
      </c>
      <c r="BF24">
        <v>58.64</v>
      </c>
      <c r="BG24" s="24">
        <f t="shared" si="14"/>
        <v>58.69</v>
      </c>
      <c r="BH24">
        <v>45.73</v>
      </c>
      <c r="BI24">
        <v>45.71</v>
      </c>
      <c r="BJ24">
        <v>45.77</v>
      </c>
      <c r="BK24" s="24">
        <f t="shared" si="15"/>
        <v>45.736666666666672</v>
      </c>
      <c r="BL24">
        <v>78.19</v>
      </c>
      <c r="BM24">
        <v>77.849999999999994</v>
      </c>
      <c r="BN24">
        <v>78.19</v>
      </c>
      <c r="BO24" s="24">
        <f t="shared" si="16"/>
        <v>78.076666666666668</v>
      </c>
      <c r="BP24" t="s">
        <v>51</v>
      </c>
      <c r="BQ24" t="s">
        <v>51</v>
      </c>
      <c r="BZ24" t="s">
        <v>743</v>
      </c>
    </row>
    <row r="25" spans="1:78" x14ac:dyDescent="0.25">
      <c r="A25" t="s">
        <v>302</v>
      </c>
      <c r="B25" t="s">
        <v>744</v>
      </c>
      <c r="C25" t="s">
        <v>49</v>
      </c>
      <c r="D25" t="s">
        <v>671</v>
      </c>
      <c r="E25">
        <v>1224</v>
      </c>
      <c r="F25" s="5" t="s">
        <v>746</v>
      </c>
      <c r="G25" s="100">
        <v>42887</v>
      </c>
      <c r="H25" s="4" t="s">
        <v>745</v>
      </c>
      <c r="J25" s="147">
        <v>1</v>
      </c>
      <c r="K25" s="10" t="s">
        <v>50</v>
      </c>
      <c r="L25">
        <v>935</v>
      </c>
      <c r="M25">
        <v>95</v>
      </c>
      <c r="N25" s="9">
        <f t="shared" si="9"/>
        <v>840</v>
      </c>
      <c r="O25">
        <v>220</v>
      </c>
      <c r="P25">
        <v>222</v>
      </c>
      <c r="Q25">
        <v>221</v>
      </c>
      <c r="R25" s="24">
        <f t="shared" si="19"/>
        <v>221</v>
      </c>
      <c r="S25">
        <v>263</v>
      </c>
      <c r="T25">
        <v>264</v>
      </c>
      <c r="U25">
        <v>263</v>
      </c>
      <c r="V25" s="24">
        <f t="shared" si="20"/>
        <v>263.33333333333331</v>
      </c>
      <c r="W25" s="36">
        <v>18.71</v>
      </c>
      <c r="X25">
        <v>18.39</v>
      </c>
      <c r="Y25">
        <v>18.8</v>
      </c>
      <c r="Z25" s="24">
        <f t="shared" si="21"/>
        <v>18.633333333333336</v>
      </c>
      <c r="AA25" s="37">
        <v>37.26</v>
      </c>
      <c r="AB25" s="37">
        <v>36.76</v>
      </c>
      <c r="AC25" s="37">
        <v>37.090000000000003</v>
      </c>
      <c r="AD25" s="24">
        <f t="shared" si="22"/>
        <v>37.036666666666669</v>
      </c>
      <c r="AE25" s="42">
        <v>47.3</v>
      </c>
      <c r="AF25" s="42">
        <v>47.29</v>
      </c>
      <c r="AG25" s="42">
        <v>47.44</v>
      </c>
      <c r="AH25" s="24">
        <f t="shared" si="23"/>
        <v>47.343333333333334</v>
      </c>
      <c r="AI25" s="37">
        <v>74.19</v>
      </c>
      <c r="AJ25" s="37">
        <v>74.03</v>
      </c>
      <c r="AK25" s="37">
        <v>74.02</v>
      </c>
      <c r="AL25" s="24">
        <f t="shared" si="13"/>
        <v>74.08</v>
      </c>
      <c r="AM25" s="37">
        <v>19.739999999999998</v>
      </c>
      <c r="AN25" s="37">
        <v>18.96</v>
      </c>
      <c r="AO25" s="37">
        <v>19.239999999999998</v>
      </c>
      <c r="AP25" s="9">
        <f t="shared" si="24"/>
        <v>19.313333333333333</v>
      </c>
      <c r="AQ25" s="37">
        <v>23.85</v>
      </c>
      <c r="AR25" s="37">
        <v>23.46</v>
      </c>
      <c r="AS25" s="37">
        <v>23.21</v>
      </c>
      <c r="AT25" s="9">
        <f t="shared" si="25"/>
        <v>23.506666666666671</v>
      </c>
      <c r="AU25" s="9"/>
      <c r="BD25">
        <v>60.62</v>
      </c>
      <c r="BE25">
        <v>60.82</v>
      </c>
      <c r="BF25">
        <v>60.78</v>
      </c>
      <c r="BG25" s="24">
        <f t="shared" si="14"/>
        <v>60.74</v>
      </c>
      <c r="BH25">
        <v>46.86</v>
      </c>
      <c r="BI25">
        <v>47.13</v>
      </c>
      <c r="BJ25">
        <v>46.43</v>
      </c>
      <c r="BK25" s="24">
        <f t="shared" si="15"/>
        <v>46.806666666666672</v>
      </c>
      <c r="BL25">
        <v>79.760000000000005</v>
      </c>
      <c r="BM25">
        <v>79.77</v>
      </c>
      <c r="BN25">
        <v>79.37</v>
      </c>
      <c r="BO25" s="24">
        <f t="shared" si="16"/>
        <v>79.63333333333334</v>
      </c>
      <c r="BP25" t="s">
        <v>51</v>
      </c>
      <c r="BQ25" t="s">
        <v>51</v>
      </c>
    </row>
    <row r="26" spans="1:78" x14ac:dyDescent="0.25">
      <c r="A26" t="s">
        <v>302</v>
      </c>
      <c r="B26" t="s">
        <v>748</v>
      </c>
      <c r="C26" t="s">
        <v>49</v>
      </c>
      <c r="D26" t="s">
        <v>671</v>
      </c>
      <c r="E26">
        <v>1203</v>
      </c>
      <c r="F26" s="5" t="s">
        <v>749</v>
      </c>
      <c r="G26" s="100">
        <v>42887</v>
      </c>
      <c r="H26" s="4" t="s">
        <v>747</v>
      </c>
      <c r="J26" s="147">
        <v>1</v>
      </c>
      <c r="K26" s="10" t="s">
        <v>64</v>
      </c>
      <c r="L26">
        <v>415</v>
      </c>
      <c r="M26">
        <v>94</v>
      </c>
      <c r="N26" s="9">
        <f t="shared" si="9"/>
        <v>321</v>
      </c>
      <c r="O26">
        <v>159</v>
      </c>
      <c r="P26">
        <v>159</v>
      </c>
      <c r="Q26">
        <v>160</v>
      </c>
      <c r="R26" s="24">
        <f t="shared" si="19"/>
        <v>159.33333333333334</v>
      </c>
      <c r="S26">
        <v>223</v>
      </c>
      <c r="T26">
        <v>223</v>
      </c>
      <c r="U26">
        <v>224</v>
      </c>
      <c r="V26" s="24">
        <f t="shared" si="20"/>
        <v>223.33333333333334</v>
      </c>
      <c r="W26" s="36">
        <v>12.42</v>
      </c>
      <c r="X26">
        <v>12.07</v>
      </c>
      <c r="Y26">
        <v>12.36</v>
      </c>
      <c r="Z26" s="24">
        <f t="shared" si="21"/>
        <v>12.283333333333333</v>
      </c>
      <c r="AA26" s="37">
        <v>31.77</v>
      </c>
      <c r="AB26" s="37">
        <v>31.52</v>
      </c>
      <c r="AC26" s="37">
        <v>31.61</v>
      </c>
      <c r="AD26" s="24">
        <f t="shared" si="22"/>
        <v>31.633333333333336</v>
      </c>
      <c r="AE26" s="42">
        <v>41.42</v>
      </c>
      <c r="AF26" s="42">
        <v>41.69</v>
      </c>
      <c r="AG26" s="42">
        <v>41.41</v>
      </c>
      <c r="AH26" s="24">
        <f t="shared" si="23"/>
        <v>41.506666666666668</v>
      </c>
      <c r="AI26" s="37">
        <v>63.58</v>
      </c>
      <c r="AJ26" s="37">
        <v>63.23</v>
      </c>
      <c r="AK26" s="37">
        <v>63.29</v>
      </c>
      <c r="AL26" s="24">
        <f t="shared" si="13"/>
        <v>63.366666666666667</v>
      </c>
      <c r="AU26" s="9"/>
      <c r="AX26" s="10" t="s">
        <v>654</v>
      </c>
      <c r="AY26" s="9">
        <v>8</v>
      </c>
      <c r="AZ26">
        <v>0</v>
      </c>
      <c r="BD26">
        <v>49.36</v>
      </c>
      <c r="BE26">
        <v>49.49</v>
      </c>
      <c r="BF26">
        <v>49.6</v>
      </c>
      <c r="BG26" s="24">
        <f t="shared" si="14"/>
        <v>49.483333333333327</v>
      </c>
      <c r="BH26">
        <v>32.770000000000003</v>
      </c>
      <c r="BI26">
        <v>32.5</v>
      </c>
      <c r="BJ26">
        <v>32.25</v>
      </c>
      <c r="BK26" s="24">
        <f t="shared" si="15"/>
        <v>32.506666666666668</v>
      </c>
      <c r="BL26">
        <v>66.94</v>
      </c>
      <c r="BM26">
        <v>66.900000000000006</v>
      </c>
      <c r="BN26">
        <v>66.44</v>
      </c>
      <c r="BO26" s="24">
        <f t="shared" si="16"/>
        <v>66.760000000000005</v>
      </c>
      <c r="BP26" t="s">
        <v>51</v>
      </c>
      <c r="BQ26" t="s">
        <v>51</v>
      </c>
    </row>
    <row r="27" spans="1:78" x14ac:dyDescent="0.25">
      <c r="A27" s="97" t="s">
        <v>302</v>
      </c>
      <c r="B27" s="97" t="s">
        <v>750</v>
      </c>
      <c r="C27" t="s">
        <v>49</v>
      </c>
      <c r="D27" t="s">
        <v>671</v>
      </c>
      <c r="E27">
        <v>1204</v>
      </c>
      <c r="F27" s="5">
        <v>7355723</v>
      </c>
      <c r="G27" s="100">
        <v>42887</v>
      </c>
      <c r="H27" s="4" t="s">
        <v>751</v>
      </c>
      <c r="J27" s="150">
        <v>1</v>
      </c>
      <c r="K27" s="138" t="s">
        <v>64</v>
      </c>
      <c r="L27">
        <v>429</v>
      </c>
      <c r="M27">
        <v>93</v>
      </c>
      <c r="N27" s="136">
        <f t="shared" si="9"/>
        <v>336</v>
      </c>
      <c r="O27">
        <v>161</v>
      </c>
      <c r="P27">
        <v>162</v>
      </c>
      <c r="Q27">
        <v>162</v>
      </c>
      <c r="R27" s="139">
        <f t="shared" si="19"/>
        <v>161.66666666666666</v>
      </c>
      <c r="S27">
        <v>223</v>
      </c>
      <c r="T27">
        <v>223</v>
      </c>
      <c r="U27">
        <v>223</v>
      </c>
      <c r="V27" s="139">
        <f t="shared" si="20"/>
        <v>223</v>
      </c>
      <c r="W27" s="36">
        <v>11.85</v>
      </c>
      <c r="X27">
        <v>12.12</v>
      </c>
      <c r="Y27">
        <v>12.1</v>
      </c>
      <c r="Z27" s="24">
        <f t="shared" si="21"/>
        <v>12.023333333333333</v>
      </c>
      <c r="AA27" s="37">
        <v>30.1</v>
      </c>
      <c r="AB27" s="37">
        <v>30.27</v>
      </c>
      <c r="AC27" s="37">
        <v>30.18</v>
      </c>
      <c r="AD27" s="24">
        <f t="shared" si="22"/>
        <v>30.183333333333337</v>
      </c>
      <c r="AE27" s="37">
        <v>39.700000000000003</v>
      </c>
      <c r="AF27" s="37">
        <v>39.159999999999997</v>
      </c>
      <c r="AG27" s="37">
        <v>39.32</v>
      </c>
      <c r="AH27" s="24">
        <f t="shared" si="23"/>
        <v>39.393333333333338</v>
      </c>
      <c r="AI27" s="37">
        <v>62.2</v>
      </c>
      <c r="AJ27" s="37">
        <v>62.15</v>
      </c>
      <c r="AK27" s="37">
        <v>62.37</v>
      </c>
      <c r="AL27" s="139">
        <f t="shared" si="13"/>
        <v>62.24</v>
      </c>
      <c r="AM27"/>
      <c r="AN27"/>
      <c r="AO27"/>
      <c r="AQ27"/>
      <c r="AR27"/>
      <c r="AS27"/>
      <c r="AU27" s="9"/>
      <c r="AX27" s="10" t="s">
        <v>654</v>
      </c>
      <c r="AY27" s="9">
        <v>8</v>
      </c>
      <c r="AZ27">
        <v>0</v>
      </c>
      <c r="BB27"/>
      <c r="BD27">
        <v>48.44</v>
      </c>
      <c r="BE27">
        <v>48.81</v>
      </c>
      <c r="BF27">
        <v>48.47</v>
      </c>
      <c r="BG27" s="139">
        <f t="shared" si="14"/>
        <v>48.573333333333331</v>
      </c>
      <c r="BH27">
        <v>35.36</v>
      </c>
      <c r="BI27">
        <v>35.89</v>
      </c>
      <c r="BJ27">
        <v>35.840000000000003</v>
      </c>
      <c r="BK27" s="139">
        <f t="shared" si="15"/>
        <v>35.696666666666665</v>
      </c>
      <c r="BL27">
        <v>61.84</v>
      </c>
      <c r="BM27">
        <v>60.75</v>
      </c>
      <c r="BN27">
        <v>60.7</v>
      </c>
      <c r="BO27" s="139">
        <f t="shared" si="16"/>
        <v>61.096666666666671</v>
      </c>
      <c r="BP27" t="s">
        <v>51</v>
      </c>
      <c r="BQ27" t="s">
        <v>51</v>
      </c>
      <c r="BT27"/>
      <c r="BU27"/>
      <c r="BV27"/>
      <c r="BW27"/>
      <c r="BX27"/>
      <c r="BY27"/>
    </row>
    <row r="28" spans="1:78" x14ac:dyDescent="0.25">
      <c r="A28" s="97" t="s">
        <v>302</v>
      </c>
      <c r="B28" s="97" t="s">
        <v>753</v>
      </c>
      <c r="C28" t="s">
        <v>49</v>
      </c>
      <c r="D28" t="s">
        <v>671</v>
      </c>
      <c r="E28">
        <v>1205</v>
      </c>
      <c r="F28" s="5">
        <v>7358245</v>
      </c>
      <c r="G28" s="100">
        <v>42887</v>
      </c>
      <c r="H28" s="4" t="s">
        <v>752</v>
      </c>
      <c r="J28" s="150">
        <v>1</v>
      </c>
      <c r="K28" s="138" t="s">
        <v>50</v>
      </c>
      <c r="L28">
        <v>681</v>
      </c>
      <c r="M28">
        <v>91</v>
      </c>
      <c r="N28" s="136">
        <f t="shared" si="9"/>
        <v>590</v>
      </c>
      <c r="O28">
        <v>209</v>
      </c>
      <c r="P28">
        <v>209</v>
      </c>
      <c r="Q28">
        <v>209</v>
      </c>
      <c r="R28" s="139">
        <f t="shared" si="19"/>
        <v>209</v>
      </c>
      <c r="S28">
        <v>271</v>
      </c>
      <c r="T28">
        <v>271</v>
      </c>
      <c r="U28">
        <v>271</v>
      </c>
      <c r="V28" s="139">
        <f t="shared" si="20"/>
        <v>271</v>
      </c>
      <c r="W28" s="36">
        <v>16.309999999999999</v>
      </c>
      <c r="X28">
        <v>15.85</v>
      </c>
      <c r="Y28">
        <v>15.8</v>
      </c>
      <c r="Z28" s="24">
        <f t="shared" si="21"/>
        <v>15.986666666666665</v>
      </c>
      <c r="AA28" s="37">
        <v>35.369999999999997</v>
      </c>
      <c r="AB28" s="37">
        <v>35.409999999999997</v>
      </c>
      <c r="AC28" s="37">
        <v>35.08</v>
      </c>
      <c r="AD28" s="24">
        <f t="shared" si="22"/>
        <v>35.286666666666669</v>
      </c>
      <c r="AE28" s="37">
        <v>45.77</v>
      </c>
      <c r="AF28" s="37">
        <v>45.47</v>
      </c>
      <c r="AG28" s="37">
        <v>45.28</v>
      </c>
      <c r="AH28" s="24">
        <f t="shared" si="23"/>
        <v>45.506666666666668</v>
      </c>
      <c r="AI28" s="37">
        <v>72.25</v>
      </c>
      <c r="AJ28" s="37">
        <v>72.08</v>
      </c>
      <c r="AK28" s="37">
        <v>72.02</v>
      </c>
      <c r="AL28" s="139">
        <f t="shared" si="13"/>
        <v>72.11666666666666</v>
      </c>
      <c r="AM28" s="37">
        <v>19.47</v>
      </c>
      <c r="AN28" s="37">
        <v>19.52</v>
      </c>
      <c r="AO28" s="37">
        <v>19.54</v>
      </c>
      <c r="AQ28" s="37">
        <v>23.55</v>
      </c>
      <c r="AR28" s="37">
        <v>23.95</v>
      </c>
      <c r="AS28" s="37">
        <v>23.95</v>
      </c>
      <c r="AU28" s="9"/>
      <c r="BB28"/>
      <c r="BD28">
        <v>58.08</v>
      </c>
      <c r="BE28">
        <v>58.01</v>
      </c>
      <c r="BF28">
        <v>58.11</v>
      </c>
      <c r="BG28" s="139">
        <f t="shared" si="14"/>
        <v>58.066666666666663</v>
      </c>
      <c r="BH28">
        <v>41.11</v>
      </c>
      <c r="BI28">
        <v>41.35</v>
      </c>
      <c r="BJ28">
        <v>40.98</v>
      </c>
      <c r="BK28" s="139">
        <f t="shared" si="15"/>
        <v>41.146666666666668</v>
      </c>
      <c r="BL28">
        <v>73.849999999999994</v>
      </c>
      <c r="BM28">
        <v>73.59</v>
      </c>
      <c r="BN28">
        <v>73.3</v>
      </c>
      <c r="BO28" s="139">
        <f t="shared" si="16"/>
        <v>73.58</v>
      </c>
      <c r="BP28" t="s">
        <v>51</v>
      </c>
      <c r="BQ28" t="s">
        <v>51</v>
      </c>
      <c r="BT28"/>
      <c r="BU28"/>
      <c r="BV28"/>
      <c r="BW28"/>
      <c r="BX28"/>
      <c r="BY28"/>
    </row>
    <row r="29" spans="1:78" x14ac:dyDescent="0.25">
      <c r="A29" s="97" t="s">
        <v>302</v>
      </c>
      <c r="B29" s="97" t="s">
        <v>757</v>
      </c>
      <c r="C29" t="s">
        <v>49</v>
      </c>
      <c r="D29" t="s">
        <v>671</v>
      </c>
      <c r="E29">
        <v>1206</v>
      </c>
      <c r="F29" s="5" t="s">
        <v>756</v>
      </c>
      <c r="G29" s="100">
        <v>42888</v>
      </c>
      <c r="H29" s="4" t="s">
        <v>754</v>
      </c>
      <c r="J29" s="150">
        <v>1</v>
      </c>
      <c r="K29" s="138" t="s">
        <v>50</v>
      </c>
      <c r="L29">
        <v>718</v>
      </c>
      <c r="M29">
        <v>93</v>
      </c>
      <c r="N29" s="136">
        <f t="shared" si="9"/>
        <v>625</v>
      </c>
      <c r="O29">
        <v>207</v>
      </c>
      <c r="P29">
        <v>207</v>
      </c>
      <c r="Q29">
        <v>207</v>
      </c>
      <c r="R29" s="139">
        <f t="shared" si="19"/>
        <v>207</v>
      </c>
      <c r="S29">
        <v>262</v>
      </c>
      <c r="T29">
        <v>262</v>
      </c>
      <c r="U29">
        <v>262</v>
      </c>
      <c r="V29" s="139">
        <f t="shared" si="20"/>
        <v>262</v>
      </c>
      <c r="W29" s="36">
        <v>15.68</v>
      </c>
      <c r="X29">
        <v>15.73</v>
      </c>
      <c r="Y29">
        <v>15.64</v>
      </c>
      <c r="Z29" s="24">
        <f t="shared" si="21"/>
        <v>15.683333333333332</v>
      </c>
      <c r="AA29" s="37">
        <v>34.29</v>
      </c>
      <c r="AB29" s="37">
        <v>34.89</v>
      </c>
      <c r="AC29" s="37">
        <v>34.159999999999997</v>
      </c>
      <c r="AD29" s="24">
        <f t="shared" si="22"/>
        <v>34.446666666666665</v>
      </c>
      <c r="AE29" s="37">
        <v>44.28</v>
      </c>
      <c r="AF29" s="37">
        <v>44.13</v>
      </c>
      <c r="AG29" s="37">
        <v>43.91</v>
      </c>
      <c r="AH29" s="24">
        <f t="shared" si="23"/>
        <v>44.106666666666662</v>
      </c>
      <c r="AI29" s="37">
        <v>70.180000000000007</v>
      </c>
      <c r="AJ29" s="37">
        <v>70.5</v>
      </c>
      <c r="AK29" s="37">
        <v>70.599999999999994</v>
      </c>
      <c r="AL29" s="139">
        <f t="shared" si="13"/>
        <v>70.426666666666662</v>
      </c>
      <c r="AM29" s="37">
        <v>19.989999999999998</v>
      </c>
      <c r="AN29" s="37">
        <v>19.989999999999998</v>
      </c>
      <c r="AO29" s="37">
        <v>19.23</v>
      </c>
      <c r="AQ29" s="37">
        <v>24.85</v>
      </c>
      <c r="AR29" s="37">
        <v>24.26</v>
      </c>
      <c r="AS29" s="37">
        <v>24.28</v>
      </c>
      <c r="AU29" s="9"/>
      <c r="BB29"/>
      <c r="BD29">
        <v>57.98</v>
      </c>
      <c r="BE29">
        <v>57.88</v>
      </c>
      <c r="BF29">
        <v>57.74</v>
      </c>
      <c r="BG29" s="139">
        <f t="shared" si="14"/>
        <v>57.866666666666667</v>
      </c>
      <c r="BH29">
        <v>39.770000000000003</v>
      </c>
      <c r="BI29">
        <v>38.07</v>
      </c>
      <c r="BJ29">
        <v>38.85</v>
      </c>
      <c r="BK29" s="139">
        <f t="shared" si="15"/>
        <v>38.896666666666668</v>
      </c>
      <c r="BL29">
        <v>70.8</v>
      </c>
      <c r="BM29">
        <v>70.5</v>
      </c>
      <c r="BN29">
        <v>70.75</v>
      </c>
      <c r="BO29" s="139">
        <f t="shared" si="16"/>
        <v>70.683333333333337</v>
      </c>
      <c r="BP29" t="s">
        <v>51</v>
      </c>
      <c r="BQ29" t="s">
        <v>51</v>
      </c>
      <c r="BT29"/>
      <c r="BU29"/>
      <c r="BV29"/>
      <c r="BW29"/>
      <c r="BX29"/>
      <c r="BY29"/>
    </row>
    <row r="30" spans="1:78" x14ac:dyDescent="0.25">
      <c r="A30" s="97" t="s">
        <v>302</v>
      </c>
      <c r="B30" s="97" t="s">
        <v>758</v>
      </c>
      <c r="C30" t="s">
        <v>49</v>
      </c>
      <c r="D30" t="s">
        <v>671</v>
      </c>
      <c r="E30">
        <v>1207</v>
      </c>
      <c r="F30" s="5">
        <v>7356284</v>
      </c>
      <c r="G30" s="100">
        <v>42888</v>
      </c>
      <c r="H30" t="s">
        <v>755</v>
      </c>
      <c r="J30" s="147">
        <v>1</v>
      </c>
      <c r="K30" s="10" t="s">
        <v>50</v>
      </c>
      <c r="L30">
        <v>703</v>
      </c>
      <c r="M30">
        <v>91</v>
      </c>
      <c r="N30" s="9">
        <f t="shared" si="9"/>
        <v>612</v>
      </c>
      <c r="O30">
        <v>195</v>
      </c>
      <c r="P30">
        <v>195</v>
      </c>
      <c r="Q30">
        <v>195</v>
      </c>
      <c r="R30" s="24">
        <f t="shared" si="19"/>
        <v>195</v>
      </c>
      <c r="S30">
        <v>253</v>
      </c>
      <c r="T30">
        <v>253</v>
      </c>
      <c r="U30">
        <v>253</v>
      </c>
      <c r="V30" s="24">
        <f t="shared" si="20"/>
        <v>253</v>
      </c>
      <c r="W30" s="36">
        <v>15.25</v>
      </c>
      <c r="X30">
        <v>15.68</v>
      </c>
      <c r="Y30">
        <v>15.21</v>
      </c>
      <c r="Z30" s="24">
        <f t="shared" si="21"/>
        <v>15.38</v>
      </c>
      <c r="AA30" s="37">
        <v>32.96</v>
      </c>
      <c r="AB30" s="37">
        <v>32.96</v>
      </c>
      <c r="AC30" s="37">
        <v>33.020000000000003</v>
      </c>
      <c r="AD30" s="24">
        <f t="shared" si="22"/>
        <v>32.979999999999997</v>
      </c>
      <c r="AE30" s="42">
        <v>44.19</v>
      </c>
      <c r="AF30" s="42">
        <v>44.06</v>
      </c>
      <c r="AG30" s="42">
        <v>44.03</v>
      </c>
      <c r="AH30" s="24">
        <f t="shared" si="23"/>
        <v>44.093333333333334</v>
      </c>
      <c r="AI30" s="37">
        <v>68.19</v>
      </c>
      <c r="AJ30" s="37">
        <v>68.19</v>
      </c>
      <c r="AK30" s="37">
        <v>68.239999999999995</v>
      </c>
      <c r="AL30" s="24">
        <f t="shared" si="13"/>
        <v>68.206666666666663</v>
      </c>
      <c r="AM30" s="37">
        <v>17.39</v>
      </c>
      <c r="AN30" s="37">
        <v>17.13</v>
      </c>
      <c r="AO30" s="37">
        <v>17.53</v>
      </c>
      <c r="AQ30" s="37">
        <v>24.67</v>
      </c>
      <c r="AR30" s="37">
        <v>23.14</v>
      </c>
      <c r="AS30" s="37">
        <v>23.21</v>
      </c>
      <c r="AU30" s="9"/>
      <c r="BD30">
        <v>56.42</v>
      </c>
      <c r="BE30">
        <v>56.79</v>
      </c>
      <c r="BF30">
        <v>56.67</v>
      </c>
      <c r="BG30" s="24">
        <f t="shared" si="14"/>
        <v>56.626666666666665</v>
      </c>
      <c r="BH30">
        <v>42.04</v>
      </c>
      <c r="BI30">
        <v>42.04</v>
      </c>
      <c r="BJ30">
        <v>42.36</v>
      </c>
      <c r="BK30" s="139">
        <f t="shared" si="15"/>
        <v>42.146666666666668</v>
      </c>
      <c r="BL30">
        <v>69.94</v>
      </c>
      <c r="BM30" s="24">
        <v>69.78</v>
      </c>
      <c r="BN30">
        <v>69.31</v>
      </c>
      <c r="BO30" s="24">
        <f t="shared" si="16"/>
        <v>69.676666666666662</v>
      </c>
      <c r="BP30" t="s">
        <v>51</v>
      </c>
      <c r="BQ30" t="s">
        <v>51</v>
      </c>
      <c r="BV30"/>
      <c r="BW30"/>
      <c r="BX30"/>
      <c r="BY30"/>
    </row>
    <row r="31" spans="1:78" x14ac:dyDescent="0.25">
      <c r="A31" s="97" t="s">
        <v>302</v>
      </c>
      <c r="B31" s="97" t="s">
        <v>759</v>
      </c>
      <c r="C31" t="s">
        <v>49</v>
      </c>
      <c r="D31" t="s">
        <v>671</v>
      </c>
      <c r="E31">
        <v>1208</v>
      </c>
      <c r="F31" s="5" t="s">
        <v>760</v>
      </c>
      <c r="G31" s="100">
        <v>42888</v>
      </c>
      <c r="H31" t="s">
        <v>763</v>
      </c>
      <c r="J31" s="147">
        <v>1</v>
      </c>
      <c r="K31" s="10" t="s">
        <v>50</v>
      </c>
      <c r="L31">
        <v>489</v>
      </c>
      <c r="M31">
        <v>95</v>
      </c>
      <c r="N31" s="9">
        <f t="shared" si="9"/>
        <v>394</v>
      </c>
      <c r="O31" s="35">
        <v>165</v>
      </c>
      <c r="P31" s="35">
        <v>165</v>
      </c>
      <c r="Q31" s="35">
        <v>166</v>
      </c>
      <c r="R31" s="24">
        <f t="shared" si="19"/>
        <v>165.33333333333334</v>
      </c>
      <c r="S31" s="35">
        <v>232</v>
      </c>
      <c r="T31" s="35">
        <v>233</v>
      </c>
      <c r="U31" s="35">
        <v>233</v>
      </c>
      <c r="V31" s="24">
        <f t="shared" si="20"/>
        <v>232.66666666666666</v>
      </c>
      <c r="W31" s="36">
        <v>12.86</v>
      </c>
      <c r="X31" s="35">
        <v>12.56</v>
      </c>
      <c r="Y31" s="35">
        <v>12.65</v>
      </c>
      <c r="Z31" s="24">
        <f t="shared" si="21"/>
        <v>12.69</v>
      </c>
      <c r="AA31" s="37">
        <v>32.06</v>
      </c>
      <c r="AB31" s="37">
        <v>32.07</v>
      </c>
      <c r="AC31" s="37">
        <v>32.36</v>
      </c>
      <c r="AD31" s="24">
        <f t="shared" si="22"/>
        <v>32.163333333333334</v>
      </c>
      <c r="AE31" s="42">
        <v>42.77</v>
      </c>
      <c r="AF31" s="42">
        <v>42.71</v>
      </c>
      <c r="AG31" s="42">
        <v>42.44</v>
      </c>
      <c r="AH31" s="24">
        <f t="shared" si="23"/>
        <v>42.64</v>
      </c>
      <c r="AI31" s="37">
        <v>64.56</v>
      </c>
      <c r="AJ31" s="37">
        <v>64.63</v>
      </c>
      <c r="AK31" s="37">
        <v>64.510000000000005</v>
      </c>
      <c r="AL31" s="24">
        <f t="shared" si="13"/>
        <v>64.566666666666663</v>
      </c>
      <c r="AM31" s="37">
        <v>17.48</v>
      </c>
      <c r="AN31" s="37">
        <v>16.68</v>
      </c>
      <c r="AO31" s="37">
        <v>16.63</v>
      </c>
      <c r="AQ31" s="37">
        <v>23.03</v>
      </c>
      <c r="AR31" s="37">
        <v>23.56</v>
      </c>
      <c r="AS31" s="37">
        <v>22.89</v>
      </c>
      <c r="BD31">
        <v>51.15</v>
      </c>
      <c r="BE31">
        <v>50.91</v>
      </c>
      <c r="BF31">
        <v>50.45</v>
      </c>
      <c r="BG31" s="24">
        <f t="shared" si="14"/>
        <v>50.836666666666666</v>
      </c>
      <c r="BH31">
        <v>39.020000000000003</v>
      </c>
      <c r="BI31">
        <v>39.450000000000003</v>
      </c>
      <c r="BJ31">
        <v>39.479999999999997</v>
      </c>
      <c r="BK31" s="24">
        <f t="shared" si="15"/>
        <v>39.316666666666663</v>
      </c>
      <c r="BL31">
        <v>68.34</v>
      </c>
      <c r="BM31">
        <v>68.45</v>
      </c>
      <c r="BN31">
        <v>68.87</v>
      </c>
      <c r="BO31" s="24">
        <f t="shared" si="16"/>
        <v>68.553333333333342</v>
      </c>
      <c r="BP31" t="s">
        <v>51</v>
      </c>
      <c r="BQ31" t="s">
        <v>51</v>
      </c>
      <c r="BV31"/>
      <c r="BW31"/>
      <c r="BX31"/>
      <c r="BY31"/>
    </row>
    <row r="32" spans="1:78" x14ac:dyDescent="0.25">
      <c r="A32" s="97" t="s">
        <v>302</v>
      </c>
      <c r="B32" s="97" t="s">
        <v>761</v>
      </c>
      <c r="C32" t="s">
        <v>49</v>
      </c>
      <c r="D32" t="s">
        <v>671</v>
      </c>
      <c r="E32">
        <v>1209</v>
      </c>
      <c r="F32" s="5" t="s">
        <v>762</v>
      </c>
      <c r="G32" s="100">
        <v>42888</v>
      </c>
      <c r="H32" t="s">
        <v>752</v>
      </c>
      <c r="J32" s="147">
        <v>1</v>
      </c>
      <c r="K32" s="10" t="s">
        <v>50</v>
      </c>
      <c r="L32">
        <v>494</v>
      </c>
      <c r="M32">
        <v>91</v>
      </c>
      <c r="N32" s="9">
        <f t="shared" si="9"/>
        <v>403</v>
      </c>
      <c r="O32" s="35">
        <v>168</v>
      </c>
      <c r="P32" s="35">
        <v>168</v>
      </c>
      <c r="Q32" s="35">
        <v>168</v>
      </c>
      <c r="R32" s="24">
        <f t="shared" si="19"/>
        <v>168</v>
      </c>
      <c r="S32" s="35">
        <v>242</v>
      </c>
      <c r="T32" s="35">
        <v>241</v>
      </c>
      <c r="U32" s="35">
        <v>242</v>
      </c>
      <c r="V32" s="24">
        <f t="shared" si="20"/>
        <v>241.66666666666666</v>
      </c>
      <c r="W32" s="36">
        <v>12.27</v>
      </c>
      <c r="X32" s="35">
        <v>12.04</v>
      </c>
      <c r="Y32" s="35">
        <v>12.39</v>
      </c>
      <c r="Z32" s="24">
        <f t="shared" si="21"/>
        <v>12.233333333333334</v>
      </c>
      <c r="AA32" s="37">
        <v>31.58</v>
      </c>
      <c r="AB32" s="37">
        <v>31.72</v>
      </c>
      <c r="AC32" s="37">
        <v>31.87</v>
      </c>
      <c r="AD32" s="24">
        <f t="shared" si="22"/>
        <v>31.723333333333333</v>
      </c>
      <c r="AE32" s="42">
        <v>40.98</v>
      </c>
      <c r="AF32" s="42">
        <v>40.880000000000003</v>
      </c>
      <c r="AG32" s="42">
        <v>40.79</v>
      </c>
      <c r="AH32" s="24">
        <f t="shared" si="23"/>
        <v>40.883333333333333</v>
      </c>
      <c r="AI32" s="37">
        <v>64.819999999999993</v>
      </c>
      <c r="AJ32" s="37">
        <v>64.7</v>
      </c>
      <c r="AK32" s="37">
        <v>64.63</v>
      </c>
      <c r="AL32" s="24">
        <f t="shared" si="13"/>
        <v>64.716666666666654</v>
      </c>
      <c r="AM32" s="37">
        <v>15.71</v>
      </c>
      <c r="AN32" s="37">
        <v>15.3</v>
      </c>
      <c r="AO32" s="37">
        <v>15.57</v>
      </c>
      <c r="AQ32" s="37">
        <v>22.48</v>
      </c>
      <c r="AR32" s="37">
        <v>22.4</v>
      </c>
      <c r="AS32" s="37">
        <v>22.09</v>
      </c>
      <c r="BD32">
        <v>51.11</v>
      </c>
      <c r="BE32">
        <v>51.26</v>
      </c>
      <c r="BF32">
        <v>51.18</v>
      </c>
      <c r="BG32" s="24">
        <f t="shared" si="14"/>
        <v>51.183333333333337</v>
      </c>
      <c r="BH32">
        <v>38.049999999999997</v>
      </c>
      <c r="BI32">
        <v>37.85</v>
      </c>
      <c r="BJ32">
        <v>38.020000000000003</v>
      </c>
      <c r="BK32" s="24">
        <f t="shared" si="15"/>
        <v>37.973333333333336</v>
      </c>
      <c r="BL32">
        <v>62</v>
      </c>
      <c r="BM32">
        <v>61.78</v>
      </c>
      <c r="BN32">
        <v>61.86</v>
      </c>
      <c r="BO32" s="24">
        <f t="shared" si="16"/>
        <v>61.879999999999995</v>
      </c>
      <c r="BP32" t="s">
        <v>51</v>
      </c>
      <c r="BQ32" t="s">
        <v>51</v>
      </c>
    </row>
    <row r="33" spans="1:78" x14ac:dyDescent="0.25">
      <c r="A33" s="97" t="s">
        <v>302</v>
      </c>
      <c r="B33" s="97" t="s">
        <v>768</v>
      </c>
      <c r="C33" t="s">
        <v>49</v>
      </c>
      <c r="D33" t="s">
        <v>671</v>
      </c>
      <c r="E33">
        <v>1210</v>
      </c>
      <c r="F33" s="5" t="s">
        <v>767</v>
      </c>
      <c r="G33" s="100">
        <v>42888</v>
      </c>
      <c r="H33" t="s">
        <v>766</v>
      </c>
      <c r="J33" s="147">
        <v>2</v>
      </c>
      <c r="K33" s="10" t="s">
        <v>64</v>
      </c>
      <c r="L33">
        <v>519</v>
      </c>
      <c r="M33">
        <v>95</v>
      </c>
      <c r="N33" s="9">
        <f t="shared" si="9"/>
        <v>424</v>
      </c>
      <c r="O33" s="35">
        <v>181</v>
      </c>
      <c r="P33" s="35">
        <v>181</v>
      </c>
      <c r="Q33" s="35">
        <v>182</v>
      </c>
      <c r="R33" s="24">
        <f t="shared" si="19"/>
        <v>181.33333333333334</v>
      </c>
      <c r="S33" s="35">
        <v>242</v>
      </c>
      <c r="T33" s="35">
        <v>241</v>
      </c>
      <c r="U33" s="35">
        <v>242</v>
      </c>
      <c r="V33" s="24">
        <f t="shared" si="20"/>
        <v>241.66666666666666</v>
      </c>
      <c r="W33" s="36">
        <v>15.07</v>
      </c>
      <c r="X33" s="35">
        <v>14.74</v>
      </c>
      <c r="Y33" s="35">
        <v>14.67</v>
      </c>
      <c r="Z33" s="24">
        <f t="shared" si="21"/>
        <v>14.826666666666668</v>
      </c>
      <c r="AA33" s="37">
        <v>30.97</v>
      </c>
      <c r="AB33" s="37">
        <v>31.66</v>
      </c>
      <c r="AC33" s="37">
        <v>31.24</v>
      </c>
      <c r="AD33" s="24">
        <f t="shared" si="22"/>
        <v>31.289999999999996</v>
      </c>
      <c r="AE33" s="42">
        <v>39.99</v>
      </c>
      <c r="AF33" s="42">
        <v>39.85</v>
      </c>
      <c r="AG33" s="42">
        <v>39.56</v>
      </c>
      <c r="AH33" s="24">
        <f t="shared" si="23"/>
        <v>39.800000000000004</v>
      </c>
      <c r="AI33" s="37">
        <v>64.09</v>
      </c>
      <c r="AJ33" s="37">
        <v>64.349999999999994</v>
      </c>
      <c r="AK33" s="37">
        <v>64.23</v>
      </c>
      <c r="AL33" s="24">
        <f t="shared" si="13"/>
        <v>64.223333333333343</v>
      </c>
      <c r="AX33" s="10" t="s">
        <v>65</v>
      </c>
      <c r="AY33" s="9">
        <v>8</v>
      </c>
      <c r="AZ33">
        <v>7</v>
      </c>
      <c r="BD33">
        <v>47.56</v>
      </c>
      <c r="BE33">
        <v>47.97</v>
      </c>
      <c r="BF33">
        <v>48.26</v>
      </c>
      <c r="BG33" s="24">
        <f t="shared" si="14"/>
        <v>47.93</v>
      </c>
      <c r="BH33">
        <v>36.36</v>
      </c>
      <c r="BI33">
        <v>36.58</v>
      </c>
      <c r="BJ33">
        <v>36.75</v>
      </c>
      <c r="BK33" s="24">
        <f t="shared" si="15"/>
        <v>36.563333333333333</v>
      </c>
      <c r="BL33">
        <v>67.09</v>
      </c>
      <c r="BM33">
        <v>67.180000000000007</v>
      </c>
      <c r="BN33">
        <v>67.47</v>
      </c>
      <c r="BO33" s="24">
        <f t="shared" si="16"/>
        <v>67.24666666666667</v>
      </c>
      <c r="BP33" t="s">
        <v>51</v>
      </c>
      <c r="BQ33" t="s">
        <v>51</v>
      </c>
      <c r="BU33" s="35"/>
      <c r="BV33"/>
      <c r="BW33"/>
      <c r="BX33"/>
      <c r="BY33"/>
    </row>
    <row r="34" spans="1:78" x14ac:dyDescent="0.25">
      <c r="A34" s="97" t="s">
        <v>302</v>
      </c>
      <c r="B34" s="97" t="s">
        <v>764</v>
      </c>
      <c r="C34" t="s">
        <v>49</v>
      </c>
      <c r="D34" t="s">
        <v>671</v>
      </c>
      <c r="E34">
        <v>1211</v>
      </c>
      <c r="F34" s="5" t="s">
        <v>765</v>
      </c>
      <c r="G34" s="100">
        <v>42888</v>
      </c>
      <c r="H34" t="s">
        <v>751</v>
      </c>
      <c r="J34" s="147">
        <v>1</v>
      </c>
      <c r="K34" s="10" t="s">
        <v>50</v>
      </c>
      <c r="L34">
        <v>777</v>
      </c>
      <c r="M34">
        <v>95</v>
      </c>
      <c r="N34" s="9">
        <f t="shared" si="9"/>
        <v>682</v>
      </c>
      <c r="O34" s="35">
        <v>210</v>
      </c>
      <c r="P34" s="35">
        <v>211</v>
      </c>
      <c r="Q34" s="35">
        <v>211</v>
      </c>
      <c r="R34" s="24">
        <f t="shared" si="19"/>
        <v>210.66666666666666</v>
      </c>
      <c r="S34" s="35">
        <v>264</v>
      </c>
      <c r="T34" s="35">
        <v>264</v>
      </c>
      <c r="U34" s="35">
        <v>265</v>
      </c>
      <c r="V34" s="24">
        <f t="shared" si="20"/>
        <v>264.33333333333331</v>
      </c>
      <c r="W34" s="36">
        <v>15.19</v>
      </c>
      <c r="X34" s="35">
        <v>15.6</v>
      </c>
      <c r="Y34" s="35">
        <v>15.19</v>
      </c>
      <c r="Z34" s="24">
        <f t="shared" si="21"/>
        <v>15.326666666666666</v>
      </c>
      <c r="AA34" s="37">
        <v>36.770000000000003</v>
      </c>
      <c r="AB34" s="37">
        <v>36.61</v>
      </c>
      <c r="AC34" s="37">
        <v>36.270000000000003</v>
      </c>
      <c r="AD34" s="24">
        <f t="shared" si="22"/>
        <v>36.550000000000004</v>
      </c>
      <c r="AE34" s="42">
        <v>47.63</v>
      </c>
      <c r="AF34" s="42">
        <v>47.69</v>
      </c>
      <c r="AG34" s="42">
        <v>47.48</v>
      </c>
      <c r="AH34" s="24">
        <f t="shared" si="23"/>
        <v>47.599999999999994</v>
      </c>
      <c r="AI34" s="37">
        <v>72.849999999999994</v>
      </c>
      <c r="AJ34" s="37">
        <v>72.760000000000005</v>
      </c>
      <c r="AK34" s="37">
        <v>72.8</v>
      </c>
      <c r="AL34" s="24">
        <f t="shared" si="13"/>
        <v>72.803333333333342</v>
      </c>
      <c r="AM34" s="37">
        <v>18.52</v>
      </c>
      <c r="AN34" s="37">
        <v>18.27</v>
      </c>
      <c r="AO34" s="37">
        <v>18.100000000000001</v>
      </c>
      <c r="AQ34" s="37">
        <v>27.92</v>
      </c>
      <c r="AR34" s="37">
        <v>27.69</v>
      </c>
      <c r="AS34" s="37">
        <v>26.78</v>
      </c>
      <c r="BD34">
        <v>58.49</v>
      </c>
      <c r="BE34">
        <v>58.5</v>
      </c>
      <c r="BF34">
        <v>58.63</v>
      </c>
      <c r="BG34" s="24">
        <f t="shared" si="14"/>
        <v>58.54</v>
      </c>
      <c r="BH34">
        <v>41.5</v>
      </c>
      <c r="BI34">
        <v>41.5</v>
      </c>
      <c r="BJ34">
        <v>41.29</v>
      </c>
      <c r="BK34" s="24">
        <f t="shared" si="15"/>
        <v>41.43</v>
      </c>
      <c r="BL34">
        <v>71.099999999999994</v>
      </c>
      <c r="BM34">
        <v>71.25</v>
      </c>
      <c r="BN34">
        <v>71.16</v>
      </c>
      <c r="BO34" s="24">
        <f t="shared" si="16"/>
        <v>71.17</v>
      </c>
      <c r="BP34" t="s">
        <v>51</v>
      </c>
      <c r="BQ34" t="s">
        <v>51</v>
      </c>
    </row>
    <row r="35" spans="1:78" x14ac:dyDescent="0.25">
      <c r="A35" s="97" t="s">
        <v>302</v>
      </c>
      <c r="B35" s="97" t="s">
        <v>769</v>
      </c>
      <c r="C35" t="s">
        <v>49</v>
      </c>
      <c r="D35" t="s">
        <v>671</v>
      </c>
      <c r="E35">
        <v>1212</v>
      </c>
      <c r="F35" s="5" t="s">
        <v>770</v>
      </c>
      <c r="G35" s="100">
        <v>42888</v>
      </c>
      <c r="H35" t="s">
        <v>771</v>
      </c>
      <c r="J35" s="147">
        <v>1</v>
      </c>
      <c r="K35" s="10" t="s">
        <v>50</v>
      </c>
      <c r="L35">
        <v>594</v>
      </c>
      <c r="M35">
        <v>94</v>
      </c>
      <c r="N35" s="9">
        <f t="shared" si="9"/>
        <v>500</v>
      </c>
      <c r="O35" s="35">
        <v>185</v>
      </c>
      <c r="P35" s="35">
        <v>186</v>
      </c>
      <c r="Q35" s="35">
        <v>186</v>
      </c>
      <c r="R35" s="24">
        <f t="shared" si="19"/>
        <v>185.66666666666666</v>
      </c>
      <c r="S35" s="35">
        <v>253</v>
      </c>
      <c r="T35" s="35">
        <v>253</v>
      </c>
      <c r="U35" s="35">
        <v>253</v>
      </c>
      <c r="V35" s="24">
        <f t="shared" si="20"/>
        <v>253</v>
      </c>
      <c r="W35" s="36">
        <v>14.37</v>
      </c>
      <c r="X35" s="35">
        <v>13.79</v>
      </c>
      <c r="Y35" s="35">
        <v>14.1</v>
      </c>
      <c r="Z35" s="24">
        <f t="shared" si="21"/>
        <v>14.086666666666666</v>
      </c>
      <c r="AA35" s="37">
        <v>33.42</v>
      </c>
      <c r="AB35" s="37">
        <v>33.520000000000003</v>
      </c>
      <c r="AC35" s="37">
        <v>33.299999999999997</v>
      </c>
      <c r="AD35" s="24">
        <f t="shared" si="22"/>
        <v>33.413333333333334</v>
      </c>
      <c r="AE35" s="42">
        <v>44.28</v>
      </c>
      <c r="AF35" s="42">
        <v>44.48</v>
      </c>
      <c r="AG35" s="42">
        <v>44.39</v>
      </c>
      <c r="AH35" s="24">
        <f t="shared" si="23"/>
        <v>44.383333333333326</v>
      </c>
      <c r="AI35" s="37">
        <v>68.180000000000007</v>
      </c>
      <c r="AJ35" s="37">
        <v>68.28</v>
      </c>
      <c r="AK35" s="37">
        <v>68.099999999999994</v>
      </c>
      <c r="AL35" s="24">
        <f t="shared" si="13"/>
        <v>68.186666666666667</v>
      </c>
      <c r="AN35" s="37">
        <v>16.850000000000001</v>
      </c>
      <c r="AO35" s="37">
        <v>18.87</v>
      </c>
      <c r="AP35" s="9">
        <v>16.05</v>
      </c>
      <c r="AQ35" s="37">
        <v>27.27</v>
      </c>
      <c r="AR35" s="37">
        <v>26.62</v>
      </c>
      <c r="AS35" s="37">
        <v>26.92</v>
      </c>
      <c r="BD35">
        <v>54.26</v>
      </c>
      <c r="BE35">
        <v>54.11</v>
      </c>
      <c r="BF35">
        <v>54.18</v>
      </c>
      <c r="BG35" s="24">
        <f t="shared" si="14"/>
        <v>54.183333333333337</v>
      </c>
      <c r="BH35">
        <v>40.44</v>
      </c>
      <c r="BI35">
        <v>40.56</v>
      </c>
      <c r="BJ35">
        <v>40.270000000000003</v>
      </c>
      <c r="BK35" s="24">
        <f t="shared" si="15"/>
        <v>40.423333333333339</v>
      </c>
      <c r="BL35">
        <v>70.42</v>
      </c>
      <c r="BM35">
        <v>70.45</v>
      </c>
      <c r="BN35">
        <v>70.17</v>
      </c>
      <c r="BO35" s="24">
        <f t="shared" si="16"/>
        <v>70.346666666666678</v>
      </c>
      <c r="BP35" t="s">
        <v>51</v>
      </c>
      <c r="BQ35" t="s">
        <v>51</v>
      </c>
    </row>
    <row r="36" spans="1:78" x14ac:dyDescent="0.25">
      <c r="A36" s="97" t="s">
        <v>302</v>
      </c>
      <c r="B36" s="97" t="s">
        <v>826</v>
      </c>
      <c r="C36" t="s">
        <v>49</v>
      </c>
      <c r="D36" t="s">
        <v>671</v>
      </c>
      <c r="E36">
        <v>1213</v>
      </c>
      <c r="F36" s="5" t="s">
        <v>831</v>
      </c>
      <c r="G36" s="100">
        <v>42891</v>
      </c>
      <c r="H36" t="s">
        <v>818</v>
      </c>
      <c r="J36" s="147">
        <v>1</v>
      </c>
      <c r="K36" s="10" t="s">
        <v>50</v>
      </c>
      <c r="L36">
        <v>664</v>
      </c>
      <c r="M36">
        <v>94</v>
      </c>
      <c r="N36" s="9">
        <f t="shared" si="9"/>
        <v>570</v>
      </c>
      <c r="O36" s="35">
        <v>187</v>
      </c>
      <c r="P36" s="35">
        <v>187</v>
      </c>
      <c r="Q36" s="35">
        <v>188</v>
      </c>
      <c r="R36" s="24">
        <f t="shared" si="19"/>
        <v>187.33333333333334</v>
      </c>
      <c r="S36" s="35">
        <v>247</v>
      </c>
      <c r="T36" s="35">
        <v>248</v>
      </c>
      <c r="U36" s="35">
        <v>248</v>
      </c>
      <c r="V36" s="24">
        <f t="shared" si="20"/>
        <v>247.66666666666666</v>
      </c>
      <c r="W36" s="36">
        <v>16.13</v>
      </c>
      <c r="X36" s="35">
        <v>15.93</v>
      </c>
      <c r="Y36" s="35">
        <v>16.18</v>
      </c>
      <c r="Z36" s="24">
        <f t="shared" si="21"/>
        <v>16.080000000000002</v>
      </c>
      <c r="AA36" s="37">
        <v>32.28</v>
      </c>
      <c r="AB36" s="37">
        <v>32.630000000000003</v>
      </c>
      <c r="AC36" s="37">
        <v>32.72</v>
      </c>
      <c r="AD36" s="24">
        <f t="shared" si="22"/>
        <v>32.543333333333329</v>
      </c>
      <c r="AE36" s="42">
        <v>42.97</v>
      </c>
      <c r="AF36" s="42">
        <v>42.42</v>
      </c>
      <c r="AG36" s="42">
        <v>42.55</v>
      </c>
      <c r="AH36" s="24">
        <f t="shared" si="23"/>
        <v>42.646666666666668</v>
      </c>
      <c r="AI36" s="37">
        <v>65.62</v>
      </c>
      <c r="AJ36" s="37">
        <v>65.849999999999994</v>
      </c>
      <c r="AK36">
        <v>65.5</v>
      </c>
      <c r="AL36" s="24">
        <f t="shared" si="13"/>
        <v>65.656666666666666</v>
      </c>
      <c r="AM36" s="37">
        <v>15.4</v>
      </c>
      <c r="AN36" s="37">
        <v>15.82</v>
      </c>
      <c r="AO36" s="37">
        <v>15.8</v>
      </c>
      <c r="AQ36" s="37">
        <v>20.309999999999999</v>
      </c>
      <c r="AR36" s="37">
        <v>20.16</v>
      </c>
      <c r="AS36" s="37">
        <v>20.05</v>
      </c>
      <c r="BD36">
        <v>55.36</v>
      </c>
      <c r="BE36">
        <v>55.54</v>
      </c>
      <c r="BF36">
        <v>55.45</v>
      </c>
      <c r="BG36" s="24">
        <f t="shared" si="14"/>
        <v>55.45000000000001</v>
      </c>
      <c r="BH36">
        <v>42.91</v>
      </c>
      <c r="BI36">
        <v>42.63</v>
      </c>
      <c r="BJ36">
        <v>41.93</v>
      </c>
      <c r="BK36" s="24">
        <f t="shared" si="15"/>
        <v>42.49</v>
      </c>
      <c r="BL36">
        <v>71.22</v>
      </c>
      <c r="BM36">
        <v>71.27</v>
      </c>
      <c r="BN36">
        <v>71.59</v>
      </c>
      <c r="BO36" s="24">
        <f t="shared" si="16"/>
        <v>71.36</v>
      </c>
      <c r="BP36" t="s">
        <v>51</v>
      </c>
      <c r="BQ36" t="s">
        <v>51</v>
      </c>
      <c r="BU36" s="35"/>
      <c r="BV36"/>
      <c r="BW36"/>
      <c r="BX36"/>
      <c r="BY36"/>
    </row>
    <row r="37" spans="1:78" x14ac:dyDescent="0.25">
      <c r="A37" s="97" t="s">
        <v>302</v>
      </c>
      <c r="B37" s="97" t="s">
        <v>827</v>
      </c>
      <c r="C37" t="s">
        <v>49</v>
      </c>
      <c r="D37" t="s">
        <v>671</v>
      </c>
      <c r="E37">
        <v>1214</v>
      </c>
      <c r="F37" s="5" t="s">
        <v>832</v>
      </c>
      <c r="G37" s="100">
        <v>42891</v>
      </c>
      <c r="H37" t="s">
        <v>771</v>
      </c>
      <c r="J37" s="147">
        <v>1</v>
      </c>
      <c r="K37" s="10" t="s">
        <v>50</v>
      </c>
      <c r="L37">
        <v>647</v>
      </c>
      <c r="M37">
        <v>94</v>
      </c>
      <c r="N37" s="9">
        <f t="shared" si="9"/>
        <v>553</v>
      </c>
      <c r="O37" s="35">
        <v>214</v>
      </c>
      <c r="P37" s="35">
        <v>213</v>
      </c>
      <c r="Q37" s="35">
        <v>213</v>
      </c>
      <c r="R37" s="24">
        <f t="shared" si="19"/>
        <v>213.33333333333334</v>
      </c>
      <c r="S37" s="35">
        <v>258</v>
      </c>
      <c r="T37" s="35">
        <v>257</v>
      </c>
      <c r="U37" s="35">
        <v>257</v>
      </c>
      <c r="V37" s="24">
        <f t="shared" si="20"/>
        <v>257.33333333333331</v>
      </c>
      <c r="W37" s="36">
        <v>15.5</v>
      </c>
      <c r="X37" s="35">
        <v>15.64</v>
      </c>
      <c r="Y37" s="35">
        <v>15.29</v>
      </c>
      <c r="Z37" s="24">
        <f t="shared" si="21"/>
        <v>15.476666666666667</v>
      </c>
      <c r="AA37" s="37">
        <v>34.909999999999997</v>
      </c>
      <c r="AB37" s="37">
        <v>34.869999999999997</v>
      </c>
      <c r="AC37" s="37">
        <v>34.229999999999997</v>
      </c>
      <c r="AD37" s="24">
        <f t="shared" si="22"/>
        <v>34.669999999999995</v>
      </c>
      <c r="AE37" s="42">
        <v>42.17</v>
      </c>
      <c r="AF37" s="42">
        <v>42.59</v>
      </c>
      <c r="AG37" s="42">
        <v>42.5</v>
      </c>
      <c r="AH37" s="24">
        <f t="shared" si="23"/>
        <v>42.42</v>
      </c>
      <c r="AI37" s="37">
        <v>68.87</v>
      </c>
      <c r="AJ37" s="37">
        <v>68.66</v>
      </c>
      <c r="AK37" s="37">
        <v>68.86</v>
      </c>
      <c r="AL37" s="24">
        <f t="shared" si="13"/>
        <v>68.796666666666667</v>
      </c>
      <c r="AM37" s="37">
        <v>16.809999999999999</v>
      </c>
      <c r="AN37" s="37">
        <v>16.739999999999998</v>
      </c>
      <c r="AO37" s="37">
        <v>16.7</v>
      </c>
      <c r="AQ37" s="37">
        <v>24.92</v>
      </c>
      <c r="AR37" s="37">
        <v>23.52</v>
      </c>
      <c r="AS37" s="37">
        <v>24.04</v>
      </c>
      <c r="BD37">
        <v>55.53</v>
      </c>
      <c r="BE37">
        <v>55.89</v>
      </c>
      <c r="BF37">
        <v>55.49</v>
      </c>
      <c r="BG37" s="24">
        <f t="shared" si="14"/>
        <v>55.636666666666663</v>
      </c>
      <c r="BH37">
        <v>38.729999999999997</v>
      </c>
      <c r="BI37">
        <v>38.01</v>
      </c>
      <c r="BJ37">
        <v>38.11</v>
      </c>
      <c r="BK37" s="24">
        <f t="shared" si="15"/>
        <v>38.283333333333331</v>
      </c>
      <c r="BL37">
        <v>72.489999999999995</v>
      </c>
      <c r="BM37">
        <v>72.53</v>
      </c>
      <c r="BN37">
        <v>72.53</v>
      </c>
      <c r="BO37" s="24">
        <f t="shared" si="16"/>
        <v>72.516666666666666</v>
      </c>
      <c r="BP37" t="s">
        <v>51</v>
      </c>
      <c r="BQ37" t="s">
        <v>51</v>
      </c>
    </row>
    <row r="38" spans="1:78" x14ac:dyDescent="0.25">
      <c r="A38" s="97" t="s">
        <v>302</v>
      </c>
      <c r="B38" s="97" t="s">
        <v>819</v>
      </c>
      <c r="C38" t="s">
        <v>49</v>
      </c>
      <c r="D38" t="s">
        <v>671</v>
      </c>
      <c r="E38">
        <v>1215</v>
      </c>
      <c r="F38" s="5" t="s">
        <v>833</v>
      </c>
      <c r="G38" s="100">
        <v>42891</v>
      </c>
      <c r="H38" t="s">
        <v>820</v>
      </c>
      <c r="J38" s="147">
        <v>1</v>
      </c>
      <c r="K38" s="10" t="s">
        <v>50</v>
      </c>
      <c r="L38">
        <v>643</v>
      </c>
      <c r="M38">
        <v>95</v>
      </c>
      <c r="N38" s="9">
        <f t="shared" si="9"/>
        <v>548</v>
      </c>
      <c r="O38" s="35">
        <v>203</v>
      </c>
      <c r="P38" s="35">
        <v>204</v>
      </c>
      <c r="Q38" s="35">
        <v>204</v>
      </c>
      <c r="R38" s="24">
        <f t="shared" si="19"/>
        <v>203.66666666666666</v>
      </c>
      <c r="S38" s="35">
        <v>271</v>
      </c>
      <c r="T38" s="35">
        <v>271</v>
      </c>
      <c r="U38" s="35">
        <v>271</v>
      </c>
      <c r="V38" s="24">
        <f t="shared" si="20"/>
        <v>271</v>
      </c>
      <c r="W38" s="36">
        <v>15.87</v>
      </c>
      <c r="X38" s="35">
        <v>15.91</v>
      </c>
      <c r="Y38" s="35">
        <v>15.96</v>
      </c>
      <c r="Z38" s="24">
        <f t="shared" si="21"/>
        <v>15.913333333333334</v>
      </c>
      <c r="AA38" s="37">
        <v>32.729999999999997</v>
      </c>
      <c r="AB38" s="37">
        <v>32.979999999999997</v>
      </c>
      <c r="AC38" s="37">
        <v>32.979999999999997</v>
      </c>
      <c r="AD38" s="24">
        <f t="shared" si="22"/>
        <v>32.896666666666668</v>
      </c>
      <c r="AE38" s="42">
        <v>44.13</v>
      </c>
      <c r="AF38" s="42">
        <v>44.1</v>
      </c>
      <c r="AG38" s="42">
        <v>44.18</v>
      </c>
      <c r="AH38" s="24">
        <f t="shared" si="23"/>
        <v>44.136666666666663</v>
      </c>
      <c r="AI38" s="37">
        <v>68.569999999999993</v>
      </c>
      <c r="AJ38" s="37">
        <v>68.66</v>
      </c>
      <c r="AK38" s="37">
        <v>68.66</v>
      </c>
      <c r="AL38" s="24">
        <f t="shared" si="13"/>
        <v>68.63</v>
      </c>
      <c r="AM38" s="37">
        <v>17.809999999999999</v>
      </c>
      <c r="AN38" s="37">
        <v>17.420000000000002</v>
      </c>
      <c r="AO38" s="37">
        <v>17.940000000000001</v>
      </c>
      <c r="AQ38" s="37">
        <v>23.87</v>
      </c>
      <c r="AR38" s="37">
        <v>23.8</v>
      </c>
      <c r="AS38" s="37">
        <v>23.58</v>
      </c>
      <c r="BD38">
        <v>53.93</v>
      </c>
      <c r="BE38">
        <v>53.38</v>
      </c>
      <c r="BF38">
        <v>53.79</v>
      </c>
      <c r="BG38" s="24">
        <f t="shared" si="14"/>
        <v>53.699999999999996</v>
      </c>
      <c r="BH38">
        <v>38.68</v>
      </c>
      <c r="BI38">
        <v>38.81</v>
      </c>
      <c r="BJ38">
        <v>38.75</v>
      </c>
      <c r="BK38" s="24">
        <f t="shared" si="15"/>
        <v>38.74666666666667</v>
      </c>
      <c r="BL38">
        <v>73.55</v>
      </c>
      <c r="BM38">
        <v>72.959999999999994</v>
      </c>
      <c r="BN38">
        <v>73.260000000000005</v>
      </c>
      <c r="BO38" s="24">
        <f t="shared" si="16"/>
        <v>73.256666666666661</v>
      </c>
      <c r="BP38" t="s">
        <v>51</v>
      </c>
      <c r="BQ38" t="s">
        <v>51</v>
      </c>
    </row>
    <row r="39" spans="1:78" x14ac:dyDescent="0.25">
      <c r="A39" s="97" t="s">
        <v>302</v>
      </c>
      <c r="B39" s="97" t="s">
        <v>824</v>
      </c>
      <c r="C39" t="s">
        <v>49</v>
      </c>
      <c r="D39" t="s">
        <v>671</v>
      </c>
      <c r="E39">
        <v>1216</v>
      </c>
      <c r="F39" s="5" t="s">
        <v>834</v>
      </c>
      <c r="G39" s="100">
        <v>42891</v>
      </c>
      <c r="H39" t="s">
        <v>821</v>
      </c>
      <c r="J39" s="147">
        <v>2</v>
      </c>
      <c r="K39" s="10" t="s">
        <v>64</v>
      </c>
      <c r="L39">
        <v>491</v>
      </c>
      <c r="M39">
        <v>95</v>
      </c>
      <c r="N39" s="9">
        <f t="shared" si="9"/>
        <v>396</v>
      </c>
      <c r="O39" s="35">
        <v>175</v>
      </c>
      <c r="P39" s="35">
        <v>175</v>
      </c>
      <c r="Q39" s="35">
        <v>175</v>
      </c>
      <c r="R39" s="24">
        <f t="shared" si="19"/>
        <v>175</v>
      </c>
      <c r="S39" s="35">
        <v>235</v>
      </c>
      <c r="T39" s="35">
        <v>235</v>
      </c>
      <c r="U39" s="35">
        <v>235</v>
      </c>
      <c r="V39" s="24">
        <f t="shared" si="20"/>
        <v>235</v>
      </c>
      <c r="W39" s="36">
        <v>13.4</v>
      </c>
      <c r="X39" s="35">
        <v>13.53</v>
      </c>
      <c r="Y39" s="35">
        <v>13.43</v>
      </c>
      <c r="Z39" s="24">
        <f t="shared" si="21"/>
        <v>13.453333333333333</v>
      </c>
      <c r="AA39" s="37">
        <v>29.15</v>
      </c>
      <c r="AB39" s="37">
        <v>20.79</v>
      </c>
      <c r="AC39" s="37">
        <v>29.72</v>
      </c>
      <c r="AD39" s="24">
        <f t="shared" si="22"/>
        <v>26.553333333333331</v>
      </c>
      <c r="AE39" s="42">
        <v>40.44</v>
      </c>
      <c r="AF39" s="42">
        <v>40.130000000000003</v>
      </c>
      <c r="AG39" s="42">
        <v>40.06</v>
      </c>
      <c r="AH39" s="24">
        <f t="shared" si="23"/>
        <v>40.21</v>
      </c>
      <c r="AI39" s="37">
        <v>59.57</v>
      </c>
      <c r="AJ39" s="37">
        <v>59.59</v>
      </c>
      <c r="AK39" s="37">
        <v>59.62</v>
      </c>
      <c r="AL39" s="24">
        <f t="shared" si="13"/>
        <v>59.593333333333334</v>
      </c>
      <c r="AX39" s="10" t="s">
        <v>65</v>
      </c>
      <c r="AY39" s="9">
        <v>8</v>
      </c>
      <c r="AZ39">
        <v>7</v>
      </c>
      <c r="BD39">
        <v>47.71</v>
      </c>
      <c r="BE39">
        <v>47.84</v>
      </c>
      <c r="BF39">
        <v>47.89</v>
      </c>
      <c r="BG39" s="24">
        <f t="shared" si="14"/>
        <v>47.813333333333333</v>
      </c>
      <c r="BH39">
        <v>35.869999999999997</v>
      </c>
      <c r="BI39">
        <v>35.97</v>
      </c>
      <c r="BJ39">
        <v>35.9</v>
      </c>
      <c r="BK39" s="24">
        <f t="shared" si="15"/>
        <v>35.913333333333334</v>
      </c>
      <c r="BL39">
        <v>70.709999999999994</v>
      </c>
      <c r="BM39">
        <v>70.760000000000005</v>
      </c>
      <c r="BN39">
        <v>70.42</v>
      </c>
      <c r="BO39" s="24">
        <f t="shared" si="16"/>
        <v>70.63</v>
      </c>
      <c r="BP39" t="s">
        <v>51</v>
      </c>
      <c r="BQ39" t="s">
        <v>51</v>
      </c>
      <c r="BV39"/>
      <c r="BW39"/>
      <c r="BX39"/>
      <c r="BY39"/>
    </row>
    <row r="40" spans="1:78" x14ac:dyDescent="0.25">
      <c r="A40" s="97" t="s">
        <v>302</v>
      </c>
      <c r="B40" s="97" t="s">
        <v>825</v>
      </c>
      <c r="C40" t="s">
        <v>49</v>
      </c>
      <c r="D40" t="s">
        <v>671</v>
      </c>
      <c r="E40">
        <v>1217</v>
      </c>
      <c r="F40" s="5" t="s">
        <v>835</v>
      </c>
      <c r="G40" s="100">
        <v>42891</v>
      </c>
      <c r="H40" t="s">
        <v>751</v>
      </c>
      <c r="J40" s="147">
        <v>1</v>
      </c>
      <c r="K40" s="10" t="s">
        <v>50</v>
      </c>
      <c r="L40">
        <v>836</v>
      </c>
      <c r="M40">
        <v>93</v>
      </c>
      <c r="N40" s="9">
        <f t="shared" si="9"/>
        <v>743</v>
      </c>
      <c r="O40" s="35">
        <v>215</v>
      </c>
      <c r="P40" s="35">
        <v>215</v>
      </c>
      <c r="Q40" s="35">
        <v>215</v>
      </c>
      <c r="R40" s="24">
        <f t="shared" si="19"/>
        <v>215</v>
      </c>
      <c r="S40" s="35">
        <v>275</v>
      </c>
      <c r="T40" s="35">
        <v>275</v>
      </c>
      <c r="U40" s="35">
        <v>275</v>
      </c>
      <c r="V40" s="24">
        <f t="shared" si="20"/>
        <v>275</v>
      </c>
      <c r="W40" s="36">
        <v>16.8</v>
      </c>
      <c r="X40" s="35">
        <v>16.47</v>
      </c>
      <c r="Y40" s="35">
        <v>16.350000000000001</v>
      </c>
      <c r="Z40" s="24">
        <f t="shared" si="21"/>
        <v>16.54</v>
      </c>
      <c r="AA40" s="37">
        <v>37.229999999999997</v>
      </c>
      <c r="AB40" s="37">
        <v>37.19</v>
      </c>
      <c r="AC40" s="37">
        <v>36.71</v>
      </c>
      <c r="AD40" s="24">
        <f t="shared" si="22"/>
        <v>37.043333333333329</v>
      </c>
      <c r="AE40" s="42">
        <v>46.75</v>
      </c>
      <c r="AF40" s="42">
        <v>46.72</v>
      </c>
      <c r="AG40" s="42">
        <v>46.85</v>
      </c>
      <c r="AH40" s="24">
        <f t="shared" si="23"/>
        <v>46.773333333333333</v>
      </c>
      <c r="AI40" s="37">
        <v>73.3</v>
      </c>
      <c r="AJ40" s="37">
        <v>73.27</v>
      </c>
      <c r="AK40" s="37">
        <v>73.14</v>
      </c>
      <c r="AL40" s="24">
        <f t="shared" si="13"/>
        <v>73.236666666666665</v>
      </c>
      <c r="AM40" s="37">
        <v>19.329999999999998</v>
      </c>
      <c r="AN40" s="37">
        <v>19.13</v>
      </c>
      <c r="AO40" s="37">
        <v>19.78</v>
      </c>
      <c r="AQ40" s="37">
        <v>25.03</v>
      </c>
      <c r="AR40" s="37">
        <v>25.06</v>
      </c>
      <c r="AS40" s="37">
        <v>25.02</v>
      </c>
      <c r="BD40">
        <v>56.17</v>
      </c>
      <c r="BE40">
        <v>55.95</v>
      </c>
      <c r="BF40">
        <v>56.09</v>
      </c>
      <c r="BG40" s="24">
        <f t="shared" si="14"/>
        <v>56.07</v>
      </c>
      <c r="BH40">
        <v>43.61</v>
      </c>
      <c r="BI40">
        <v>43.8</v>
      </c>
      <c r="BJ40">
        <v>43.91</v>
      </c>
      <c r="BK40" s="24">
        <f t="shared" si="15"/>
        <v>43.773333333333333</v>
      </c>
      <c r="BL40">
        <v>74.69</v>
      </c>
      <c r="BM40">
        <v>74.959999999999994</v>
      </c>
      <c r="BN40">
        <v>74.53</v>
      </c>
      <c r="BO40" s="24">
        <f t="shared" si="16"/>
        <v>74.726666666666659</v>
      </c>
      <c r="BP40" t="s">
        <v>51</v>
      </c>
      <c r="BQ40" t="s">
        <v>51</v>
      </c>
    </row>
    <row r="41" spans="1:78" x14ac:dyDescent="0.25">
      <c r="A41" s="97" t="s">
        <v>302</v>
      </c>
      <c r="B41" s="97" t="s">
        <v>822</v>
      </c>
      <c r="C41" t="s">
        <v>49</v>
      </c>
      <c r="D41" t="s">
        <v>671</v>
      </c>
      <c r="E41">
        <v>1218</v>
      </c>
      <c r="F41" s="5" t="s">
        <v>836</v>
      </c>
      <c r="G41" s="100">
        <v>42891</v>
      </c>
      <c r="H41" t="s">
        <v>823</v>
      </c>
      <c r="J41" s="147">
        <v>1</v>
      </c>
      <c r="K41" s="10" t="s">
        <v>50</v>
      </c>
      <c r="L41">
        <v>606</v>
      </c>
      <c r="M41">
        <v>95</v>
      </c>
      <c r="N41" s="9">
        <f t="shared" si="9"/>
        <v>511</v>
      </c>
      <c r="O41" s="35">
        <v>191</v>
      </c>
      <c r="P41" s="35">
        <v>190</v>
      </c>
      <c r="Q41" s="35">
        <v>190</v>
      </c>
      <c r="R41" s="24">
        <f t="shared" si="19"/>
        <v>190.33333333333334</v>
      </c>
      <c r="S41" s="35">
        <v>240</v>
      </c>
      <c r="T41" s="35">
        <v>240</v>
      </c>
      <c r="U41" s="35">
        <v>240</v>
      </c>
      <c r="V41" s="24">
        <f t="shared" si="20"/>
        <v>240</v>
      </c>
      <c r="W41" s="36">
        <v>15.18</v>
      </c>
      <c r="X41" s="35">
        <v>15.21</v>
      </c>
      <c r="Y41" s="35">
        <v>15.39</v>
      </c>
      <c r="Z41" s="24">
        <f t="shared" si="21"/>
        <v>15.26</v>
      </c>
      <c r="AA41" s="37">
        <v>32.94</v>
      </c>
      <c r="AB41" s="37">
        <v>32.950000000000003</v>
      </c>
      <c r="AC41" s="37">
        <v>32.21</v>
      </c>
      <c r="AD41" s="24">
        <f t="shared" si="22"/>
        <v>32.699999999999996</v>
      </c>
      <c r="AE41" s="42">
        <v>44.15</v>
      </c>
      <c r="AF41" s="42">
        <v>44.65</v>
      </c>
      <c r="AG41" s="42">
        <v>44.44</v>
      </c>
      <c r="AH41" s="24">
        <f t="shared" si="23"/>
        <v>44.413333333333334</v>
      </c>
      <c r="AI41" s="37">
        <v>66.47</v>
      </c>
      <c r="AJ41" s="37">
        <v>66.53</v>
      </c>
      <c r="AK41" s="37">
        <v>66.52</v>
      </c>
      <c r="AL41" s="24">
        <f t="shared" si="13"/>
        <v>66.506666666666661</v>
      </c>
      <c r="AM41" s="37">
        <v>18.739999999999998</v>
      </c>
      <c r="AN41" s="37">
        <v>17.600000000000001</v>
      </c>
      <c r="AO41" s="37">
        <v>18.3</v>
      </c>
      <c r="AQ41" s="37">
        <v>24.1</v>
      </c>
      <c r="AR41" s="37">
        <v>24.26</v>
      </c>
      <c r="AS41" s="37">
        <v>24.08</v>
      </c>
      <c r="BD41">
        <v>54.93</v>
      </c>
      <c r="BE41">
        <v>55</v>
      </c>
      <c r="BF41">
        <v>55.06</v>
      </c>
      <c r="BG41" s="24">
        <f t="shared" si="14"/>
        <v>54.99666666666667</v>
      </c>
      <c r="BH41">
        <v>40.700000000000003</v>
      </c>
      <c r="BI41">
        <v>40.17</v>
      </c>
      <c r="BJ41">
        <v>40.619999999999997</v>
      </c>
      <c r="BK41" s="24">
        <f t="shared" si="15"/>
        <v>40.49666666666667</v>
      </c>
      <c r="BL41">
        <v>71.66</v>
      </c>
      <c r="BM41">
        <v>70.98</v>
      </c>
      <c r="BN41">
        <v>71.22</v>
      </c>
      <c r="BO41" s="24">
        <f t="shared" si="16"/>
        <v>71.286666666666662</v>
      </c>
      <c r="BP41" t="s">
        <v>51</v>
      </c>
      <c r="BQ41" t="s">
        <v>51</v>
      </c>
      <c r="BU41" s="35"/>
      <c r="BV41"/>
      <c r="BW41"/>
      <c r="BX41"/>
      <c r="BY41"/>
    </row>
    <row r="42" spans="1:78" x14ac:dyDescent="0.25">
      <c r="A42" s="97" t="s">
        <v>302</v>
      </c>
      <c r="B42" s="97" t="s">
        <v>837</v>
      </c>
      <c r="C42" t="s">
        <v>49</v>
      </c>
      <c r="D42" t="s">
        <v>671</v>
      </c>
      <c r="E42">
        <v>1251</v>
      </c>
      <c r="F42" s="5" t="s">
        <v>838</v>
      </c>
      <c r="G42" s="100">
        <v>42892</v>
      </c>
      <c r="H42" t="s">
        <v>839</v>
      </c>
      <c r="J42" s="147">
        <v>2</v>
      </c>
      <c r="K42" s="10" t="s">
        <v>64</v>
      </c>
      <c r="L42">
        <v>543</v>
      </c>
      <c r="M42">
        <v>96</v>
      </c>
      <c r="N42" s="9">
        <f t="shared" si="9"/>
        <v>447</v>
      </c>
      <c r="O42" s="35">
        <v>184</v>
      </c>
      <c r="P42" s="35">
        <v>184</v>
      </c>
      <c r="Q42" s="35">
        <v>185</v>
      </c>
      <c r="R42" s="24">
        <f t="shared" si="19"/>
        <v>184.33333333333334</v>
      </c>
      <c r="S42" s="35">
        <v>235</v>
      </c>
      <c r="T42" s="35">
        <v>235</v>
      </c>
      <c r="U42" s="35">
        <v>235</v>
      </c>
      <c r="V42" s="24">
        <f t="shared" si="20"/>
        <v>235</v>
      </c>
      <c r="W42" s="36">
        <v>14.82</v>
      </c>
      <c r="X42" s="35">
        <v>14.67</v>
      </c>
      <c r="Y42" s="35">
        <v>14.43</v>
      </c>
      <c r="Z42" s="24">
        <f t="shared" si="21"/>
        <v>14.64</v>
      </c>
      <c r="AA42" s="37">
        <v>30.9</v>
      </c>
      <c r="AB42" s="37">
        <v>31.03</v>
      </c>
      <c r="AC42" s="37">
        <v>31.1</v>
      </c>
      <c r="AD42" s="24">
        <f t="shared" si="22"/>
        <v>31.01</v>
      </c>
      <c r="AE42" s="42">
        <v>40.119999999999997</v>
      </c>
      <c r="AF42" s="42">
        <v>40.28</v>
      </c>
      <c r="AG42" s="42">
        <v>39.93</v>
      </c>
      <c r="AH42" s="24">
        <f t="shared" si="23"/>
        <v>40.110000000000007</v>
      </c>
      <c r="AI42" s="37">
        <v>64.78</v>
      </c>
      <c r="AJ42" s="37">
        <v>64.7</v>
      </c>
      <c r="AK42" s="37">
        <v>64.75</v>
      </c>
      <c r="AL42" s="24">
        <f t="shared" si="13"/>
        <v>64.743333333333339</v>
      </c>
      <c r="AX42" s="10" t="s">
        <v>65</v>
      </c>
      <c r="AY42" s="9">
        <v>8</v>
      </c>
      <c r="AZ42">
        <v>8</v>
      </c>
      <c r="BD42">
        <v>49.85</v>
      </c>
      <c r="BE42">
        <v>49.89</v>
      </c>
      <c r="BF42">
        <v>49.76</v>
      </c>
      <c r="BG42" s="24">
        <f t="shared" si="14"/>
        <v>49.833333333333336</v>
      </c>
      <c r="BH42">
        <v>37.83</v>
      </c>
      <c r="BI42">
        <v>37.74</v>
      </c>
      <c r="BJ42">
        <v>38.07</v>
      </c>
      <c r="BK42" s="24">
        <f t="shared" si="15"/>
        <v>37.879999999999995</v>
      </c>
      <c r="BL42">
        <v>71.08</v>
      </c>
      <c r="BM42">
        <v>71.150000000000006</v>
      </c>
      <c r="BN42">
        <v>70.989999999999995</v>
      </c>
      <c r="BO42" s="24">
        <f t="shared" si="16"/>
        <v>71.073333333333338</v>
      </c>
      <c r="BP42" t="s">
        <v>51</v>
      </c>
      <c r="BQ42" t="s">
        <v>51</v>
      </c>
      <c r="BU42" s="35"/>
      <c r="BV42"/>
      <c r="BW42"/>
      <c r="BX42"/>
      <c r="BY42"/>
    </row>
    <row r="43" spans="1:78" x14ac:dyDescent="0.25">
      <c r="A43" s="97" t="s">
        <v>302</v>
      </c>
      <c r="B43" s="97" t="s">
        <v>840</v>
      </c>
      <c r="C43" t="s">
        <v>49</v>
      </c>
      <c r="D43" t="s">
        <v>671</v>
      </c>
      <c r="E43">
        <v>1219</v>
      </c>
      <c r="F43" s="5" t="s">
        <v>841</v>
      </c>
      <c r="G43" s="100">
        <v>42892</v>
      </c>
      <c r="H43" t="s">
        <v>842</v>
      </c>
      <c r="J43" s="147">
        <v>1</v>
      </c>
      <c r="K43" s="10" t="s">
        <v>64</v>
      </c>
      <c r="L43">
        <v>395</v>
      </c>
      <c r="M43">
        <v>89</v>
      </c>
      <c r="N43" s="9">
        <f t="shared" si="9"/>
        <v>306</v>
      </c>
      <c r="O43" s="35">
        <v>160</v>
      </c>
      <c r="P43" s="35">
        <v>160</v>
      </c>
      <c r="Q43" s="35">
        <v>160</v>
      </c>
      <c r="R43" s="24">
        <f t="shared" si="19"/>
        <v>160</v>
      </c>
      <c r="S43" s="35">
        <v>234</v>
      </c>
      <c r="T43" s="35">
        <v>234</v>
      </c>
      <c r="U43" s="35">
        <v>233</v>
      </c>
      <c r="V43" s="24">
        <f t="shared" si="20"/>
        <v>233.66666666666666</v>
      </c>
      <c r="W43" s="36">
        <v>12.25</v>
      </c>
      <c r="X43" s="35">
        <v>12.32</v>
      </c>
      <c r="Y43" s="35">
        <v>11.87</v>
      </c>
      <c r="Z43" s="24">
        <f t="shared" si="21"/>
        <v>12.146666666666667</v>
      </c>
      <c r="AA43" s="37">
        <v>30.19</v>
      </c>
      <c r="AB43" s="37">
        <v>30.29</v>
      </c>
      <c r="AC43" s="37">
        <v>30.11</v>
      </c>
      <c r="AD43" s="24">
        <f t="shared" si="22"/>
        <v>30.196666666666669</v>
      </c>
      <c r="AE43" s="42">
        <v>40.01</v>
      </c>
      <c r="AF43" s="42">
        <v>40.119999999999997</v>
      </c>
      <c r="AG43" s="42">
        <v>40.18</v>
      </c>
      <c r="AH43" s="24">
        <f t="shared" si="23"/>
        <v>40.103333333333332</v>
      </c>
      <c r="AI43" s="37">
        <v>62.02</v>
      </c>
      <c r="AJ43" s="37">
        <v>62.11</v>
      </c>
      <c r="AK43" s="37">
        <v>61.89</v>
      </c>
      <c r="AL43" s="24">
        <f t="shared" si="13"/>
        <v>62.006666666666661</v>
      </c>
      <c r="AX43" s="10" t="s">
        <v>70</v>
      </c>
      <c r="AY43" s="9">
        <v>8</v>
      </c>
      <c r="AZ43">
        <v>0</v>
      </c>
      <c r="BD43">
        <v>47.99</v>
      </c>
      <c r="BE43">
        <v>47.91</v>
      </c>
      <c r="BF43">
        <v>47.95</v>
      </c>
      <c r="BG43" s="24">
        <f t="shared" si="14"/>
        <v>47.95000000000001</v>
      </c>
      <c r="BH43">
        <v>34.17</v>
      </c>
      <c r="BI43">
        <v>34.11</v>
      </c>
      <c r="BJ43">
        <v>34.35</v>
      </c>
      <c r="BK43" s="24">
        <f t="shared" si="15"/>
        <v>34.21</v>
      </c>
      <c r="BL43">
        <v>64.98</v>
      </c>
      <c r="BM43">
        <v>65.180000000000007</v>
      </c>
      <c r="BN43">
        <v>65.12</v>
      </c>
      <c r="BO43" s="24">
        <f t="shared" si="16"/>
        <v>65.093333333333348</v>
      </c>
      <c r="BP43" t="s">
        <v>51</v>
      </c>
      <c r="BQ43" t="s">
        <v>51</v>
      </c>
    </row>
    <row r="44" spans="1:78" x14ac:dyDescent="0.25">
      <c r="A44" s="97" t="s">
        <v>302</v>
      </c>
      <c r="B44" s="97" t="s">
        <v>851</v>
      </c>
      <c r="C44" t="s">
        <v>49</v>
      </c>
      <c r="D44" t="s">
        <v>671</v>
      </c>
      <c r="E44">
        <v>1220</v>
      </c>
      <c r="F44" s="5" t="s">
        <v>843</v>
      </c>
      <c r="G44" s="100">
        <v>42892</v>
      </c>
      <c r="H44" t="s">
        <v>844</v>
      </c>
      <c r="J44" s="147">
        <v>2</v>
      </c>
      <c r="K44" s="10" t="s">
        <v>64</v>
      </c>
      <c r="L44">
        <v>511</v>
      </c>
      <c r="M44">
        <v>89</v>
      </c>
      <c r="N44" s="9">
        <f t="shared" si="9"/>
        <v>422</v>
      </c>
      <c r="O44" s="35">
        <v>178</v>
      </c>
      <c r="P44" s="35">
        <v>178</v>
      </c>
      <c r="Q44" s="35">
        <v>178</v>
      </c>
      <c r="R44" s="24">
        <f t="shared" si="19"/>
        <v>178</v>
      </c>
      <c r="S44" s="35">
        <v>225</v>
      </c>
      <c r="T44" s="35">
        <v>225</v>
      </c>
      <c r="U44" s="35">
        <v>224</v>
      </c>
      <c r="V44" s="24">
        <f t="shared" si="20"/>
        <v>224.66666666666666</v>
      </c>
      <c r="W44" s="36">
        <v>14.14</v>
      </c>
      <c r="X44" s="35">
        <v>13.96</v>
      </c>
      <c r="Y44" s="35">
        <v>13.75</v>
      </c>
      <c r="Z44" s="24">
        <f t="shared" si="21"/>
        <v>13.950000000000001</v>
      </c>
      <c r="AA44" s="37">
        <v>33.299999999999997</v>
      </c>
      <c r="AB44" s="37">
        <v>33.299999999999997</v>
      </c>
      <c r="AC44" s="37">
        <v>33.26</v>
      </c>
      <c r="AD44" s="24">
        <f t="shared" si="22"/>
        <v>33.286666666666662</v>
      </c>
      <c r="AE44" s="42">
        <v>42.31</v>
      </c>
      <c r="AF44" s="42">
        <v>42.33</v>
      </c>
      <c r="AG44" s="42">
        <v>42.27</v>
      </c>
      <c r="AH44" s="24">
        <f t="shared" si="23"/>
        <v>42.303333333333335</v>
      </c>
      <c r="AI44" s="37">
        <v>66.099999999999994</v>
      </c>
      <c r="AJ44" s="37">
        <v>66.23</v>
      </c>
      <c r="AK44" s="37">
        <v>65.89</v>
      </c>
      <c r="AL44" s="24">
        <f t="shared" ref="AL44:AL75" si="26">AVERAGE(AI44:AK44)</f>
        <v>66.073333333333323</v>
      </c>
      <c r="AX44" s="10" t="s">
        <v>65</v>
      </c>
      <c r="AY44" s="9">
        <v>8</v>
      </c>
      <c r="AZ44">
        <v>8</v>
      </c>
      <c r="BD44">
        <v>51.11</v>
      </c>
      <c r="BE44">
        <v>51.17</v>
      </c>
      <c r="BF44">
        <v>51.15</v>
      </c>
      <c r="BG44" s="24">
        <f t="shared" ref="BG44:BG74" si="27">AVERAGE(BD44:BF44)</f>
        <v>51.143333333333338</v>
      </c>
      <c r="BH44">
        <v>36.799999999999997</v>
      </c>
      <c r="BI44">
        <v>36.520000000000003</v>
      </c>
      <c r="BJ44">
        <v>36.65</v>
      </c>
      <c r="BK44" s="24">
        <f t="shared" ref="BK44:BK74" si="28">AVERAGE(BH44:BJ44)</f>
        <v>36.656666666666666</v>
      </c>
      <c r="BL44">
        <v>67.08</v>
      </c>
      <c r="BM44">
        <v>67.16</v>
      </c>
      <c r="BN44">
        <v>66.98</v>
      </c>
      <c r="BO44" s="24">
        <f t="shared" ref="BO44:BO74" si="29">AVERAGE(BL44:BN44)</f>
        <v>67.073333333333338</v>
      </c>
      <c r="BP44" t="s">
        <v>51</v>
      </c>
      <c r="BQ44" t="s">
        <v>51</v>
      </c>
    </row>
    <row r="45" spans="1:78" x14ac:dyDescent="0.25">
      <c r="A45" s="97" t="s">
        <v>302</v>
      </c>
      <c r="B45" s="97" t="s">
        <v>852</v>
      </c>
      <c r="C45" t="s">
        <v>49</v>
      </c>
      <c r="D45" t="s">
        <v>671</v>
      </c>
      <c r="E45">
        <v>1221</v>
      </c>
      <c r="F45" s="5" t="s">
        <v>845</v>
      </c>
      <c r="G45" s="100">
        <v>42892</v>
      </c>
      <c r="H45" t="s">
        <v>846</v>
      </c>
      <c r="J45" s="147">
        <v>1</v>
      </c>
      <c r="K45" s="10" t="s">
        <v>50</v>
      </c>
      <c r="L45">
        <v>459</v>
      </c>
      <c r="M45">
        <v>89</v>
      </c>
      <c r="N45" s="9">
        <f t="shared" si="9"/>
        <v>370</v>
      </c>
      <c r="O45" s="35">
        <v>189</v>
      </c>
      <c r="P45" s="35">
        <v>189</v>
      </c>
      <c r="Q45" s="35">
        <v>189</v>
      </c>
      <c r="R45" s="24">
        <f t="shared" si="19"/>
        <v>189</v>
      </c>
      <c r="S45" s="35">
        <v>232</v>
      </c>
      <c r="T45" s="35">
        <v>232</v>
      </c>
      <c r="U45" s="35">
        <v>233</v>
      </c>
      <c r="V45" s="24">
        <f t="shared" si="20"/>
        <v>232.33333333333334</v>
      </c>
      <c r="W45" s="36">
        <v>12.11</v>
      </c>
      <c r="X45" s="35">
        <v>12.31</v>
      </c>
      <c r="Y45" s="35">
        <v>12.25</v>
      </c>
      <c r="Z45" s="24">
        <f t="shared" si="21"/>
        <v>12.223333333333334</v>
      </c>
      <c r="AA45" s="37">
        <v>31.87</v>
      </c>
      <c r="AB45" s="37">
        <v>31.39</v>
      </c>
      <c r="AC45" s="37">
        <v>31.57</v>
      </c>
      <c r="AD45" s="24">
        <f t="shared" si="22"/>
        <v>31.610000000000003</v>
      </c>
      <c r="AE45" s="42">
        <v>42.02</v>
      </c>
      <c r="AF45" s="42">
        <v>42.05</v>
      </c>
      <c r="AG45" s="42">
        <v>41.98</v>
      </c>
      <c r="AH45" s="24">
        <f t="shared" si="23"/>
        <v>42.016666666666659</v>
      </c>
      <c r="AI45" s="37">
        <v>63.45</v>
      </c>
      <c r="AJ45" s="37">
        <v>63.66</v>
      </c>
      <c r="AK45" s="37">
        <v>63.56</v>
      </c>
      <c r="AL45" s="24">
        <f t="shared" si="26"/>
        <v>63.556666666666672</v>
      </c>
      <c r="AM45" s="37">
        <v>17.78</v>
      </c>
      <c r="AN45" s="37">
        <v>17.89</v>
      </c>
      <c r="AO45" s="37">
        <v>17.350000000000001</v>
      </c>
      <c r="AQ45" s="37">
        <v>20.260000000000002</v>
      </c>
      <c r="AR45" s="37">
        <v>20.309999999999999</v>
      </c>
      <c r="AS45" s="37">
        <v>20.41</v>
      </c>
      <c r="BD45">
        <v>49.99</v>
      </c>
      <c r="BE45">
        <v>49.93</v>
      </c>
      <c r="BF45">
        <v>50.07</v>
      </c>
      <c r="BG45" s="24">
        <f t="shared" si="27"/>
        <v>49.99666666666667</v>
      </c>
      <c r="BH45">
        <v>36.99</v>
      </c>
      <c r="BI45">
        <v>36.869999999999997</v>
      </c>
      <c r="BJ45">
        <v>36.75</v>
      </c>
      <c r="BK45" s="24">
        <f t="shared" si="28"/>
        <v>36.869999999999997</v>
      </c>
      <c r="BL45">
        <v>68.2</v>
      </c>
      <c r="BM45">
        <v>67.98</v>
      </c>
      <c r="BN45">
        <v>68.040000000000006</v>
      </c>
      <c r="BO45" s="24">
        <f t="shared" si="29"/>
        <v>68.073333333333338</v>
      </c>
      <c r="BP45" t="s">
        <v>51</v>
      </c>
      <c r="BQ45" t="s">
        <v>51</v>
      </c>
    </row>
    <row r="46" spans="1:78" x14ac:dyDescent="0.25">
      <c r="A46" s="97" t="s">
        <v>302</v>
      </c>
      <c r="B46" s="97" t="s">
        <v>853</v>
      </c>
      <c r="C46" t="s">
        <v>49</v>
      </c>
      <c r="D46" t="s">
        <v>671</v>
      </c>
      <c r="E46">
        <v>1222</v>
      </c>
      <c r="F46" s="5" t="s">
        <v>847</v>
      </c>
      <c r="G46" s="100">
        <v>42892</v>
      </c>
      <c r="H46" t="s">
        <v>855</v>
      </c>
      <c r="J46" s="147">
        <v>2</v>
      </c>
      <c r="K46" s="10" t="s">
        <v>64</v>
      </c>
      <c r="L46">
        <v>482</v>
      </c>
      <c r="M46">
        <v>93</v>
      </c>
      <c r="N46" s="9">
        <f t="shared" si="9"/>
        <v>389</v>
      </c>
      <c r="O46" s="35">
        <v>172</v>
      </c>
      <c r="P46" s="35">
        <v>171</v>
      </c>
      <c r="Q46" s="35">
        <v>171</v>
      </c>
      <c r="R46" s="24">
        <f t="shared" si="19"/>
        <v>171.33333333333334</v>
      </c>
      <c r="S46" s="35">
        <v>233</v>
      </c>
      <c r="T46" s="35">
        <v>233</v>
      </c>
      <c r="U46" s="35">
        <v>233</v>
      </c>
      <c r="V46" s="24">
        <f t="shared" si="20"/>
        <v>233</v>
      </c>
      <c r="W46" s="36">
        <v>13.01</v>
      </c>
      <c r="X46" s="35">
        <v>12.99</v>
      </c>
      <c r="Y46" s="35">
        <v>13.16</v>
      </c>
      <c r="Z46" s="24">
        <f t="shared" si="21"/>
        <v>13.053333333333333</v>
      </c>
      <c r="AA46" s="37">
        <v>29.62</v>
      </c>
      <c r="AB46" s="37">
        <v>29.62</v>
      </c>
      <c r="AC46" s="37">
        <v>30.02</v>
      </c>
      <c r="AD46" s="24">
        <f t="shared" si="22"/>
        <v>29.753333333333334</v>
      </c>
      <c r="AE46" s="42">
        <v>39.090000000000003</v>
      </c>
      <c r="AF46" s="42">
        <v>39.21</v>
      </c>
      <c r="AG46" s="42">
        <v>39.33</v>
      </c>
      <c r="AH46" s="24">
        <f t="shared" si="23"/>
        <v>39.21</v>
      </c>
      <c r="AI46" s="37">
        <v>61.28</v>
      </c>
      <c r="AJ46" s="37">
        <v>61.49</v>
      </c>
      <c r="AK46" s="37">
        <v>61.39</v>
      </c>
      <c r="AL46" s="24">
        <f t="shared" si="26"/>
        <v>61.386666666666677</v>
      </c>
      <c r="AX46" s="10" t="s">
        <v>65</v>
      </c>
      <c r="AY46" s="9">
        <v>8</v>
      </c>
      <c r="AZ46">
        <v>7</v>
      </c>
      <c r="BD46">
        <v>48.05</v>
      </c>
      <c r="BE46">
        <v>48.22</v>
      </c>
      <c r="BF46">
        <v>48.1</v>
      </c>
      <c r="BG46" s="24">
        <f t="shared" si="27"/>
        <v>48.123333333333335</v>
      </c>
      <c r="BH46">
        <v>36.130000000000003</v>
      </c>
      <c r="BI46">
        <v>36.22</v>
      </c>
      <c r="BJ46">
        <v>36.299999999999997</v>
      </c>
      <c r="BK46" s="24">
        <f t="shared" si="28"/>
        <v>36.216666666666661</v>
      </c>
      <c r="BL46">
        <v>67.48</v>
      </c>
      <c r="BM46">
        <v>67.59</v>
      </c>
      <c r="BN46">
        <v>67.33</v>
      </c>
      <c r="BO46" s="24">
        <f t="shared" si="29"/>
        <v>67.466666666666654</v>
      </c>
      <c r="BP46" t="s">
        <v>51</v>
      </c>
      <c r="BQ46" t="s">
        <v>51</v>
      </c>
    </row>
    <row r="47" spans="1:78" x14ac:dyDescent="0.25">
      <c r="A47" s="97" t="s">
        <v>302</v>
      </c>
      <c r="B47" s="97" t="s">
        <v>848</v>
      </c>
      <c r="C47" t="s">
        <v>49</v>
      </c>
      <c r="D47" t="s">
        <v>671</v>
      </c>
      <c r="E47">
        <v>1223</v>
      </c>
      <c r="F47" s="5" t="s">
        <v>849</v>
      </c>
      <c r="G47" s="100">
        <v>42892</v>
      </c>
      <c r="H47" t="s">
        <v>850</v>
      </c>
      <c r="J47" s="147">
        <v>1</v>
      </c>
      <c r="K47" s="10" t="s">
        <v>64</v>
      </c>
      <c r="L47">
        <v>440</v>
      </c>
      <c r="M47">
        <v>94</v>
      </c>
      <c r="N47" s="9">
        <f t="shared" si="9"/>
        <v>346</v>
      </c>
      <c r="O47" s="35">
        <v>173</v>
      </c>
      <c r="P47" s="35">
        <v>173</v>
      </c>
      <c r="Q47" s="35">
        <v>173</v>
      </c>
      <c r="R47" s="24">
        <f t="shared" si="19"/>
        <v>173</v>
      </c>
      <c r="S47" s="35">
        <v>244</v>
      </c>
      <c r="T47" s="35">
        <v>244</v>
      </c>
      <c r="U47" s="35">
        <v>244</v>
      </c>
      <c r="V47" s="24">
        <f t="shared" si="20"/>
        <v>244</v>
      </c>
      <c r="W47" s="36">
        <v>12.84</v>
      </c>
      <c r="X47" s="35">
        <v>12.78</v>
      </c>
      <c r="Y47" s="35">
        <v>13</v>
      </c>
      <c r="Z47" s="24">
        <f t="shared" si="21"/>
        <v>12.873333333333333</v>
      </c>
      <c r="AA47" s="37">
        <v>31.78</v>
      </c>
      <c r="AB47" s="37">
        <v>31.96</v>
      </c>
      <c r="AC47" s="37">
        <v>31.82</v>
      </c>
      <c r="AD47" s="24">
        <f t="shared" si="22"/>
        <v>31.853333333333335</v>
      </c>
      <c r="AE47" s="42">
        <v>41.92</v>
      </c>
      <c r="AF47" s="42">
        <v>42.03</v>
      </c>
      <c r="AG47" s="42">
        <v>42.07</v>
      </c>
      <c r="AH47" s="24">
        <f t="shared" si="23"/>
        <v>42.006666666666668</v>
      </c>
      <c r="AI47" s="37">
        <v>64.05</v>
      </c>
      <c r="AJ47" s="37">
        <v>64.09</v>
      </c>
      <c r="AK47" s="37">
        <v>63.99</v>
      </c>
      <c r="AL47" s="24">
        <f t="shared" si="26"/>
        <v>64.043333333333337</v>
      </c>
      <c r="AX47" s="10" t="s">
        <v>70</v>
      </c>
      <c r="AY47" s="9">
        <v>8</v>
      </c>
      <c r="AZ47">
        <v>0</v>
      </c>
      <c r="BD47">
        <v>49.28</v>
      </c>
      <c r="BE47">
        <v>49.6</v>
      </c>
      <c r="BF47">
        <v>49.2</v>
      </c>
      <c r="BG47" s="24">
        <f t="shared" si="27"/>
        <v>49.359999999999992</v>
      </c>
      <c r="BH47">
        <v>34.79</v>
      </c>
      <c r="BI47">
        <v>34.700000000000003</v>
      </c>
      <c r="BJ47">
        <v>34.76</v>
      </c>
      <c r="BK47" s="24">
        <f t="shared" si="28"/>
        <v>34.75</v>
      </c>
      <c r="BL47">
        <v>66.55</v>
      </c>
      <c r="BM47">
        <v>66.72</v>
      </c>
      <c r="BN47">
        <v>66.599999999999994</v>
      </c>
      <c r="BO47" s="24">
        <f t="shared" si="29"/>
        <v>66.623333333333321</v>
      </c>
      <c r="BP47" t="s">
        <v>51</v>
      </c>
      <c r="BQ47" t="s">
        <v>51</v>
      </c>
      <c r="BZ47" t="s">
        <v>854</v>
      </c>
    </row>
    <row r="48" spans="1:78" x14ac:dyDescent="0.25">
      <c r="A48" s="97" t="s">
        <v>302</v>
      </c>
      <c r="B48" s="97" t="s">
        <v>856</v>
      </c>
      <c r="C48" t="s">
        <v>49</v>
      </c>
      <c r="D48" t="s">
        <v>671</v>
      </c>
      <c r="E48">
        <v>1252</v>
      </c>
      <c r="F48" s="5" t="s">
        <v>857</v>
      </c>
      <c r="G48" s="100">
        <v>42893</v>
      </c>
      <c r="H48" t="s">
        <v>858</v>
      </c>
      <c r="J48" s="147">
        <v>1</v>
      </c>
      <c r="K48" s="10" t="s">
        <v>50</v>
      </c>
      <c r="L48">
        <v>599</v>
      </c>
      <c r="M48">
        <v>94</v>
      </c>
      <c r="N48" s="9">
        <f t="shared" si="9"/>
        <v>505</v>
      </c>
      <c r="O48" s="35">
        <v>191</v>
      </c>
      <c r="P48" s="35">
        <v>190</v>
      </c>
      <c r="Q48" s="35">
        <v>190</v>
      </c>
      <c r="R48" s="24">
        <f t="shared" si="19"/>
        <v>190.33333333333334</v>
      </c>
      <c r="S48" s="35">
        <v>263</v>
      </c>
      <c r="T48" s="35">
        <v>263</v>
      </c>
      <c r="U48" s="35">
        <v>263</v>
      </c>
      <c r="V48" s="24">
        <f t="shared" si="20"/>
        <v>263</v>
      </c>
      <c r="W48" s="36">
        <v>15.61</v>
      </c>
      <c r="X48" s="35">
        <v>15.3</v>
      </c>
      <c r="Y48" s="35">
        <v>15.8</v>
      </c>
      <c r="Z48" s="24">
        <f t="shared" si="21"/>
        <v>15.57</v>
      </c>
      <c r="AA48" s="37">
        <v>32.82</v>
      </c>
      <c r="AB48" s="37">
        <v>32.840000000000003</v>
      </c>
      <c r="AC48" s="37">
        <v>32.78</v>
      </c>
      <c r="AD48" s="24">
        <f t="shared" si="22"/>
        <v>32.813333333333333</v>
      </c>
      <c r="AE48" s="42">
        <v>42.56</v>
      </c>
      <c r="AF48" s="42">
        <v>42.42</v>
      </c>
      <c r="AG48" s="42">
        <v>42.47</v>
      </c>
      <c r="AH48" s="24">
        <f t="shared" si="23"/>
        <v>42.483333333333334</v>
      </c>
      <c r="AI48" s="37">
        <v>66.290000000000006</v>
      </c>
      <c r="AJ48" s="37">
        <v>66.13</v>
      </c>
      <c r="AK48" s="37">
        <v>66.150000000000006</v>
      </c>
      <c r="AL48" s="24">
        <f t="shared" si="26"/>
        <v>66.190000000000012</v>
      </c>
      <c r="AM48" s="37">
        <v>17.41</v>
      </c>
      <c r="AN48" s="37">
        <v>16.89</v>
      </c>
      <c r="AO48" s="37">
        <v>17.04</v>
      </c>
      <c r="AQ48" s="37">
        <v>22.73</v>
      </c>
      <c r="AR48" s="37">
        <v>21.89</v>
      </c>
      <c r="AS48" s="37">
        <v>22.44</v>
      </c>
      <c r="BD48">
        <v>53.44</v>
      </c>
      <c r="BE48">
        <v>53.44</v>
      </c>
      <c r="BF48">
        <v>53.48</v>
      </c>
      <c r="BG48" s="24">
        <f t="shared" si="27"/>
        <v>53.453333333333326</v>
      </c>
      <c r="BH48">
        <v>36.36</v>
      </c>
      <c r="BI48">
        <v>36.85</v>
      </c>
      <c r="BJ48">
        <v>36.71</v>
      </c>
      <c r="BK48" s="24">
        <f t="shared" si="28"/>
        <v>36.640000000000008</v>
      </c>
      <c r="BL48">
        <v>72.17</v>
      </c>
      <c r="BM48">
        <v>72.47</v>
      </c>
      <c r="BN48">
        <v>72.150000000000006</v>
      </c>
      <c r="BO48" s="24">
        <f t="shared" si="29"/>
        <v>72.263333333333335</v>
      </c>
      <c r="BP48" t="s">
        <v>51</v>
      </c>
      <c r="BQ48" t="s">
        <v>51</v>
      </c>
    </row>
    <row r="49" spans="1:78" x14ac:dyDescent="0.25">
      <c r="A49" s="97" t="s">
        <v>302</v>
      </c>
      <c r="B49" s="97" t="s">
        <v>859</v>
      </c>
      <c r="C49" t="s">
        <v>49</v>
      </c>
      <c r="D49" t="s">
        <v>671</v>
      </c>
      <c r="E49">
        <v>1253</v>
      </c>
      <c r="F49" s="5" t="s">
        <v>860</v>
      </c>
      <c r="G49" s="100">
        <v>42893</v>
      </c>
      <c r="H49" t="s">
        <v>839</v>
      </c>
      <c r="J49" s="147">
        <v>2</v>
      </c>
      <c r="K49" s="10" t="s">
        <v>64</v>
      </c>
      <c r="L49">
        <v>473</v>
      </c>
      <c r="M49">
        <v>95</v>
      </c>
      <c r="N49" s="9">
        <f t="shared" si="9"/>
        <v>378</v>
      </c>
      <c r="O49" s="35">
        <v>167</v>
      </c>
      <c r="P49" s="35">
        <v>167</v>
      </c>
      <c r="Q49" s="35">
        <v>168</v>
      </c>
      <c r="R49" s="24">
        <f t="shared" si="19"/>
        <v>167.33333333333334</v>
      </c>
      <c r="S49" s="35">
        <v>206</v>
      </c>
      <c r="T49" s="35">
        <v>205</v>
      </c>
      <c r="U49" s="35">
        <v>205</v>
      </c>
      <c r="V49" s="24">
        <f t="shared" si="20"/>
        <v>205.33333333333334</v>
      </c>
      <c r="W49" s="36">
        <v>12.69</v>
      </c>
      <c r="X49" s="35">
        <v>12.2</v>
      </c>
      <c r="Y49" s="35">
        <v>12.1</v>
      </c>
      <c r="Z49" s="24">
        <f t="shared" si="21"/>
        <v>12.33</v>
      </c>
      <c r="AA49" s="37">
        <v>31.72</v>
      </c>
      <c r="AB49" s="37">
        <v>31.75</v>
      </c>
      <c r="AC49" s="37">
        <v>31.74</v>
      </c>
      <c r="AD49" s="24">
        <f t="shared" si="22"/>
        <v>31.736666666666665</v>
      </c>
      <c r="AE49" s="42">
        <v>41.21</v>
      </c>
      <c r="AF49" s="42">
        <v>41.22</v>
      </c>
      <c r="AG49" s="42">
        <v>41.13</v>
      </c>
      <c r="AH49" s="24">
        <f t="shared" si="23"/>
        <v>41.186666666666667</v>
      </c>
      <c r="AI49" s="37">
        <v>64.78</v>
      </c>
      <c r="AJ49" s="37">
        <v>64.7</v>
      </c>
      <c r="AK49" s="37">
        <v>64.97</v>
      </c>
      <c r="AL49" s="24">
        <f t="shared" si="26"/>
        <v>64.816666666666677</v>
      </c>
      <c r="AX49" s="10" t="s">
        <v>65</v>
      </c>
      <c r="AY49" s="9">
        <v>8</v>
      </c>
      <c r="AZ49">
        <v>5</v>
      </c>
      <c r="BD49">
        <v>51.66</v>
      </c>
      <c r="BE49">
        <v>51.84</v>
      </c>
      <c r="BF49">
        <v>51.79</v>
      </c>
      <c r="BG49" s="24">
        <f t="shared" si="27"/>
        <v>51.763333333333328</v>
      </c>
      <c r="BH49">
        <v>35.74</v>
      </c>
      <c r="BI49">
        <v>35.85</v>
      </c>
      <c r="BJ49">
        <v>35.78</v>
      </c>
      <c r="BK49" s="24">
        <f t="shared" si="28"/>
        <v>35.79</v>
      </c>
      <c r="BL49">
        <v>70.48</v>
      </c>
      <c r="BM49">
        <v>70.540000000000006</v>
      </c>
      <c r="BN49">
        <v>70.42</v>
      </c>
      <c r="BO49" s="24">
        <f t="shared" si="29"/>
        <v>70.48</v>
      </c>
      <c r="BP49" t="s">
        <v>51</v>
      </c>
      <c r="BQ49" t="s">
        <v>51</v>
      </c>
    </row>
    <row r="50" spans="1:78" x14ac:dyDescent="0.25">
      <c r="A50" s="97" t="s">
        <v>302</v>
      </c>
      <c r="B50" s="97" t="s">
        <v>861</v>
      </c>
      <c r="C50" t="s">
        <v>49</v>
      </c>
      <c r="D50" t="s">
        <v>671</v>
      </c>
      <c r="E50">
        <v>1254</v>
      </c>
      <c r="F50" s="5">
        <v>7355356</v>
      </c>
      <c r="G50" s="100">
        <v>42893</v>
      </c>
      <c r="H50" t="s">
        <v>862</v>
      </c>
      <c r="J50" s="151">
        <v>1</v>
      </c>
      <c r="K50" s="138" t="s">
        <v>50</v>
      </c>
      <c r="L50">
        <v>612</v>
      </c>
      <c r="M50">
        <v>97</v>
      </c>
      <c r="N50" s="136">
        <f t="shared" si="9"/>
        <v>515</v>
      </c>
      <c r="O50" s="35">
        <v>189</v>
      </c>
      <c r="P50" s="35">
        <v>190</v>
      </c>
      <c r="Q50" s="35">
        <v>190</v>
      </c>
      <c r="R50" s="139">
        <f t="shared" si="19"/>
        <v>189.66666666666666</v>
      </c>
      <c r="S50" s="35">
        <v>242</v>
      </c>
      <c r="T50" s="35">
        <v>242</v>
      </c>
      <c r="U50" s="35">
        <v>242</v>
      </c>
      <c r="V50" s="139">
        <f t="shared" si="20"/>
        <v>242</v>
      </c>
      <c r="W50" s="36">
        <v>14.35</v>
      </c>
      <c r="X50" s="35">
        <v>14.61</v>
      </c>
      <c r="Y50" s="35">
        <v>14.95</v>
      </c>
      <c r="Z50" s="9">
        <f t="shared" si="21"/>
        <v>14.636666666666665</v>
      </c>
      <c r="AA50" s="37">
        <v>33.58</v>
      </c>
      <c r="AB50" s="37">
        <v>33.53</v>
      </c>
      <c r="AC50" s="37">
        <v>33.880000000000003</v>
      </c>
      <c r="AD50" s="9">
        <f t="shared" si="22"/>
        <v>33.663333333333334</v>
      </c>
      <c r="AE50" s="37">
        <v>42.8</v>
      </c>
      <c r="AF50" s="37">
        <v>42.93</v>
      </c>
      <c r="AG50" s="37">
        <v>42.79</v>
      </c>
      <c r="AH50" s="9">
        <f t="shared" si="23"/>
        <v>42.839999999999996</v>
      </c>
      <c r="AI50" s="37">
        <v>67.819999999999993</v>
      </c>
      <c r="AJ50" s="37">
        <v>67.849999999999994</v>
      </c>
      <c r="AK50" s="37">
        <v>67.930000000000007</v>
      </c>
      <c r="AL50" s="139">
        <f t="shared" si="26"/>
        <v>67.86666666666666</v>
      </c>
      <c r="AM50" s="37">
        <v>16.89</v>
      </c>
      <c r="AN50" s="37">
        <v>16.87</v>
      </c>
      <c r="AO50" s="37">
        <v>16.48</v>
      </c>
      <c r="AQ50" s="37">
        <v>23.44</v>
      </c>
      <c r="AR50" s="37">
        <v>22.92</v>
      </c>
      <c r="AS50" s="37">
        <v>23.16</v>
      </c>
      <c r="AU50" s="9"/>
      <c r="BB50"/>
      <c r="BD50">
        <v>52.4</v>
      </c>
      <c r="BE50">
        <v>52.46</v>
      </c>
      <c r="BF50">
        <v>52.3</v>
      </c>
      <c r="BG50" s="139">
        <f t="shared" si="27"/>
        <v>52.386666666666663</v>
      </c>
      <c r="BH50">
        <v>38.909999999999997</v>
      </c>
      <c r="BI50">
        <v>38.869999999999997</v>
      </c>
      <c r="BJ50">
        <v>38.85</v>
      </c>
      <c r="BK50" s="139">
        <f t="shared" si="28"/>
        <v>38.876666666666665</v>
      </c>
      <c r="BL50">
        <v>72</v>
      </c>
      <c r="BM50">
        <v>72.09</v>
      </c>
      <c r="BN50">
        <v>72.2</v>
      </c>
      <c r="BO50" s="139">
        <f t="shared" si="29"/>
        <v>72.096666666666678</v>
      </c>
      <c r="BP50" t="s">
        <v>51</v>
      </c>
      <c r="BQ50" t="s">
        <v>51</v>
      </c>
      <c r="BT50"/>
      <c r="BU50"/>
      <c r="BV50"/>
      <c r="BW50"/>
      <c r="BX50"/>
      <c r="BY50"/>
    </row>
    <row r="51" spans="1:78" x14ac:dyDescent="0.25">
      <c r="A51" s="97" t="s">
        <v>302</v>
      </c>
      <c r="B51" s="97" t="s">
        <v>864</v>
      </c>
      <c r="C51" t="s">
        <v>49</v>
      </c>
      <c r="D51" t="s">
        <v>671</v>
      </c>
      <c r="E51">
        <v>1255</v>
      </c>
      <c r="F51" s="5">
        <v>7356641</v>
      </c>
      <c r="G51" s="100">
        <v>42894</v>
      </c>
      <c r="H51" t="s">
        <v>865</v>
      </c>
      <c r="J51" s="151">
        <v>2</v>
      </c>
      <c r="K51" s="138" t="s">
        <v>64</v>
      </c>
      <c r="L51">
        <v>371</v>
      </c>
      <c r="M51">
        <v>92</v>
      </c>
      <c r="N51" s="136">
        <f t="shared" si="9"/>
        <v>279</v>
      </c>
      <c r="O51" s="35">
        <v>148</v>
      </c>
      <c r="P51" s="35">
        <v>149</v>
      </c>
      <c r="Q51" s="35">
        <v>149</v>
      </c>
      <c r="R51" s="139">
        <f t="shared" si="19"/>
        <v>148.66666666666666</v>
      </c>
      <c r="S51" s="35">
        <v>215</v>
      </c>
      <c r="T51" s="35">
        <v>216</v>
      </c>
      <c r="U51" s="35">
        <v>216</v>
      </c>
      <c r="V51" s="139">
        <f t="shared" si="20"/>
        <v>215.66666666666666</v>
      </c>
      <c r="W51" s="36">
        <v>11.49</v>
      </c>
      <c r="X51" s="35">
        <v>11.54</v>
      </c>
      <c r="Y51" s="35">
        <v>11.66</v>
      </c>
      <c r="Z51" s="9">
        <f t="shared" si="21"/>
        <v>11.563333333333333</v>
      </c>
      <c r="AA51" s="37">
        <v>28.13</v>
      </c>
      <c r="AB51" s="37">
        <v>28.19</v>
      </c>
      <c r="AC51" s="37">
        <v>28.17</v>
      </c>
      <c r="AD51" s="9">
        <f t="shared" si="22"/>
        <v>28.163333333333338</v>
      </c>
      <c r="AE51" s="37">
        <v>37.31</v>
      </c>
      <c r="AF51" s="37">
        <v>37.19</v>
      </c>
      <c r="AG51" s="37">
        <v>37.18</v>
      </c>
      <c r="AH51" s="9">
        <f t="shared" si="23"/>
        <v>37.226666666666667</v>
      </c>
      <c r="AI51" s="37">
        <v>57</v>
      </c>
      <c r="AJ51" s="37">
        <v>57.13</v>
      </c>
      <c r="AK51" s="37">
        <v>57.2</v>
      </c>
      <c r="AL51" s="139">
        <f t="shared" si="26"/>
        <v>57.109999999999992</v>
      </c>
      <c r="AM51"/>
      <c r="AN51"/>
      <c r="AO51"/>
      <c r="AQ51"/>
      <c r="AR51"/>
      <c r="AS51"/>
      <c r="AU51" s="9"/>
      <c r="AX51" s="10" t="s">
        <v>65</v>
      </c>
      <c r="AY51" s="9">
        <v>8</v>
      </c>
      <c r="AZ51">
        <v>7</v>
      </c>
      <c r="BB51"/>
      <c r="BD51">
        <v>45.69</v>
      </c>
      <c r="BE51">
        <v>45.81</v>
      </c>
      <c r="BF51">
        <v>45.79</v>
      </c>
      <c r="BG51" s="139">
        <f t="shared" si="27"/>
        <v>45.763333333333328</v>
      </c>
      <c r="BH51">
        <v>34.85</v>
      </c>
      <c r="BI51">
        <v>34.85</v>
      </c>
      <c r="BJ51">
        <v>34.85</v>
      </c>
      <c r="BK51" s="139">
        <f t="shared" si="28"/>
        <v>34.85</v>
      </c>
      <c r="BL51">
        <v>65.58</v>
      </c>
      <c r="BM51">
        <v>65.8</v>
      </c>
      <c r="BN51">
        <v>65.680000000000007</v>
      </c>
      <c r="BO51" s="139">
        <f t="shared" si="29"/>
        <v>65.686666666666667</v>
      </c>
      <c r="BP51" t="s">
        <v>51</v>
      </c>
      <c r="BQ51" t="s">
        <v>51</v>
      </c>
      <c r="BT51"/>
      <c r="BU51"/>
      <c r="BV51"/>
      <c r="BW51"/>
      <c r="BX51"/>
      <c r="BY51"/>
    </row>
    <row r="52" spans="1:78" x14ac:dyDescent="0.25">
      <c r="A52" s="97" t="s">
        <v>302</v>
      </c>
      <c r="B52" s="97" t="s">
        <v>869</v>
      </c>
      <c r="C52" t="s">
        <v>49</v>
      </c>
      <c r="D52" t="s">
        <v>671</v>
      </c>
      <c r="E52">
        <v>1256</v>
      </c>
      <c r="F52" s="5" t="s">
        <v>873</v>
      </c>
      <c r="G52" s="100">
        <v>42895</v>
      </c>
      <c r="H52" t="s">
        <v>870</v>
      </c>
      <c r="J52" s="151">
        <v>1</v>
      </c>
      <c r="K52" s="10" t="s">
        <v>64</v>
      </c>
      <c r="L52">
        <v>313</v>
      </c>
      <c r="M52">
        <v>95</v>
      </c>
      <c r="N52" s="9">
        <f t="shared" si="9"/>
        <v>218</v>
      </c>
      <c r="O52" s="35">
        <v>140</v>
      </c>
      <c r="P52" s="35">
        <v>139</v>
      </c>
      <c r="Q52" s="35">
        <v>139</v>
      </c>
      <c r="R52" s="9">
        <f t="shared" si="19"/>
        <v>139.33333333333334</v>
      </c>
      <c r="S52" s="35">
        <v>202</v>
      </c>
      <c r="T52" s="35">
        <v>203</v>
      </c>
      <c r="U52" s="35">
        <v>203</v>
      </c>
      <c r="V52" s="9">
        <f t="shared" si="20"/>
        <v>202.66666666666666</v>
      </c>
      <c r="W52" s="36">
        <v>11.17</v>
      </c>
      <c r="X52" s="35">
        <v>11.44</v>
      </c>
      <c r="Y52" s="35">
        <v>11.23</v>
      </c>
      <c r="Z52" s="9">
        <f t="shared" si="21"/>
        <v>11.280000000000001</v>
      </c>
      <c r="AA52" s="37">
        <v>27.54</v>
      </c>
      <c r="AB52" s="37">
        <v>27.11</v>
      </c>
      <c r="AC52" s="37">
        <v>27.19</v>
      </c>
      <c r="AD52" s="9">
        <f t="shared" si="22"/>
        <v>27.28</v>
      </c>
      <c r="AE52" s="37">
        <v>36.71</v>
      </c>
      <c r="AF52" s="37">
        <v>36.4</v>
      </c>
      <c r="AG52" s="37">
        <v>36.39</v>
      </c>
      <c r="AH52" s="9">
        <f t="shared" si="23"/>
        <v>36.5</v>
      </c>
      <c r="AI52" s="37">
        <v>54.53</v>
      </c>
      <c r="AJ52" s="37">
        <v>54.26</v>
      </c>
      <c r="AK52" s="37">
        <v>54.71</v>
      </c>
      <c r="AL52" s="9">
        <f t="shared" si="26"/>
        <v>54.5</v>
      </c>
      <c r="AM52"/>
      <c r="AN52"/>
      <c r="AO52"/>
      <c r="AQ52"/>
      <c r="AR52"/>
      <c r="AS52"/>
      <c r="AU52" s="9"/>
      <c r="AX52" s="10" t="s">
        <v>70</v>
      </c>
      <c r="AY52" s="9">
        <v>8</v>
      </c>
      <c r="AZ52">
        <v>0</v>
      </c>
      <c r="BB52"/>
      <c r="BD52">
        <v>41.9</v>
      </c>
      <c r="BE52">
        <v>41.81</v>
      </c>
      <c r="BF52">
        <v>41.89</v>
      </c>
      <c r="BG52" s="139">
        <f t="shared" si="27"/>
        <v>41.866666666666667</v>
      </c>
      <c r="BH52">
        <v>32.619999999999997</v>
      </c>
      <c r="BI52">
        <v>32.71</v>
      </c>
      <c r="BJ52">
        <v>32.590000000000003</v>
      </c>
      <c r="BK52" s="139">
        <f t="shared" si="28"/>
        <v>32.64</v>
      </c>
      <c r="BL52">
        <v>59.35</v>
      </c>
      <c r="BM52">
        <v>59.38</v>
      </c>
      <c r="BN52">
        <v>59.92</v>
      </c>
      <c r="BO52" s="139">
        <f t="shared" si="29"/>
        <v>59.550000000000004</v>
      </c>
      <c r="BP52" t="s">
        <v>51</v>
      </c>
      <c r="BQ52" t="s">
        <v>51</v>
      </c>
      <c r="BT52"/>
      <c r="BU52"/>
      <c r="BV52"/>
      <c r="BW52"/>
      <c r="BX52"/>
      <c r="BY52"/>
    </row>
    <row r="53" spans="1:78" x14ac:dyDescent="0.25">
      <c r="A53" s="97" t="s">
        <v>302</v>
      </c>
      <c r="B53" s="97" t="s">
        <v>871</v>
      </c>
      <c r="C53" t="s">
        <v>49</v>
      </c>
      <c r="D53" t="s">
        <v>671</v>
      </c>
      <c r="E53">
        <v>1257</v>
      </c>
      <c r="F53" s="5" t="s">
        <v>874</v>
      </c>
      <c r="G53" s="100">
        <v>42895</v>
      </c>
      <c r="H53" t="s">
        <v>872</v>
      </c>
      <c r="J53" s="151">
        <v>1</v>
      </c>
      <c r="K53" s="10" t="s">
        <v>50</v>
      </c>
      <c r="L53">
        <v>609</v>
      </c>
      <c r="M53">
        <v>94</v>
      </c>
      <c r="N53" s="9">
        <f t="shared" si="9"/>
        <v>515</v>
      </c>
      <c r="O53" s="35">
        <v>184</v>
      </c>
      <c r="P53" s="35">
        <v>184</v>
      </c>
      <c r="Q53" s="35">
        <v>185</v>
      </c>
      <c r="R53" s="9">
        <f t="shared" si="19"/>
        <v>184.33333333333334</v>
      </c>
      <c r="S53" s="35">
        <v>265</v>
      </c>
      <c r="T53" s="35">
        <v>265</v>
      </c>
      <c r="U53" s="35">
        <v>264</v>
      </c>
      <c r="V53" s="9">
        <f t="shared" si="20"/>
        <v>264.66666666666669</v>
      </c>
      <c r="W53" s="36">
        <v>26.06</v>
      </c>
      <c r="X53" s="35">
        <v>16.010000000000002</v>
      </c>
      <c r="Y53" s="35">
        <v>16.239999999999998</v>
      </c>
      <c r="Z53" s="9">
        <f t="shared" si="21"/>
        <v>19.436666666666667</v>
      </c>
      <c r="AA53" s="37">
        <v>34.57</v>
      </c>
      <c r="AB53" s="37">
        <v>34.32</v>
      </c>
      <c r="AC53" s="37">
        <v>34.22</v>
      </c>
      <c r="AD53" s="9">
        <f t="shared" si="22"/>
        <v>34.369999999999997</v>
      </c>
      <c r="AE53" s="37">
        <v>45.06</v>
      </c>
      <c r="AF53" s="37">
        <v>45.04</v>
      </c>
      <c r="AG53" s="37">
        <v>45.21</v>
      </c>
      <c r="AH53" s="9">
        <f t="shared" si="23"/>
        <v>45.103333333333332</v>
      </c>
      <c r="AI53" s="37">
        <v>68.38</v>
      </c>
      <c r="AJ53" s="37">
        <v>68.39</v>
      </c>
      <c r="AK53" s="37">
        <v>68.61</v>
      </c>
      <c r="AL53" s="9">
        <f t="shared" si="26"/>
        <v>68.459999999999994</v>
      </c>
      <c r="AM53" s="37">
        <v>18.89</v>
      </c>
      <c r="AN53" s="37">
        <v>18.75</v>
      </c>
      <c r="AO53" s="37">
        <v>17.7</v>
      </c>
      <c r="AQ53" s="37">
        <v>23.27</v>
      </c>
      <c r="AR53" s="37">
        <v>23.65</v>
      </c>
      <c r="AS53" s="37">
        <v>23.02</v>
      </c>
      <c r="AU53" s="9"/>
      <c r="BB53"/>
      <c r="BD53">
        <v>55.56</v>
      </c>
      <c r="BE53">
        <v>55.5</v>
      </c>
      <c r="BF53">
        <v>55.49</v>
      </c>
      <c r="BG53" s="139">
        <f t="shared" si="27"/>
        <v>55.516666666666673</v>
      </c>
      <c r="BH53">
        <v>38.71</v>
      </c>
      <c r="BI53">
        <v>38.799999999999997</v>
      </c>
      <c r="BJ53">
        <v>38.619999999999997</v>
      </c>
      <c r="BK53" s="139">
        <f t="shared" si="28"/>
        <v>38.71</v>
      </c>
      <c r="BL53">
        <v>72.849999999999994</v>
      </c>
      <c r="BM53">
        <v>72.989999999999995</v>
      </c>
      <c r="BN53">
        <v>72.709999999999994</v>
      </c>
      <c r="BO53" s="139">
        <f t="shared" si="29"/>
        <v>72.84999999999998</v>
      </c>
      <c r="BP53" t="s">
        <v>51</v>
      </c>
      <c r="BQ53" t="s">
        <v>51</v>
      </c>
      <c r="BT53"/>
      <c r="BU53"/>
      <c r="BV53"/>
      <c r="BW53"/>
      <c r="BX53"/>
      <c r="BY53"/>
    </row>
    <row r="54" spans="1:78" x14ac:dyDescent="0.25">
      <c r="A54" s="97" t="s">
        <v>302</v>
      </c>
      <c r="B54" s="97" t="s">
        <v>875</v>
      </c>
      <c r="C54" t="s">
        <v>49</v>
      </c>
      <c r="D54" t="s">
        <v>671</v>
      </c>
      <c r="E54">
        <v>1258</v>
      </c>
      <c r="F54" s="5" t="s">
        <v>877</v>
      </c>
      <c r="G54" s="100">
        <v>42895</v>
      </c>
      <c r="H54" t="s">
        <v>876</v>
      </c>
      <c r="J54" s="151">
        <v>1</v>
      </c>
      <c r="K54" s="10" t="s">
        <v>64</v>
      </c>
      <c r="L54">
        <v>382</v>
      </c>
      <c r="M54">
        <v>95</v>
      </c>
      <c r="N54" s="9">
        <f t="shared" si="9"/>
        <v>287</v>
      </c>
      <c r="O54" s="35">
        <v>161</v>
      </c>
      <c r="P54" s="35">
        <v>160</v>
      </c>
      <c r="Q54" s="35">
        <v>161</v>
      </c>
      <c r="R54" s="9">
        <f t="shared" si="19"/>
        <v>160.66666666666666</v>
      </c>
      <c r="S54" s="35">
        <v>210</v>
      </c>
      <c r="T54" s="35">
        <v>211</v>
      </c>
      <c r="U54" s="35">
        <v>210</v>
      </c>
      <c r="V54" s="9">
        <f t="shared" si="20"/>
        <v>210.33333333333334</v>
      </c>
      <c r="W54" s="36">
        <v>11.78</v>
      </c>
      <c r="X54" s="35">
        <v>11.74</v>
      </c>
      <c r="Y54" s="35">
        <v>11.9</v>
      </c>
      <c r="Z54" s="9">
        <f t="shared" si="21"/>
        <v>11.806666666666667</v>
      </c>
      <c r="AA54" s="37">
        <v>29.16</v>
      </c>
      <c r="AB54" s="37">
        <v>29.28</v>
      </c>
      <c r="AC54" s="37">
        <v>29.43</v>
      </c>
      <c r="AD54" s="9">
        <f t="shared" si="22"/>
        <v>29.290000000000003</v>
      </c>
      <c r="AE54" s="37">
        <v>37.71</v>
      </c>
      <c r="AF54" s="37">
        <v>37.369999999999997</v>
      </c>
      <c r="AG54" s="37">
        <v>37.69</v>
      </c>
      <c r="AH54" s="9">
        <f t="shared" si="23"/>
        <v>37.589999999999996</v>
      </c>
      <c r="AI54" s="37">
        <v>57.48</v>
      </c>
      <c r="AJ54" s="37">
        <v>57.44</v>
      </c>
      <c r="AK54" s="37">
        <v>57.45</v>
      </c>
      <c r="AL54" s="9">
        <f t="shared" si="26"/>
        <v>57.456666666666671</v>
      </c>
      <c r="AM54"/>
      <c r="AN54"/>
      <c r="AO54"/>
      <c r="AQ54"/>
      <c r="AR54"/>
      <c r="AS54"/>
      <c r="AU54" s="9"/>
      <c r="AX54" s="10" t="s">
        <v>70</v>
      </c>
      <c r="AY54" s="9">
        <v>8</v>
      </c>
      <c r="AZ54">
        <v>0</v>
      </c>
      <c r="BB54"/>
      <c r="BD54">
        <v>44.33</v>
      </c>
      <c r="BE54">
        <v>44.49</v>
      </c>
      <c r="BF54">
        <v>44.35</v>
      </c>
      <c r="BG54" s="139">
        <f t="shared" si="27"/>
        <v>44.389999999999993</v>
      </c>
      <c r="BH54">
        <v>33.6</v>
      </c>
      <c r="BI54">
        <v>33.92</v>
      </c>
      <c r="BJ54">
        <v>33.49</v>
      </c>
      <c r="BK54" s="139">
        <f t="shared" si="28"/>
        <v>33.670000000000009</v>
      </c>
      <c r="BL54">
        <v>64.819999999999993</v>
      </c>
      <c r="BM54">
        <v>64.97</v>
      </c>
      <c r="BN54">
        <v>65.11</v>
      </c>
      <c r="BO54" s="139">
        <f t="shared" si="29"/>
        <v>64.966666666666654</v>
      </c>
      <c r="BP54" t="s">
        <v>51</v>
      </c>
      <c r="BQ54" t="s">
        <v>51</v>
      </c>
      <c r="BT54"/>
      <c r="BU54"/>
      <c r="BV54"/>
      <c r="BW54"/>
      <c r="BX54"/>
      <c r="BY54"/>
    </row>
    <row r="55" spans="1:78" x14ac:dyDescent="0.25">
      <c r="A55" s="97" t="s">
        <v>302</v>
      </c>
      <c r="B55" s="97" t="s">
        <v>879</v>
      </c>
      <c r="C55" t="s">
        <v>49</v>
      </c>
      <c r="D55" t="s">
        <v>671</v>
      </c>
      <c r="E55">
        <v>1259</v>
      </c>
      <c r="F55" s="5" t="s">
        <v>878</v>
      </c>
      <c r="G55" s="100">
        <v>42895</v>
      </c>
      <c r="H55" t="s">
        <v>880</v>
      </c>
      <c r="J55" s="151">
        <v>1</v>
      </c>
      <c r="K55" s="10" t="s">
        <v>64</v>
      </c>
      <c r="L55">
        <v>393</v>
      </c>
      <c r="M55">
        <v>93</v>
      </c>
      <c r="N55" s="9">
        <f t="shared" ref="N55:N80" si="30">L55-M55</f>
        <v>300</v>
      </c>
      <c r="O55" s="35">
        <v>162</v>
      </c>
      <c r="P55" s="35">
        <v>161</v>
      </c>
      <c r="Q55" s="35">
        <v>162</v>
      </c>
      <c r="R55" s="9">
        <f t="shared" si="19"/>
        <v>161.66666666666666</v>
      </c>
      <c r="S55" s="35">
        <v>235</v>
      </c>
      <c r="T55" s="35">
        <v>235</v>
      </c>
      <c r="U55" s="35">
        <v>235</v>
      </c>
      <c r="V55" s="9">
        <f t="shared" si="20"/>
        <v>235</v>
      </c>
      <c r="W55" s="36">
        <v>13.47</v>
      </c>
      <c r="X55" s="35">
        <v>13.27</v>
      </c>
      <c r="Y55" s="35">
        <v>13.25</v>
      </c>
      <c r="Z55" s="9">
        <f t="shared" si="21"/>
        <v>13.33</v>
      </c>
      <c r="AA55" s="37">
        <v>30.82</v>
      </c>
      <c r="AB55" s="37">
        <v>30.85</v>
      </c>
      <c r="AC55" s="37">
        <v>30.55</v>
      </c>
      <c r="AD55" s="9">
        <f t="shared" si="22"/>
        <v>30.74</v>
      </c>
      <c r="AE55" s="37">
        <v>37.19</v>
      </c>
      <c r="AF55" s="37">
        <v>37.200000000000003</v>
      </c>
      <c r="AG55" s="37">
        <v>37.15</v>
      </c>
      <c r="AH55" s="9">
        <f t="shared" si="23"/>
        <v>37.18</v>
      </c>
      <c r="AI55" s="37">
        <v>59.43</v>
      </c>
      <c r="AJ55" s="37">
        <v>59.61</v>
      </c>
      <c r="AK55" s="37">
        <v>59.56</v>
      </c>
      <c r="AL55" s="9">
        <f t="shared" si="26"/>
        <v>59.533333333333331</v>
      </c>
      <c r="AM55" s="37"/>
      <c r="AN55" s="37"/>
      <c r="AO55" s="37"/>
      <c r="AQ55"/>
      <c r="AR55"/>
      <c r="AS55"/>
      <c r="AU55" s="9"/>
      <c r="AX55" s="10" t="s">
        <v>70</v>
      </c>
      <c r="AY55" s="9">
        <v>8</v>
      </c>
      <c r="AZ55">
        <v>0</v>
      </c>
      <c r="BB55"/>
      <c r="BD55">
        <v>46.52</v>
      </c>
      <c r="BE55">
        <v>46.35</v>
      </c>
      <c r="BF55">
        <v>46.36</v>
      </c>
      <c r="BG55" s="139">
        <f t="shared" si="27"/>
        <v>46.410000000000004</v>
      </c>
      <c r="BH55">
        <v>34.33</v>
      </c>
      <c r="BI55">
        <v>34.159999999999997</v>
      </c>
      <c r="BJ55">
        <v>34.229999999999997</v>
      </c>
      <c r="BK55" s="139">
        <f t="shared" si="28"/>
        <v>34.24</v>
      </c>
      <c r="BL55">
        <v>63.54</v>
      </c>
      <c r="BM55">
        <v>63.62</v>
      </c>
      <c r="BN55">
        <v>63.42</v>
      </c>
      <c r="BO55" s="139">
        <f t="shared" si="29"/>
        <v>63.526666666666664</v>
      </c>
      <c r="BP55" t="s">
        <v>51</v>
      </c>
      <c r="BQ55" t="s">
        <v>51</v>
      </c>
      <c r="BT55"/>
      <c r="BU55"/>
      <c r="BV55"/>
      <c r="BW55"/>
      <c r="BX55"/>
      <c r="BY55"/>
      <c r="BZ55" t="s">
        <v>888</v>
      </c>
    </row>
    <row r="56" spans="1:78" x14ac:dyDescent="0.25">
      <c r="A56" s="97" t="s">
        <v>302</v>
      </c>
      <c r="B56" s="97" t="s">
        <v>884</v>
      </c>
      <c r="C56" t="s">
        <v>49</v>
      </c>
      <c r="D56" t="s">
        <v>671</v>
      </c>
      <c r="E56">
        <v>1260</v>
      </c>
      <c r="F56" s="5" t="s">
        <v>881</v>
      </c>
      <c r="G56" s="100">
        <v>42895</v>
      </c>
      <c r="H56" t="s">
        <v>882</v>
      </c>
      <c r="J56" s="151">
        <v>1</v>
      </c>
      <c r="K56" s="10" t="s">
        <v>50</v>
      </c>
      <c r="L56">
        <v>757</v>
      </c>
      <c r="M56">
        <v>93</v>
      </c>
      <c r="N56" s="9">
        <f t="shared" si="30"/>
        <v>664</v>
      </c>
      <c r="O56" s="35">
        <v>203</v>
      </c>
      <c r="P56" s="35">
        <v>203</v>
      </c>
      <c r="Q56" s="35">
        <v>202</v>
      </c>
      <c r="R56" s="9">
        <f t="shared" si="19"/>
        <v>202.66666666666666</v>
      </c>
      <c r="S56" s="35">
        <v>278</v>
      </c>
      <c r="T56" s="35">
        <v>278</v>
      </c>
      <c r="U56" s="35">
        <v>278</v>
      </c>
      <c r="V56" s="9">
        <f t="shared" si="20"/>
        <v>278</v>
      </c>
      <c r="W56" s="36">
        <v>15.93</v>
      </c>
      <c r="X56" s="35">
        <v>15.91</v>
      </c>
      <c r="Y56" s="35">
        <v>15.76</v>
      </c>
      <c r="Z56" s="9">
        <f t="shared" si="21"/>
        <v>15.866666666666667</v>
      </c>
      <c r="AA56" s="37">
        <v>37.01</v>
      </c>
      <c r="AB56" s="37">
        <v>37.08</v>
      </c>
      <c r="AC56" s="37">
        <v>37.1</v>
      </c>
      <c r="AD56" s="9">
        <f t="shared" si="22"/>
        <v>37.063333333333333</v>
      </c>
      <c r="AE56" s="37">
        <v>46.07</v>
      </c>
      <c r="AF56" s="37">
        <v>46.25</v>
      </c>
      <c r="AG56" s="37">
        <v>46.27</v>
      </c>
      <c r="AH56" s="9">
        <f t="shared" si="23"/>
        <v>46.196666666666665</v>
      </c>
      <c r="AI56" s="37">
        <v>74.06</v>
      </c>
      <c r="AJ56" s="37">
        <v>74.489999999999995</v>
      </c>
      <c r="AK56" s="37">
        <v>74.64</v>
      </c>
      <c r="AL56" s="9">
        <f t="shared" si="26"/>
        <v>74.396666666666661</v>
      </c>
      <c r="AM56" s="37">
        <v>17.97</v>
      </c>
      <c r="AN56" s="37">
        <v>18.329999999999998</v>
      </c>
      <c r="AO56" s="37">
        <v>17.59</v>
      </c>
      <c r="AQ56" s="37">
        <v>25.08</v>
      </c>
      <c r="AR56" s="37">
        <v>25.08</v>
      </c>
      <c r="AS56" s="37">
        <v>25.1</v>
      </c>
      <c r="AU56" s="9"/>
      <c r="BB56"/>
      <c r="BD56">
        <v>59.23</v>
      </c>
      <c r="BE56">
        <v>59.52</v>
      </c>
      <c r="BF56">
        <v>59.31</v>
      </c>
      <c r="BG56" s="139">
        <f t="shared" si="27"/>
        <v>59.353333333333332</v>
      </c>
      <c r="BH56">
        <v>42.72</v>
      </c>
      <c r="BI56">
        <v>42.95</v>
      </c>
      <c r="BJ56">
        <v>42.44</v>
      </c>
      <c r="BK56" s="139">
        <f t="shared" si="28"/>
        <v>42.70333333333334</v>
      </c>
      <c r="BL56">
        <v>77.14</v>
      </c>
      <c r="BM56">
        <v>77.02</v>
      </c>
      <c r="BN56">
        <v>77.180000000000007</v>
      </c>
      <c r="BO56" s="139">
        <f t="shared" si="29"/>
        <v>77.11333333333333</v>
      </c>
      <c r="BP56" t="s">
        <v>51</v>
      </c>
      <c r="BQ56" t="s">
        <v>51</v>
      </c>
      <c r="BT56"/>
      <c r="BU56"/>
      <c r="BV56"/>
      <c r="BW56"/>
      <c r="BX56"/>
      <c r="BY56"/>
    </row>
    <row r="57" spans="1:78" x14ac:dyDescent="0.25">
      <c r="A57" s="97" t="s">
        <v>302</v>
      </c>
      <c r="B57" s="97" t="s">
        <v>883</v>
      </c>
      <c r="C57" t="s">
        <v>49</v>
      </c>
      <c r="D57" t="s">
        <v>671</v>
      </c>
      <c r="E57">
        <v>1261</v>
      </c>
      <c r="F57" s="5" t="s">
        <v>885</v>
      </c>
      <c r="G57" s="100">
        <v>42895</v>
      </c>
      <c r="H57" t="s">
        <v>886</v>
      </c>
      <c r="J57" s="151">
        <v>2</v>
      </c>
      <c r="K57" s="10" t="s">
        <v>64</v>
      </c>
      <c r="L57">
        <v>446</v>
      </c>
      <c r="M57">
        <v>95</v>
      </c>
      <c r="N57" s="9">
        <f t="shared" si="30"/>
        <v>351</v>
      </c>
      <c r="O57" s="35">
        <v>170</v>
      </c>
      <c r="P57" s="35">
        <v>170</v>
      </c>
      <c r="Q57" s="35">
        <v>170</v>
      </c>
      <c r="R57" s="9">
        <f t="shared" si="19"/>
        <v>170</v>
      </c>
      <c r="S57" s="35">
        <v>231</v>
      </c>
      <c r="T57" s="35">
        <v>231</v>
      </c>
      <c r="U57" s="35">
        <v>232</v>
      </c>
      <c r="V57" s="9">
        <f t="shared" si="20"/>
        <v>231.33333333333334</v>
      </c>
      <c r="W57" s="36">
        <v>12.21</v>
      </c>
      <c r="X57" s="35">
        <v>12.04</v>
      </c>
      <c r="Y57" s="35">
        <v>12.28</v>
      </c>
      <c r="Z57" s="9">
        <f t="shared" si="21"/>
        <v>12.176666666666668</v>
      </c>
      <c r="AA57" s="37">
        <v>30.58</v>
      </c>
      <c r="AB57" s="37">
        <v>30.57</v>
      </c>
      <c r="AC57" s="37">
        <v>30.63</v>
      </c>
      <c r="AD57" s="9">
        <f t="shared" si="22"/>
        <v>30.593333333333334</v>
      </c>
      <c r="AE57" s="37">
        <v>38.19</v>
      </c>
      <c r="AF57" s="37">
        <v>37.96</v>
      </c>
      <c r="AG57" s="37">
        <v>38.299999999999997</v>
      </c>
      <c r="AH57" s="9">
        <f t="shared" si="23"/>
        <v>38.15</v>
      </c>
      <c r="AI57" s="37">
        <v>59.16</v>
      </c>
      <c r="AJ57" s="37">
        <v>59.13</v>
      </c>
      <c r="AK57" s="37">
        <v>59.29</v>
      </c>
      <c r="AL57" s="9">
        <f t="shared" si="26"/>
        <v>59.193333333333328</v>
      </c>
      <c r="AM57"/>
      <c r="AN57"/>
      <c r="AO57"/>
      <c r="AQ57"/>
      <c r="AR57"/>
      <c r="AS57"/>
      <c r="AU57" s="9"/>
      <c r="AX57" s="10" t="s">
        <v>65</v>
      </c>
      <c r="AY57" s="9">
        <v>8</v>
      </c>
      <c r="AZ57">
        <v>7</v>
      </c>
      <c r="BB57"/>
      <c r="BD57">
        <v>47.34</v>
      </c>
      <c r="BE57">
        <v>47.43</v>
      </c>
      <c r="BF57">
        <v>47.52</v>
      </c>
      <c r="BG57" s="139">
        <f t="shared" si="27"/>
        <v>47.430000000000007</v>
      </c>
      <c r="BH57">
        <v>36.94</v>
      </c>
      <c r="BI57">
        <v>36.92</v>
      </c>
      <c r="BJ57">
        <v>37.200000000000003</v>
      </c>
      <c r="BK57" s="139">
        <f t="shared" si="28"/>
        <v>37.020000000000003</v>
      </c>
      <c r="BL57">
        <v>64.94</v>
      </c>
      <c r="BM57">
        <v>65.28</v>
      </c>
      <c r="BN57">
        <v>65.2</v>
      </c>
      <c r="BO57" s="139">
        <f t="shared" si="29"/>
        <v>65.14</v>
      </c>
      <c r="BP57" t="s">
        <v>51</v>
      </c>
      <c r="BQ57" t="s">
        <v>51</v>
      </c>
      <c r="BT57"/>
      <c r="BU57"/>
      <c r="BV57"/>
      <c r="BW57"/>
      <c r="BX57"/>
      <c r="BY57"/>
      <c r="BZ57" t="s">
        <v>887</v>
      </c>
    </row>
    <row r="58" spans="1:78" x14ac:dyDescent="0.25">
      <c r="A58" s="97" t="s">
        <v>302</v>
      </c>
      <c r="B58" s="97" t="s">
        <v>890</v>
      </c>
      <c r="C58" t="s">
        <v>49</v>
      </c>
      <c r="D58" t="s">
        <v>671</v>
      </c>
      <c r="E58">
        <v>1262</v>
      </c>
      <c r="F58" s="5" t="s">
        <v>896</v>
      </c>
      <c r="G58" s="100">
        <v>42895</v>
      </c>
      <c r="H58" t="s">
        <v>889</v>
      </c>
      <c r="J58" s="151">
        <v>1</v>
      </c>
      <c r="K58" s="10" t="s">
        <v>50</v>
      </c>
      <c r="L58">
        <v>527</v>
      </c>
      <c r="M58">
        <v>95</v>
      </c>
      <c r="N58" s="9">
        <f t="shared" si="30"/>
        <v>432</v>
      </c>
      <c r="O58" s="35">
        <v>186</v>
      </c>
      <c r="P58" s="35">
        <v>185</v>
      </c>
      <c r="Q58" s="35">
        <v>186</v>
      </c>
      <c r="R58" s="9">
        <f t="shared" si="19"/>
        <v>185.66666666666666</v>
      </c>
      <c r="S58" s="35">
        <v>224</v>
      </c>
      <c r="T58" s="35">
        <v>224</v>
      </c>
      <c r="U58" s="35">
        <v>224</v>
      </c>
      <c r="V58" s="9">
        <f t="shared" si="20"/>
        <v>224</v>
      </c>
      <c r="W58" s="36">
        <v>14</v>
      </c>
      <c r="X58" s="35">
        <v>13.93</v>
      </c>
      <c r="Y58" s="35">
        <v>14.13</v>
      </c>
      <c r="Z58" s="9">
        <f t="shared" si="21"/>
        <v>14.020000000000001</v>
      </c>
      <c r="AA58" s="37">
        <v>31.88</v>
      </c>
      <c r="AB58" s="37">
        <v>31.93</v>
      </c>
      <c r="AC58" s="37">
        <v>31.8</v>
      </c>
      <c r="AD58" s="9">
        <f t="shared" si="22"/>
        <v>31.87</v>
      </c>
      <c r="AE58" s="37">
        <v>40.4</v>
      </c>
      <c r="AF58" s="37">
        <v>40.64</v>
      </c>
      <c r="AG58" s="37">
        <v>40.47</v>
      </c>
      <c r="AH58" s="9">
        <f t="shared" si="23"/>
        <v>40.50333333333333</v>
      </c>
      <c r="AI58" s="37">
        <v>63.98</v>
      </c>
      <c r="AJ58" s="37">
        <v>63.86</v>
      </c>
      <c r="AK58" s="37">
        <v>63.93</v>
      </c>
      <c r="AL58" s="9">
        <f t="shared" si="26"/>
        <v>63.923333333333339</v>
      </c>
      <c r="AM58" s="37">
        <v>18.57</v>
      </c>
      <c r="AN58" s="37">
        <v>17.73</v>
      </c>
      <c r="AO58" s="37">
        <v>18.100000000000001</v>
      </c>
      <c r="AQ58" s="37">
        <v>22.77</v>
      </c>
      <c r="AR58" s="37">
        <v>21.32</v>
      </c>
      <c r="AS58" s="37">
        <v>21.82</v>
      </c>
      <c r="AU58" s="9"/>
      <c r="BB58"/>
      <c r="BD58">
        <v>49.72</v>
      </c>
      <c r="BE58">
        <v>49.78</v>
      </c>
      <c r="BF58">
        <v>49.97</v>
      </c>
      <c r="BG58" s="139">
        <f t="shared" si="27"/>
        <v>49.823333333333331</v>
      </c>
      <c r="BH58">
        <v>36.74</v>
      </c>
      <c r="BI58">
        <v>36.450000000000003</v>
      </c>
      <c r="BJ58">
        <v>36.53</v>
      </c>
      <c r="BK58" s="139">
        <f t="shared" si="28"/>
        <v>36.573333333333331</v>
      </c>
      <c r="BL58">
        <v>71.349999999999994</v>
      </c>
      <c r="BM58">
        <v>71.19</v>
      </c>
      <c r="BN58">
        <v>71.25</v>
      </c>
      <c r="BO58" s="139">
        <f t="shared" si="29"/>
        <v>71.263333333333335</v>
      </c>
      <c r="BP58" t="s">
        <v>51</v>
      </c>
      <c r="BQ58" t="s">
        <v>51</v>
      </c>
      <c r="BT58"/>
      <c r="BU58"/>
      <c r="BV58"/>
      <c r="BW58"/>
      <c r="BX58"/>
      <c r="BY58"/>
    </row>
    <row r="59" spans="1:78" x14ac:dyDescent="0.25">
      <c r="A59" s="97" t="s">
        <v>302</v>
      </c>
      <c r="B59" s="97" t="s">
        <v>892</v>
      </c>
      <c r="C59" t="s">
        <v>49</v>
      </c>
      <c r="D59" t="s">
        <v>671</v>
      </c>
      <c r="E59">
        <v>1263</v>
      </c>
      <c r="F59" s="5" t="s">
        <v>893</v>
      </c>
      <c r="G59" s="100">
        <v>42895</v>
      </c>
      <c r="H59" t="s">
        <v>891</v>
      </c>
      <c r="J59" s="151">
        <v>1</v>
      </c>
      <c r="K59" s="10" t="s">
        <v>50</v>
      </c>
      <c r="L59">
        <v>585</v>
      </c>
      <c r="M59">
        <v>93</v>
      </c>
      <c r="N59" s="9">
        <f t="shared" si="30"/>
        <v>492</v>
      </c>
      <c r="O59" s="35">
        <v>203</v>
      </c>
      <c r="P59" s="35">
        <v>203</v>
      </c>
      <c r="Q59" s="35">
        <v>203</v>
      </c>
      <c r="R59" s="9">
        <f t="shared" si="19"/>
        <v>203</v>
      </c>
      <c r="S59" s="35">
        <v>230</v>
      </c>
      <c r="T59" s="35">
        <v>230</v>
      </c>
      <c r="U59" s="35">
        <v>230</v>
      </c>
      <c r="V59" s="9">
        <f t="shared" si="20"/>
        <v>230</v>
      </c>
      <c r="W59" s="36">
        <v>14.29</v>
      </c>
      <c r="X59" s="35">
        <v>14.13</v>
      </c>
      <c r="Y59" s="35">
        <v>13.75</v>
      </c>
      <c r="Z59" s="9">
        <f t="shared" si="21"/>
        <v>14.056666666666667</v>
      </c>
      <c r="AA59" s="37">
        <v>35.58</v>
      </c>
      <c r="AB59" s="37">
        <v>35.61</v>
      </c>
      <c r="AC59" s="37">
        <v>35.67</v>
      </c>
      <c r="AD59" s="9">
        <f t="shared" si="22"/>
        <v>35.619999999999997</v>
      </c>
      <c r="AE59" s="37">
        <v>45.05</v>
      </c>
      <c r="AF59" s="37">
        <v>45.26</v>
      </c>
      <c r="AG59" s="37">
        <v>45.23</v>
      </c>
      <c r="AH59" s="9">
        <f t="shared" si="23"/>
        <v>45.18</v>
      </c>
      <c r="AI59" s="37">
        <v>69.16</v>
      </c>
      <c r="AJ59" s="37">
        <v>69.650000000000006</v>
      </c>
      <c r="AK59" s="37">
        <v>69.59</v>
      </c>
      <c r="AL59" s="9">
        <f t="shared" si="26"/>
        <v>69.466666666666669</v>
      </c>
      <c r="AM59" s="37">
        <v>18.27</v>
      </c>
      <c r="AN59" s="37">
        <v>18.760000000000002</v>
      </c>
      <c r="AO59" s="37">
        <v>18.82</v>
      </c>
      <c r="AQ59" s="37">
        <v>23.76</v>
      </c>
      <c r="AR59" s="37">
        <v>23.95</v>
      </c>
      <c r="AS59" s="37">
        <v>23.32</v>
      </c>
      <c r="AU59" s="9"/>
      <c r="BB59"/>
      <c r="BD59">
        <v>54.17</v>
      </c>
      <c r="BE59">
        <v>54.15</v>
      </c>
      <c r="BF59">
        <v>54.23</v>
      </c>
      <c r="BG59" s="139">
        <f t="shared" si="27"/>
        <v>54.18333333333333</v>
      </c>
      <c r="BH59">
        <v>40.659999999999997</v>
      </c>
      <c r="BI59">
        <v>40.85</v>
      </c>
      <c r="BJ59">
        <v>40.9</v>
      </c>
      <c r="BK59" s="139">
        <f t="shared" si="28"/>
        <v>40.803333333333335</v>
      </c>
      <c r="BL59">
        <v>75.5</v>
      </c>
      <c r="BM59">
        <v>75.599999999999994</v>
      </c>
      <c r="BN59">
        <v>75.62</v>
      </c>
      <c r="BO59" s="139">
        <f t="shared" si="29"/>
        <v>75.573333333333338</v>
      </c>
      <c r="BP59" t="s">
        <v>51</v>
      </c>
      <c r="BQ59" t="s">
        <v>51</v>
      </c>
      <c r="BT59"/>
      <c r="BU59"/>
      <c r="BV59"/>
      <c r="BW59"/>
      <c r="BX59"/>
      <c r="BY59"/>
    </row>
    <row r="60" spans="1:78" x14ac:dyDescent="0.25">
      <c r="A60" s="97" t="s">
        <v>302</v>
      </c>
      <c r="B60" s="97" t="s">
        <v>898</v>
      </c>
      <c r="C60" t="s">
        <v>49</v>
      </c>
      <c r="D60" t="s">
        <v>671</v>
      </c>
      <c r="E60">
        <v>1265</v>
      </c>
      <c r="F60" s="5" t="s">
        <v>900</v>
      </c>
      <c r="G60" s="100">
        <v>42898</v>
      </c>
      <c r="H60" t="s">
        <v>897</v>
      </c>
      <c r="J60" s="151">
        <v>1</v>
      </c>
      <c r="K60" s="10" t="s">
        <v>50</v>
      </c>
      <c r="L60">
        <v>500</v>
      </c>
      <c r="M60">
        <v>93</v>
      </c>
      <c r="N60" s="9">
        <f t="shared" si="30"/>
        <v>407</v>
      </c>
      <c r="O60" s="35">
        <v>187</v>
      </c>
      <c r="P60" s="35">
        <v>186</v>
      </c>
      <c r="Q60" s="35">
        <v>187</v>
      </c>
      <c r="R60" s="9">
        <f t="shared" si="19"/>
        <v>186.66666666666666</v>
      </c>
      <c r="S60" s="35">
        <v>234</v>
      </c>
      <c r="T60" s="35">
        <v>234</v>
      </c>
      <c r="U60" s="35">
        <v>234</v>
      </c>
      <c r="V60" s="9">
        <f t="shared" si="20"/>
        <v>234</v>
      </c>
      <c r="W60" s="36">
        <v>12.65</v>
      </c>
      <c r="X60" s="35">
        <v>12.71</v>
      </c>
      <c r="Y60" s="35">
        <v>12.8</v>
      </c>
      <c r="Z60" s="9">
        <f t="shared" si="21"/>
        <v>12.719999999999999</v>
      </c>
      <c r="AA60" s="37">
        <v>31.36</v>
      </c>
      <c r="AB60" s="37">
        <v>31.62</v>
      </c>
      <c r="AC60" s="37">
        <v>31.56</v>
      </c>
      <c r="AD60" s="9">
        <f t="shared" si="22"/>
        <v>31.513333333333335</v>
      </c>
      <c r="AE60" s="37">
        <v>41.08</v>
      </c>
      <c r="AF60" s="37">
        <v>41.18</v>
      </c>
      <c r="AG60" s="37">
        <v>41.05</v>
      </c>
      <c r="AH60" s="9">
        <f t="shared" si="23"/>
        <v>41.103333333333332</v>
      </c>
      <c r="AI60" s="37">
        <v>65.16</v>
      </c>
      <c r="AJ60" s="37">
        <v>65.2</v>
      </c>
      <c r="AK60" s="37">
        <v>65.069999999999993</v>
      </c>
      <c r="AL60" s="9">
        <f t="shared" si="26"/>
        <v>65.143333333333331</v>
      </c>
      <c r="AM60" s="37">
        <v>18.010000000000002</v>
      </c>
      <c r="AN60" s="37">
        <v>17.91</v>
      </c>
      <c r="AO60" s="37">
        <v>18.27</v>
      </c>
      <c r="AQ60" s="37">
        <v>23.83</v>
      </c>
      <c r="AR60" s="37">
        <v>23.71</v>
      </c>
      <c r="AS60" s="37">
        <v>23.47</v>
      </c>
      <c r="AU60" s="9"/>
      <c r="BB60"/>
      <c r="BD60">
        <v>51.54</v>
      </c>
      <c r="BE60">
        <v>51.69</v>
      </c>
      <c r="BF60">
        <v>51.44</v>
      </c>
      <c r="BG60" s="139">
        <f t="shared" si="27"/>
        <v>51.556666666666665</v>
      </c>
      <c r="BH60">
        <v>36.75</v>
      </c>
      <c r="BI60">
        <v>36.56</v>
      </c>
      <c r="BJ60">
        <v>36.79</v>
      </c>
      <c r="BK60" s="139">
        <f t="shared" si="28"/>
        <v>36.699999999999996</v>
      </c>
      <c r="BL60">
        <v>69.739999999999995</v>
      </c>
      <c r="BM60">
        <v>69.94</v>
      </c>
      <c r="BN60">
        <v>69.849999999999994</v>
      </c>
      <c r="BO60" s="139">
        <f t="shared" si="29"/>
        <v>69.843333333333334</v>
      </c>
      <c r="BP60" t="s">
        <v>51</v>
      </c>
      <c r="BQ60" t="s">
        <v>51</v>
      </c>
      <c r="BT60"/>
      <c r="BU60"/>
      <c r="BV60"/>
      <c r="BW60"/>
      <c r="BX60"/>
      <c r="BY60"/>
    </row>
    <row r="61" spans="1:78" x14ac:dyDescent="0.25">
      <c r="A61" s="97" t="s">
        <v>302</v>
      </c>
      <c r="B61" s="97" t="s">
        <v>901</v>
      </c>
      <c r="C61" t="s">
        <v>49</v>
      </c>
      <c r="D61" t="s">
        <v>671</v>
      </c>
      <c r="E61">
        <v>1266</v>
      </c>
      <c r="F61" s="5" t="s">
        <v>899</v>
      </c>
      <c r="G61" s="100">
        <v>42898</v>
      </c>
      <c r="H61" t="s">
        <v>876</v>
      </c>
      <c r="J61" s="151">
        <v>1</v>
      </c>
      <c r="K61" s="10" t="s">
        <v>64</v>
      </c>
      <c r="L61">
        <v>346</v>
      </c>
      <c r="M61">
        <v>95</v>
      </c>
      <c r="N61" s="9">
        <f t="shared" si="30"/>
        <v>251</v>
      </c>
      <c r="O61" s="35">
        <v>156</v>
      </c>
      <c r="P61" s="35">
        <v>156</v>
      </c>
      <c r="Q61" s="35">
        <v>157</v>
      </c>
      <c r="R61" s="9">
        <f t="shared" si="19"/>
        <v>156.33333333333334</v>
      </c>
      <c r="S61" s="35">
        <v>226</v>
      </c>
      <c r="T61" s="35">
        <v>226</v>
      </c>
      <c r="U61" s="35">
        <v>226</v>
      </c>
      <c r="V61" s="9">
        <f t="shared" si="20"/>
        <v>226</v>
      </c>
      <c r="W61" s="36">
        <v>10.98</v>
      </c>
      <c r="X61" s="35">
        <v>10.88</v>
      </c>
      <c r="Y61" s="35">
        <v>11.18</v>
      </c>
      <c r="Z61" s="9">
        <f t="shared" si="21"/>
        <v>11.013333333333334</v>
      </c>
      <c r="AA61" s="37">
        <v>29.06</v>
      </c>
      <c r="AB61" s="37">
        <v>29.13</v>
      </c>
      <c r="AC61" s="37">
        <v>29.26</v>
      </c>
      <c r="AD61" s="9">
        <f t="shared" si="22"/>
        <v>29.150000000000002</v>
      </c>
      <c r="AE61" s="37">
        <v>37.700000000000003</v>
      </c>
      <c r="AF61" s="37">
        <v>37.75</v>
      </c>
      <c r="AG61" s="37">
        <v>37.950000000000003</v>
      </c>
      <c r="AH61" s="9">
        <f t="shared" si="23"/>
        <v>37.800000000000004</v>
      </c>
      <c r="AI61" s="37">
        <v>58.41</v>
      </c>
      <c r="AJ61" s="37">
        <v>58.14</v>
      </c>
      <c r="AK61" s="37">
        <v>58.49</v>
      </c>
      <c r="AL61" s="9">
        <f t="shared" si="26"/>
        <v>58.346666666666664</v>
      </c>
      <c r="AM61"/>
      <c r="AN61"/>
      <c r="AO61"/>
      <c r="AQ61"/>
      <c r="AR61"/>
      <c r="AS61"/>
      <c r="AU61" s="9"/>
      <c r="AX61" s="10" t="s">
        <v>70</v>
      </c>
      <c r="AY61" s="9">
        <v>8</v>
      </c>
      <c r="BB61"/>
      <c r="BD61">
        <v>45.17</v>
      </c>
      <c r="BE61">
        <v>45.64</v>
      </c>
      <c r="BF61">
        <v>45.83</v>
      </c>
      <c r="BG61" s="139">
        <f t="shared" si="27"/>
        <v>45.54666666666666</v>
      </c>
      <c r="BH61">
        <v>33.42</v>
      </c>
      <c r="BI61">
        <v>33.299999999999997</v>
      </c>
      <c r="BJ61">
        <v>33.22</v>
      </c>
      <c r="BK61" s="139">
        <f t="shared" si="28"/>
        <v>33.313333333333333</v>
      </c>
      <c r="BL61">
        <v>63.8</v>
      </c>
      <c r="BM61">
        <v>63.56</v>
      </c>
      <c r="BN61">
        <v>63.75</v>
      </c>
      <c r="BO61" s="139">
        <f t="shared" si="29"/>
        <v>63.70333333333334</v>
      </c>
      <c r="BP61" t="s">
        <v>51</v>
      </c>
      <c r="BQ61" t="s">
        <v>51</v>
      </c>
      <c r="BT61"/>
      <c r="BU61"/>
      <c r="BV61"/>
      <c r="BW61"/>
      <c r="BX61"/>
      <c r="BY61"/>
    </row>
    <row r="62" spans="1:78" x14ac:dyDescent="0.25">
      <c r="A62" s="97" t="s">
        <v>302</v>
      </c>
      <c r="B62" s="97" t="s">
        <v>903</v>
      </c>
      <c r="C62" t="s">
        <v>49</v>
      </c>
      <c r="D62" t="s">
        <v>671</v>
      </c>
      <c r="E62">
        <v>1267</v>
      </c>
      <c r="F62" s="5" t="s">
        <v>902</v>
      </c>
      <c r="G62" s="100">
        <v>42898</v>
      </c>
      <c r="H62" t="s">
        <v>880</v>
      </c>
      <c r="J62" s="151">
        <v>1</v>
      </c>
      <c r="K62" s="10" t="s">
        <v>64</v>
      </c>
      <c r="L62">
        <v>404</v>
      </c>
      <c r="M62">
        <v>95</v>
      </c>
      <c r="N62" s="9">
        <f t="shared" si="30"/>
        <v>309</v>
      </c>
      <c r="O62" s="35">
        <v>162</v>
      </c>
      <c r="P62" s="35">
        <v>163</v>
      </c>
      <c r="Q62" s="35">
        <v>163</v>
      </c>
      <c r="R62" s="9">
        <f t="shared" si="19"/>
        <v>162.66666666666666</v>
      </c>
      <c r="S62" s="35">
        <v>123</v>
      </c>
      <c r="T62" s="35">
        <v>123</v>
      </c>
      <c r="U62" s="35">
        <v>123</v>
      </c>
      <c r="V62" s="9">
        <f t="shared" si="20"/>
        <v>123</v>
      </c>
      <c r="W62" s="36">
        <v>12.76</v>
      </c>
      <c r="X62" s="35">
        <v>12.42</v>
      </c>
      <c r="Y62" s="35">
        <v>12.51</v>
      </c>
      <c r="Z62" s="9">
        <f t="shared" si="21"/>
        <v>12.563333333333333</v>
      </c>
      <c r="AA62" s="37">
        <v>29.31</v>
      </c>
      <c r="AB62" s="37">
        <v>29.76</v>
      </c>
      <c r="AC62" s="37">
        <v>29.72</v>
      </c>
      <c r="AD62" s="24">
        <f t="shared" si="22"/>
        <v>29.596666666666664</v>
      </c>
      <c r="AE62" s="42">
        <v>38.270000000000003</v>
      </c>
      <c r="AF62" s="42">
        <v>38.159999999999997</v>
      </c>
      <c r="AG62" s="42">
        <v>38.22</v>
      </c>
      <c r="AH62" s="24">
        <f t="shared" si="23"/>
        <v>38.216666666666669</v>
      </c>
      <c r="AI62" s="37">
        <v>59.29</v>
      </c>
      <c r="AJ62" s="37">
        <v>59.59</v>
      </c>
      <c r="AK62" s="37">
        <v>59.38</v>
      </c>
      <c r="AL62" s="24">
        <f t="shared" si="26"/>
        <v>59.419999999999995</v>
      </c>
      <c r="AX62" s="10" t="s">
        <v>70</v>
      </c>
      <c r="AY62" s="9">
        <v>8</v>
      </c>
      <c r="BD62">
        <v>46.39</v>
      </c>
      <c r="BE62">
        <v>46.24</v>
      </c>
      <c r="BF62">
        <v>46.11</v>
      </c>
      <c r="BG62" s="24">
        <f t="shared" si="27"/>
        <v>46.24666666666667</v>
      </c>
      <c r="BH62">
        <v>33.950000000000003</v>
      </c>
      <c r="BI62">
        <v>33.74</v>
      </c>
      <c r="BJ62">
        <v>33.65</v>
      </c>
      <c r="BK62" s="24">
        <f t="shared" si="28"/>
        <v>33.78</v>
      </c>
      <c r="BL62">
        <v>64.290000000000006</v>
      </c>
      <c r="BM62">
        <v>64.78</v>
      </c>
      <c r="BN62">
        <v>64.739999999999995</v>
      </c>
      <c r="BO62" s="24">
        <f t="shared" si="29"/>
        <v>64.603333333333339</v>
      </c>
      <c r="BP62" t="s">
        <v>51</v>
      </c>
      <c r="BQ62" t="s">
        <v>51</v>
      </c>
      <c r="BT62"/>
      <c r="BU62"/>
      <c r="BV62"/>
      <c r="BW62"/>
      <c r="BX62"/>
      <c r="BY62"/>
    </row>
    <row r="63" spans="1:78" x14ac:dyDescent="0.25">
      <c r="A63" s="97" t="s">
        <v>302</v>
      </c>
      <c r="B63" s="97" t="s">
        <v>906</v>
      </c>
      <c r="C63" t="s">
        <v>49</v>
      </c>
      <c r="D63" t="s">
        <v>671</v>
      </c>
      <c r="E63">
        <v>1268</v>
      </c>
      <c r="F63" s="5" t="s">
        <v>905</v>
      </c>
      <c r="G63" s="100">
        <v>42898</v>
      </c>
      <c r="H63" t="s">
        <v>904</v>
      </c>
      <c r="J63" s="151">
        <v>1</v>
      </c>
      <c r="K63" s="10" t="s">
        <v>50</v>
      </c>
      <c r="L63">
        <v>513</v>
      </c>
      <c r="M63">
        <v>95</v>
      </c>
      <c r="N63" s="9">
        <f t="shared" si="30"/>
        <v>418</v>
      </c>
      <c r="O63" s="35">
        <v>184</v>
      </c>
      <c r="P63" s="35">
        <v>185</v>
      </c>
      <c r="Q63" s="35">
        <v>184</v>
      </c>
      <c r="R63" s="9">
        <f t="shared" si="19"/>
        <v>184.33333333333334</v>
      </c>
      <c r="S63" s="35">
        <v>245</v>
      </c>
      <c r="T63" s="35">
        <v>245</v>
      </c>
      <c r="U63" s="35">
        <v>245</v>
      </c>
      <c r="V63" s="9">
        <f t="shared" si="20"/>
        <v>245</v>
      </c>
      <c r="W63" s="36">
        <v>14.02</v>
      </c>
      <c r="X63" s="35">
        <v>14.41</v>
      </c>
      <c r="Y63" s="35">
        <v>14.2</v>
      </c>
      <c r="Z63" s="9">
        <f t="shared" si="21"/>
        <v>14.209999999999999</v>
      </c>
      <c r="AA63" s="37">
        <v>32.47</v>
      </c>
      <c r="AB63" s="37">
        <v>32.49</v>
      </c>
      <c r="AC63" s="37">
        <v>32.479999999999997</v>
      </c>
      <c r="AD63" s="24">
        <f t="shared" si="22"/>
        <v>32.479999999999997</v>
      </c>
      <c r="AE63" s="42">
        <v>41.47</v>
      </c>
      <c r="AF63" s="42">
        <v>41.84</v>
      </c>
      <c r="AG63" s="42">
        <v>41.53</v>
      </c>
      <c r="AH63" s="24">
        <f t="shared" si="23"/>
        <v>41.613333333333337</v>
      </c>
      <c r="AI63" s="37">
        <v>65.040000000000006</v>
      </c>
      <c r="AJ63" s="37">
        <v>64.739999999999995</v>
      </c>
      <c r="AK63" s="37">
        <v>64.83</v>
      </c>
      <c r="AL63" s="24">
        <f t="shared" si="26"/>
        <v>64.87</v>
      </c>
      <c r="AM63" s="37">
        <v>16.260000000000002</v>
      </c>
      <c r="AN63" s="37">
        <v>16.43</v>
      </c>
      <c r="AO63" s="37">
        <v>16.45</v>
      </c>
      <c r="AQ63" s="37">
        <v>22.47</v>
      </c>
      <c r="AR63" s="37">
        <v>22.09</v>
      </c>
      <c r="AS63" s="37">
        <v>22.33</v>
      </c>
      <c r="BD63">
        <v>51.69</v>
      </c>
      <c r="BE63">
        <v>51.7</v>
      </c>
      <c r="BF63">
        <v>51.95</v>
      </c>
      <c r="BG63" s="24">
        <f t="shared" si="27"/>
        <v>51.78</v>
      </c>
      <c r="BH63">
        <v>36.76</v>
      </c>
      <c r="BI63">
        <v>36.979999999999997</v>
      </c>
      <c r="BJ63">
        <v>36.47</v>
      </c>
      <c r="BK63" s="24">
        <f t="shared" si="28"/>
        <v>36.736666666666665</v>
      </c>
      <c r="BL63">
        <v>68.34</v>
      </c>
      <c r="BM63">
        <v>68.41</v>
      </c>
      <c r="BN63">
        <v>68.61</v>
      </c>
      <c r="BO63" s="24">
        <f t="shared" si="29"/>
        <v>68.453333333333333</v>
      </c>
      <c r="BP63" t="s">
        <v>51</v>
      </c>
      <c r="BQ63" t="s">
        <v>51</v>
      </c>
      <c r="BT63"/>
      <c r="BU63"/>
      <c r="BV63"/>
      <c r="BW63"/>
      <c r="BX63"/>
      <c r="BY63"/>
    </row>
    <row r="64" spans="1:78" x14ac:dyDescent="0.25">
      <c r="A64" s="97" t="s">
        <v>302</v>
      </c>
      <c r="B64" s="97" t="s">
        <v>908</v>
      </c>
      <c r="C64" t="s">
        <v>49</v>
      </c>
      <c r="D64" t="s">
        <v>671</v>
      </c>
      <c r="E64">
        <v>1269</v>
      </c>
      <c r="F64" s="5" t="s">
        <v>909</v>
      </c>
      <c r="G64" s="100">
        <v>42898</v>
      </c>
      <c r="H64" t="s">
        <v>907</v>
      </c>
      <c r="J64" s="151">
        <v>1</v>
      </c>
      <c r="K64" s="10" t="s">
        <v>50</v>
      </c>
      <c r="L64">
        <v>523</v>
      </c>
      <c r="M64">
        <v>94</v>
      </c>
      <c r="N64" s="9">
        <f t="shared" si="30"/>
        <v>429</v>
      </c>
      <c r="O64" s="35">
        <v>181</v>
      </c>
      <c r="P64" s="35">
        <v>182</v>
      </c>
      <c r="Q64" s="35">
        <v>182</v>
      </c>
      <c r="R64" s="9">
        <f t="shared" si="19"/>
        <v>181.66666666666666</v>
      </c>
      <c r="S64" s="35">
        <v>256</v>
      </c>
      <c r="T64" s="35">
        <v>256</v>
      </c>
      <c r="U64" s="35">
        <v>256</v>
      </c>
      <c r="V64" s="9">
        <f t="shared" si="20"/>
        <v>256</v>
      </c>
      <c r="W64" s="36">
        <v>13.76</v>
      </c>
      <c r="X64" s="35">
        <v>13.56</v>
      </c>
      <c r="Y64" s="35">
        <v>13.33</v>
      </c>
      <c r="Z64" s="9">
        <f t="shared" si="21"/>
        <v>13.549999999999999</v>
      </c>
      <c r="AA64" s="37">
        <v>32.729999999999997</v>
      </c>
      <c r="AB64" s="37">
        <v>32.31</v>
      </c>
      <c r="AC64" s="37">
        <v>32.64</v>
      </c>
      <c r="AD64" s="24">
        <f t="shared" si="22"/>
        <v>32.559999999999995</v>
      </c>
      <c r="AE64" s="42">
        <v>42.33</v>
      </c>
      <c r="AF64" s="42">
        <v>42.17</v>
      </c>
      <c r="AG64" s="42">
        <v>42.3</v>
      </c>
      <c r="AH64" s="24">
        <f t="shared" si="23"/>
        <v>42.266666666666666</v>
      </c>
      <c r="AI64" s="37">
        <v>67.38</v>
      </c>
      <c r="AJ64" s="37">
        <v>67.42</v>
      </c>
      <c r="AK64" s="37">
        <v>67.349999999999994</v>
      </c>
      <c r="AL64" s="24">
        <f t="shared" si="26"/>
        <v>67.38333333333334</v>
      </c>
      <c r="AM64" s="37">
        <v>16.010000000000002</v>
      </c>
      <c r="AN64" s="37">
        <v>17.66</v>
      </c>
      <c r="AO64" s="37">
        <v>17.11</v>
      </c>
      <c r="AQ64" s="37">
        <v>23.03</v>
      </c>
      <c r="AR64" s="37">
        <v>21.91</v>
      </c>
      <c r="AS64" s="37">
        <v>21.43</v>
      </c>
      <c r="BD64">
        <v>54.05</v>
      </c>
      <c r="BE64">
        <v>53.93</v>
      </c>
      <c r="BF64">
        <v>54.03</v>
      </c>
      <c r="BG64" s="24">
        <f t="shared" si="27"/>
        <v>54.00333333333333</v>
      </c>
      <c r="BH64">
        <v>36.64</v>
      </c>
      <c r="BI64">
        <v>36.69</v>
      </c>
      <c r="BJ64">
        <v>36.78</v>
      </c>
      <c r="BK64" s="24">
        <f t="shared" si="28"/>
        <v>36.703333333333333</v>
      </c>
      <c r="BL64">
        <v>68.14</v>
      </c>
      <c r="BM64">
        <v>68.099999999999994</v>
      </c>
      <c r="BN64">
        <v>68.260000000000005</v>
      </c>
      <c r="BO64" s="24">
        <f t="shared" si="29"/>
        <v>68.166666666666671</v>
      </c>
      <c r="BP64" t="s">
        <v>51</v>
      </c>
      <c r="BQ64" t="s">
        <v>51</v>
      </c>
      <c r="BT64"/>
      <c r="BU64"/>
      <c r="BV64"/>
      <c r="BW64"/>
      <c r="BX64"/>
      <c r="BY64"/>
    </row>
    <row r="65" spans="1:77" x14ac:dyDescent="0.25">
      <c r="A65" s="97" t="s">
        <v>302</v>
      </c>
      <c r="B65" s="97" t="s">
        <v>911</v>
      </c>
      <c r="C65" t="s">
        <v>49</v>
      </c>
      <c r="D65" t="s">
        <v>671</v>
      </c>
      <c r="E65">
        <v>1270</v>
      </c>
      <c r="F65" s="5" t="s">
        <v>912</v>
      </c>
      <c r="G65" s="100">
        <v>42898</v>
      </c>
      <c r="H65" t="s">
        <v>910</v>
      </c>
      <c r="J65" s="151">
        <v>1</v>
      </c>
      <c r="K65" s="10" t="s">
        <v>64</v>
      </c>
      <c r="L65">
        <v>363</v>
      </c>
      <c r="M65">
        <v>96</v>
      </c>
      <c r="N65" s="9">
        <f t="shared" si="30"/>
        <v>267</v>
      </c>
      <c r="O65" s="35">
        <v>161</v>
      </c>
      <c r="P65" s="35">
        <v>160</v>
      </c>
      <c r="Q65" s="35">
        <v>161</v>
      </c>
      <c r="R65" s="9">
        <f t="shared" si="19"/>
        <v>160.66666666666666</v>
      </c>
      <c r="S65" s="35">
        <v>218</v>
      </c>
      <c r="T65" s="35">
        <v>218</v>
      </c>
      <c r="U65" s="35">
        <v>219</v>
      </c>
      <c r="V65" s="9">
        <f t="shared" si="20"/>
        <v>218.33333333333334</v>
      </c>
      <c r="W65" s="36">
        <v>11.39</v>
      </c>
      <c r="X65" s="35">
        <v>11.92</v>
      </c>
      <c r="Y65" s="35">
        <v>11.56</v>
      </c>
      <c r="Z65" s="9">
        <f t="shared" si="21"/>
        <v>11.623333333333335</v>
      </c>
      <c r="AA65" s="37">
        <v>31.26</v>
      </c>
      <c r="AB65" s="37">
        <v>31.14</v>
      </c>
      <c r="AC65" s="37">
        <v>31.05</v>
      </c>
      <c r="AD65" s="24">
        <f t="shared" si="22"/>
        <v>31.150000000000002</v>
      </c>
      <c r="AE65" s="42">
        <v>38.65</v>
      </c>
      <c r="AF65" s="42">
        <v>38.53</v>
      </c>
      <c r="AG65" s="42">
        <v>38.6</v>
      </c>
      <c r="AH65" s="24">
        <f t="shared" si="23"/>
        <v>38.593333333333334</v>
      </c>
      <c r="AI65" s="37">
        <v>58.46</v>
      </c>
      <c r="AJ65" s="37">
        <v>58.95</v>
      </c>
      <c r="AK65" s="37">
        <v>58.95</v>
      </c>
      <c r="AL65" s="24">
        <f t="shared" si="26"/>
        <v>58.786666666666669</v>
      </c>
      <c r="AX65" s="10" t="s">
        <v>70</v>
      </c>
      <c r="AY65" s="9">
        <v>8</v>
      </c>
      <c r="BD65">
        <v>45.95</v>
      </c>
      <c r="BE65">
        <v>45.93</v>
      </c>
      <c r="BF65">
        <v>45.86</v>
      </c>
      <c r="BG65" s="24">
        <f t="shared" si="27"/>
        <v>45.913333333333334</v>
      </c>
      <c r="BH65">
        <v>32.909999999999997</v>
      </c>
      <c r="BI65">
        <v>32.82</v>
      </c>
      <c r="BJ65">
        <v>32.99</v>
      </c>
      <c r="BK65" s="24">
        <f t="shared" si="28"/>
        <v>32.906666666666666</v>
      </c>
      <c r="BL65">
        <v>62.1</v>
      </c>
      <c r="BM65">
        <v>62.11</v>
      </c>
      <c r="BN65">
        <v>62.13</v>
      </c>
      <c r="BO65" s="24">
        <f t="shared" si="29"/>
        <v>62.113333333333337</v>
      </c>
      <c r="BP65" t="s">
        <v>51</v>
      </c>
      <c r="BQ65" t="s">
        <v>51</v>
      </c>
      <c r="BT65"/>
      <c r="BU65"/>
      <c r="BV65"/>
      <c r="BW65"/>
      <c r="BX65"/>
      <c r="BY65"/>
    </row>
    <row r="66" spans="1:77" x14ac:dyDescent="0.25">
      <c r="A66" s="97" t="s">
        <v>302</v>
      </c>
      <c r="B66" s="97" t="s">
        <v>916</v>
      </c>
      <c r="C66" t="s">
        <v>49</v>
      </c>
      <c r="D66" t="s">
        <v>671</v>
      </c>
      <c r="E66">
        <v>1271</v>
      </c>
      <c r="F66" s="5" t="s">
        <v>914</v>
      </c>
      <c r="G66" s="100">
        <v>42898</v>
      </c>
      <c r="H66" t="s">
        <v>913</v>
      </c>
      <c r="J66" s="151">
        <v>2</v>
      </c>
      <c r="K66" s="10" t="s">
        <v>64</v>
      </c>
      <c r="L66">
        <v>457</v>
      </c>
      <c r="M66">
        <v>94</v>
      </c>
      <c r="N66" s="9">
        <f t="shared" si="30"/>
        <v>363</v>
      </c>
      <c r="O66" s="35">
        <v>173</v>
      </c>
      <c r="P66" s="35">
        <v>173</v>
      </c>
      <c r="Q66" s="35">
        <v>174</v>
      </c>
      <c r="R66" s="9">
        <f t="shared" si="19"/>
        <v>173.33333333333334</v>
      </c>
      <c r="S66" s="35">
        <v>125</v>
      </c>
      <c r="T66" s="35">
        <v>125</v>
      </c>
      <c r="U66" s="35">
        <v>125</v>
      </c>
      <c r="V66" s="9">
        <f t="shared" si="20"/>
        <v>125</v>
      </c>
      <c r="W66">
        <v>13.37</v>
      </c>
      <c r="X66" s="35">
        <v>13.18</v>
      </c>
      <c r="Y66" s="35">
        <v>13.4</v>
      </c>
      <c r="Z66" s="9"/>
      <c r="AA66" s="37">
        <v>29.12</v>
      </c>
      <c r="AB66" s="37">
        <v>29.25</v>
      </c>
      <c r="AC66" s="37">
        <v>29.29</v>
      </c>
      <c r="AD66" s="24">
        <f t="shared" si="22"/>
        <v>29.22</v>
      </c>
      <c r="AE66" s="42">
        <v>37.409999999999997</v>
      </c>
      <c r="AF66" s="42">
        <v>37.46</v>
      </c>
      <c r="AG66" s="42">
        <v>37.5</v>
      </c>
      <c r="AH66" s="24">
        <f t="shared" si="23"/>
        <v>37.456666666666671</v>
      </c>
      <c r="AI66" s="37">
        <v>58.55</v>
      </c>
      <c r="AJ66" s="37">
        <v>58.43</v>
      </c>
      <c r="AK66" s="37">
        <v>58.4</v>
      </c>
      <c r="AL66" s="24">
        <f t="shared" si="26"/>
        <v>58.46</v>
      </c>
      <c r="AX66" s="10" t="s">
        <v>65</v>
      </c>
      <c r="AY66" s="9">
        <v>8</v>
      </c>
      <c r="AZ66">
        <v>8</v>
      </c>
      <c r="BD66">
        <v>44.75</v>
      </c>
      <c r="BE66">
        <v>44.48</v>
      </c>
      <c r="BF66">
        <v>44.93</v>
      </c>
      <c r="BG66" s="24">
        <f t="shared" si="27"/>
        <v>44.72</v>
      </c>
      <c r="BH66">
        <v>36.4</v>
      </c>
      <c r="BI66">
        <v>36.32</v>
      </c>
      <c r="BJ66">
        <v>36.21</v>
      </c>
      <c r="BK66" s="24">
        <f t="shared" si="28"/>
        <v>36.31</v>
      </c>
      <c r="BL66">
        <v>61.68</v>
      </c>
      <c r="BM66">
        <v>61.93</v>
      </c>
      <c r="BN66">
        <v>61.67</v>
      </c>
      <c r="BO66" s="24">
        <f t="shared" si="29"/>
        <v>61.76</v>
      </c>
      <c r="BP66" t="s">
        <v>51</v>
      </c>
      <c r="BQ66" t="s">
        <v>51</v>
      </c>
      <c r="BT66"/>
      <c r="BU66"/>
      <c r="BV66"/>
      <c r="BW66"/>
      <c r="BX66"/>
      <c r="BY66"/>
    </row>
    <row r="67" spans="1:77" x14ac:dyDescent="0.25">
      <c r="A67" s="97" t="s">
        <v>302</v>
      </c>
      <c r="B67" s="97" t="s">
        <v>917</v>
      </c>
      <c r="C67" t="s">
        <v>49</v>
      </c>
      <c r="D67" t="s">
        <v>671</v>
      </c>
      <c r="E67">
        <v>1272</v>
      </c>
      <c r="F67" s="5" t="s">
        <v>918</v>
      </c>
      <c r="G67" s="100">
        <v>42898</v>
      </c>
      <c r="H67" t="s">
        <v>915</v>
      </c>
      <c r="J67" s="151">
        <v>1</v>
      </c>
      <c r="K67" s="10" t="s">
        <v>64</v>
      </c>
      <c r="L67">
        <v>379</v>
      </c>
      <c r="M67">
        <v>97</v>
      </c>
      <c r="N67" s="9">
        <f t="shared" si="30"/>
        <v>282</v>
      </c>
      <c r="O67" s="35">
        <v>154</v>
      </c>
      <c r="P67" s="35">
        <v>154</v>
      </c>
      <c r="Q67" s="35">
        <v>155</v>
      </c>
      <c r="R67" s="9">
        <f t="shared" si="19"/>
        <v>154.33333333333334</v>
      </c>
      <c r="S67" s="35">
        <v>229</v>
      </c>
      <c r="T67" s="35">
        <v>228</v>
      </c>
      <c r="U67" s="35">
        <v>228</v>
      </c>
      <c r="V67" s="9">
        <f t="shared" si="20"/>
        <v>228.33333333333334</v>
      </c>
      <c r="W67" s="36">
        <v>12.03</v>
      </c>
      <c r="X67" s="35">
        <v>12.39</v>
      </c>
      <c r="Y67" s="35">
        <v>11.84</v>
      </c>
      <c r="Z67" s="9"/>
      <c r="AA67" s="37">
        <v>30.21</v>
      </c>
      <c r="AB67" s="37">
        <v>30.47</v>
      </c>
      <c r="AC67" s="37">
        <v>30.84</v>
      </c>
      <c r="AD67" s="24">
        <f t="shared" si="22"/>
        <v>30.506666666666664</v>
      </c>
      <c r="AE67" s="42">
        <v>38.99</v>
      </c>
      <c r="AF67" s="42">
        <v>38.630000000000003</v>
      </c>
      <c r="AG67" s="42">
        <v>38.35</v>
      </c>
      <c r="AH67" s="24">
        <f t="shared" si="23"/>
        <v>38.656666666666666</v>
      </c>
      <c r="AI67" s="37">
        <v>58.73</v>
      </c>
      <c r="AJ67" s="37">
        <v>58.3</v>
      </c>
      <c r="AK67" s="37">
        <v>58.64</v>
      </c>
      <c r="AL67" s="24">
        <f t="shared" si="26"/>
        <v>58.556666666666672</v>
      </c>
      <c r="AX67" s="10" t="s">
        <v>70</v>
      </c>
      <c r="AY67" s="9">
        <v>8</v>
      </c>
      <c r="BD67">
        <v>45.27</v>
      </c>
      <c r="BE67">
        <v>45.28</v>
      </c>
      <c r="BF67">
        <v>45.09</v>
      </c>
      <c r="BG67" s="24">
        <f t="shared" si="27"/>
        <v>45.213333333333338</v>
      </c>
      <c r="BH67">
        <v>34.53</v>
      </c>
      <c r="BI67">
        <v>34.6</v>
      </c>
      <c r="BJ67">
        <v>34.659999999999997</v>
      </c>
      <c r="BK67" s="24">
        <f t="shared" si="28"/>
        <v>34.596666666666664</v>
      </c>
      <c r="BL67">
        <v>62.45</v>
      </c>
      <c r="BM67">
        <v>62.64</v>
      </c>
      <c r="BN67">
        <v>62.41</v>
      </c>
      <c r="BO67" s="24">
        <f t="shared" si="29"/>
        <v>62.5</v>
      </c>
      <c r="BP67" t="s">
        <v>51</v>
      </c>
      <c r="BQ67" t="s">
        <v>51</v>
      </c>
      <c r="BT67"/>
      <c r="BU67"/>
      <c r="BV67"/>
      <c r="BW67"/>
      <c r="BX67"/>
      <c r="BY67"/>
    </row>
    <row r="68" spans="1:77" x14ac:dyDescent="0.25">
      <c r="A68" s="97" t="s">
        <v>302</v>
      </c>
      <c r="B68" s="97" t="s">
        <v>920</v>
      </c>
      <c r="C68" t="s">
        <v>49</v>
      </c>
      <c r="D68" t="s">
        <v>671</v>
      </c>
      <c r="E68">
        <v>1273</v>
      </c>
      <c r="F68" s="5" t="s">
        <v>924</v>
      </c>
      <c r="G68" s="100">
        <v>42898</v>
      </c>
      <c r="H68" t="s">
        <v>919</v>
      </c>
      <c r="J68" s="151">
        <v>1</v>
      </c>
      <c r="K68" s="10" t="s">
        <v>50</v>
      </c>
      <c r="L68">
        <v>424</v>
      </c>
      <c r="M68">
        <v>93</v>
      </c>
      <c r="N68" s="9">
        <f t="shared" si="30"/>
        <v>331</v>
      </c>
      <c r="O68" s="35">
        <v>168</v>
      </c>
      <c r="P68" s="35">
        <v>168</v>
      </c>
      <c r="Q68" s="35">
        <v>167</v>
      </c>
      <c r="R68" s="9">
        <f t="shared" si="19"/>
        <v>167.66666666666666</v>
      </c>
      <c r="S68" s="35">
        <v>222</v>
      </c>
      <c r="T68" s="35">
        <v>222</v>
      </c>
      <c r="U68" s="35">
        <v>222</v>
      </c>
      <c r="V68" s="9">
        <f t="shared" si="20"/>
        <v>222</v>
      </c>
      <c r="W68" s="36">
        <v>12.33</v>
      </c>
      <c r="X68" s="35">
        <v>12.09</v>
      </c>
      <c r="Y68" s="35">
        <v>12.12</v>
      </c>
      <c r="Z68" s="9"/>
      <c r="AA68" s="37">
        <v>30.03</v>
      </c>
      <c r="AB68" s="37">
        <v>30.04</v>
      </c>
      <c r="AC68" s="37">
        <v>30.19</v>
      </c>
      <c r="AD68" s="24">
        <f t="shared" si="22"/>
        <v>30.08666666666667</v>
      </c>
      <c r="AE68" s="42">
        <v>39.19</v>
      </c>
      <c r="AF68" s="42">
        <v>39.229999999999997</v>
      </c>
      <c r="AG68" s="42">
        <v>39.25</v>
      </c>
      <c r="AH68" s="24">
        <f t="shared" si="23"/>
        <v>39.223333333333329</v>
      </c>
      <c r="AI68" s="37">
        <v>63.1</v>
      </c>
      <c r="AJ68" s="37">
        <v>63.11</v>
      </c>
      <c r="AK68" s="37">
        <v>63</v>
      </c>
      <c r="AL68" s="24">
        <f t="shared" si="26"/>
        <v>63.07</v>
      </c>
      <c r="AM68" s="37">
        <v>16.39</v>
      </c>
      <c r="AN68" s="37">
        <v>16.510000000000002</v>
      </c>
      <c r="AO68" s="37">
        <v>16.79</v>
      </c>
      <c r="AQ68" s="12">
        <v>21.72</v>
      </c>
      <c r="AR68" s="37">
        <v>21.73</v>
      </c>
      <c r="AS68" s="37">
        <v>21.74</v>
      </c>
      <c r="BD68">
        <v>49.11</v>
      </c>
      <c r="BE68">
        <v>49.18</v>
      </c>
      <c r="BF68">
        <v>49.4</v>
      </c>
      <c r="BG68" s="24">
        <f t="shared" si="27"/>
        <v>49.23</v>
      </c>
      <c r="BH68">
        <v>34.619999999999997</v>
      </c>
      <c r="BI68">
        <v>34.61</v>
      </c>
      <c r="BJ68">
        <v>34.94</v>
      </c>
      <c r="BK68" s="24">
        <f t="shared" si="28"/>
        <v>34.723333333333329</v>
      </c>
      <c r="BL68">
        <v>64.17</v>
      </c>
      <c r="BM68">
        <v>64.260000000000005</v>
      </c>
      <c r="BN68">
        <v>64.260000000000005</v>
      </c>
      <c r="BO68" s="24">
        <f t="shared" si="29"/>
        <v>64.23</v>
      </c>
      <c r="BP68" t="s">
        <v>51</v>
      </c>
      <c r="BQ68" t="s">
        <v>51</v>
      </c>
      <c r="BT68"/>
      <c r="BU68"/>
      <c r="BV68"/>
      <c r="BW68"/>
      <c r="BX68"/>
      <c r="BY68"/>
    </row>
    <row r="69" spans="1:77" x14ac:dyDescent="0.25">
      <c r="A69" s="97" t="s">
        <v>302</v>
      </c>
      <c r="B69" s="97" t="s">
        <v>922</v>
      </c>
      <c r="C69" t="s">
        <v>49</v>
      </c>
      <c r="D69" t="s">
        <v>671</v>
      </c>
      <c r="E69">
        <v>1274</v>
      </c>
      <c r="F69" s="5" t="s">
        <v>923</v>
      </c>
      <c r="G69" s="100">
        <v>42898</v>
      </c>
      <c r="H69" t="s">
        <v>921</v>
      </c>
      <c r="J69" s="151">
        <v>1</v>
      </c>
      <c r="K69" s="10" t="s">
        <v>50</v>
      </c>
      <c r="L69">
        <v>578</v>
      </c>
      <c r="M69">
        <v>93</v>
      </c>
      <c r="N69" s="9">
        <f t="shared" si="30"/>
        <v>485</v>
      </c>
      <c r="O69" s="35">
        <v>186</v>
      </c>
      <c r="P69" s="35">
        <v>187</v>
      </c>
      <c r="Q69" s="35">
        <v>187</v>
      </c>
      <c r="R69" s="9">
        <f t="shared" si="19"/>
        <v>186.66666666666666</v>
      </c>
      <c r="S69" s="35">
        <v>275</v>
      </c>
      <c r="T69" s="35">
        <v>275</v>
      </c>
      <c r="U69" s="35">
        <v>275</v>
      </c>
      <c r="V69" s="9">
        <f t="shared" si="20"/>
        <v>275</v>
      </c>
      <c r="W69" s="36">
        <v>13.61</v>
      </c>
      <c r="X69" s="35">
        <v>13.45</v>
      </c>
      <c r="Y69" s="35">
        <v>13.17</v>
      </c>
      <c r="Z69" s="9"/>
      <c r="AA69" s="37">
        <v>35.25</v>
      </c>
      <c r="AB69" s="37">
        <v>35.17</v>
      </c>
      <c r="AC69" s="37">
        <v>35.380000000000003</v>
      </c>
      <c r="AD69" s="24">
        <f t="shared" si="22"/>
        <v>35.266666666666673</v>
      </c>
      <c r="AE69" s="42">
        <v>44.98</v>
      </c>
      <c r="AF69" s="42">
        <v>45.22</v>
      </c>
      <c r="AG69" s="42">
        <v>45.14</v>
      </c>
      <c r="AH69" s="24">
        <f t="shared" si="23"/>
        <v>45.113333333333323</v>
      </c>
      <c r="AI69" s="37">
        <v>70.39</v>
      </c>
      <c r="AJ69" s="37">
        <v>70.540000000000006</v>
      </c>
      <c r="AK69" s="37">
        <v>70.31</v>
      </c>
      <c r="AL69" s="24">
        <f t="shared" si="26"/>
        <v>70.413333333333341</v>
      </c>
      <c r="AM69" s="37">
        <v>17.59</v>
      </c>
      <c r="AN69" s="37">
        <v>17.77</v>
      </c>
      <c r="AO69" s="37">
        <v>17.600000000000001</v>
      </c>
      <c r="AQ69" s="37">
        <v>22.58</v>
      </c>
      <c r="AR69" s="37">
        <v>22.52</v>
      </c>
      <c r="AS69" s="37">
        <v>22.16</v>
      </c>
      <c r="BD69">
        <v>56.4</v>
      </c>
      <c r="BE69">
        <v>56.41</v>
      </c>
      <c r="BF69">
        <v>56.43</v>
      </c>
      <c r="BG69" s="24">
        <f t="shared" si="27"/>
        <v>56.413333333333334</v>
      </c>
      <c r="BH69">
        <v>37</v>
      </c>
      <c r="BI69">
        <v>36.99</v>
      </c>
      <c r="BJ69">
        <v>37.159999999999997</v>
      </c>
      <c r="BK69" s="24">
        <f t="shared" si="28"/>
        <v>37.050000000000004</v>
      </c>
      <c r="BL69">
        <v>74.08</v>
      </c>
      <c r="BM69">
        <v>74.25</v>
      </c>
      <c r="BN69">
        <v>74.59</v>
      </c>
      <c r="BO69" s="24">
        <f t="shared" si="29"/>
        <v>74.306666666666658</v>
      </c>
      <c r="BP69" t="s">
        <v>51</v>
      </c>
      <c r="BQ69" t="s">
        <v>51</v>
      </c>
      <c r="BT69"/>
      <c r="BU69"/>
      <c r="BV69"/>
      <c r="BW69"/>
      <c r="BX69"/>
      <c r="BY69"/>
    </row>
    <row r="70" spans="1:77" x14ac:dyDescent="0.25">
      <c r="A70" s="97" t="s">
        <v>302</v>
      </c>
      <c r="B70" s="97" t="s">
        <v>926</v>
      </c>
      <c r="C70" t="s">
        <v>49</v>
      </c>
      <c r="D70" t="s">
        <v>671</v>
      </c>
      <c r="E70">
        <v>1275</v>
      </c>
      <c r="F70" s="5" t="s">
        <v>927</v>
      </c>
      <c r="G70" s="100">
        <v>42900</v>
      </c>
      <c r="H70" t="s">
        <v>925</v>
      </c>
      <c r="J70" s="151">
        <v>1</v>
      </c>
      <c r="K70" s="10" t="s">
        <v>50</v>
      </c>
      <c r="L70">
        <v>623</v>
      </c>
      <c r="M70">
        <v>89</v>
      </c>
      <c r="N70" s="9">
        <f t="shared" si="30"/>
        <v>534</v>
      </c>
      <c r="O70" s="35">
        <v>187</v>
      </c>
      <c r="P70" s="35">
        <v>187</v>
      </c>
      <c r="Q70" s="35">
        <v>187</v>
      </c>
      <c r="R70" s="9">
        <f t="shared" si="19"/>
        <v>187</v>
      </c>
      <c r="S70" s="35">
        <v>278</v>
      </c>
      <c r="T70" s="35">
        <v>277</v>
      </c>
      <c r="U70" s="35">
        <v>278</v>
      </c>
      <c r="V70" s="9">
        <f t="shared" si="20"/>
        <v>277.66666666666669</v>
      </c>
      <c r="W70" s="36">
        <v>13.7</v>
      </c>
      <c r="X70" s="35">
        <v>13.62</v>
      </c>
      <c r="Y70" s="35">
        <v>13.19</v>
      </c>
      <c r="Z70" s="9"/>
      <c r="AA70" s="37">
        <v>33.81</v>
      </c>
      <c r="AB70" s="37">
        <v>33.520000000000003</v>
      </c>
      <c r="AC70" s="37">
        <v>33.92</v>
      </c>
      <c r="AD70" s="24">
        <f t="shared" si="22"/>
        <v>33.750000000000007</v>
      </c>
      <c r="AE70" s="42">
        <v>43.89</v>
      </c>
      <c r="AF70" s="42">
        <v>43.97</v>
      </c>
      <c r="AG70" s="42">
        <v>43.92</v>
      </c>
      <c r="AH70" s="24">
        <f t="shared" si="23"/>
        <v>43.926666666666669</v>
      </c>
      <c r="AI70" s="37">
        <v>70.260000000000005</v>
      </c>
      <c r="AJ70" s="37">
        <v>70.16</v>
      </c>
      <c r="AK70" s="37">
        <v>70.400000000000006</v>
      </c>
      <c r="AL70" s="24">
        <f t="shared" si="26"/>
        <v>70.273333333333341</v>
      </c>
      <c r="AM70" s="37">
        <v>17.68</v>
      </c>
      <c r="AN70" s="37">
        <v>17.579999999999998</v>
      </c>
      <c r="AO70" s="37">
        <v>17.829999999999998</v>
      </c>
      <c r="AQ70" s="37">
        <v>22.29</v>
      </c>
      <c r="AR70" s="37">
        <v>23.36</v>
      </c>
      <c r="AS70" s="37">
        <v>22.43</v>
      </c>
      <c r="BD70" s="37">
        <v>55.88</v>
      </c>
      <c r="BE70" s="37">
        <v>55.67</v>
      </c>
      <c r="BF70" s="37">
        <v>55.84</v>
      </c>
      <c r="BG70" s="24">
        <f t="shared" si="27"/>
        <v>55.796666666666674</v>
      </c>
      <c r="BH70" s="37">
        <v>39.92</v>
      </c>
      <c r="BI70" s="37">
        <v>39.549999999999997</v>
      </c>
      <c r="BJ70" s="37">
        <v>39.869999999999997</v>
      </c>
      <c r="BK70" s="24">
        <f t="shared" si="28"/>
        <v>39.78</v>
      </c>
      <c r="BL70" s="37">
        <v>71.739999999999995</v>
      </c>
      <c r="BM70" s="37">
        <v>71.819999999999993</v>
      </c>
      <c r="BN70" s="37">
        <v>71.319999999999993</v>
      </c>
      <c r="BO70" s="24">
        <f t="shared" si="29"/>
        <v>71.626666666666665</v>
      </c>
      <c r="BP70" t="s">
        <v>51</v>
      </c>
      <c r="BQ70" t="s">
        <v>51</v>
      </c>
      <c r="BT70"/>
      <c r="BU70"/>
      <c r="BV70"/>
      <c r="BW70"/>
      <c r="BX70"/>
      <c r="BY70"/>
    </row>
    <row r="71" spans="1:77" x14ac:dyDescent="0.25">
      <c r="A71" s="97" t="s">
        <v>302</v>
      </c>
      <c r="B71" s="97" t="s">
        <v>929</v>
      </c>
      <c r="C71" t="s">
        <v>49</v>
      </c>
      <c r="D71" t="s">
        <v>671</v>
      </c>
      <c r="E71">
        <v>1250</v>
      </c>
      <c r="F71" s="5" t="s">
        <v>930</v>
      </c>
      <c r="G71" s="100">
        <v>42900</v>
      </c>
      <c r="H71" t="s">
        <v>928</v>
      </c>
      <c r="J71" s="151">
        <v>1</v>
      </c>
      <c r="K71" s="10" t="s">
        <v>50</v>
      </c>
      <c r="L71">
        <v>702</v>
      </c>
      <c r="M71">
        <v>93</v>
      </c>
      <c r="N71" s="9">
        <f t="shared" si="30"/>
        <v>609</v>
      </c>
      <c r="O71" s="35">
        <v>207</v>
      </c>
      <c r="P71" s="35">
        <v>207</v>
      </c>
      <c r="Q71" s="35">
        <v>207</v>
      </c>
      <c r="R71" s="9">
        <f t="shared" si="19"/>
        <v>207</v>
      </c>
      <c r="S71" s="35">
        <v>273</v>
      </c>
      <c r="T71" s="35">
        <v>273</v>
      </c>
      <c r="U71" s="35">
        <v>273</v>
      </c>
      <c r="V71" s="9">
        <f t="shared" si="20"/>
        <v>273</v>
      </c>
      <c r="W71" s="36">
        <v>15.75</v>
      </c>
      <c r="X71" s="35">
        <v>15.64</v>
      </c>
      <c r="Y71" s="35">
        <v>15.55</v>
      </c>
      <c r="Z71" s="9"/>
      <c r="AA71" s="37">
        <v>35.51</v>
      </c>
      <c r="AB71" s="37">
        <v>35.69</v>
      </c>
      <c r="AC71" s="37">
        <v>35.81</v>
      </c>
      <c r="AD71" s="24">
        <f t="shared" si="22"/>
        <v>35.669999999999995</v>
      </c>
      <c r="AE71" s="42">
        <v>44.2</v>
      </c>
      <c r="AF71" s="42">
        <v>44.24</v>
      </c>
      <c r="AG71" s="42">
        <v>44.3</v>
      </c>
      <c r="AH71" s="24">
        <f t="shared" si="23"/>
        <v>44.24666666666667</v>
      </c>
      <c r="AI71" s="37">
        <v>70.290000000000006</v>
      </c>
      <c r="AJ71" s="37">
        <v>70.28</v>
      </c>
      <c r="AK71" s="37">
        <v>70.17</v>
      </c>
      <c r="AL71" s="24">
        <f t="shared" si="26"/>
        <v>70.24666666666667</v>
      </c>
      <c r="AM71" s="37">
        <v>20.45</v>
      </c>
      <c r="AN71" s="37">
        <v>19.95</v>
      </c>
      <c r="AO71" s="37">
        <v>20.71</v>
      </c>
      <c r="AQ71" s="37">
        <v>26.21</v>
      </c>
      <c r="AR71" s="37">
        <v>25.43</v>
      </c>
      <c r="AS71" s="37">
        <v>25.83</v>
      </c>
      <c r="BD71">
        <v>55.72</v>
      </c>
      <c r="BE71">
        <v>55.56</v>
      </c>
      <c r="BF71">
        <v>55.42</v>
      </c>
      <c r="BG71" s="24">
        <f t="shared" si="27"/>
        <v>55.566666666666663</v>
      </c>
      <c r="BH71">
        <v>42.7</v>
      </c>
      <c r="BI71">
        <v>42.33</v>
      </c>
      <c r="BJ71">
        <v>42.47</v>
      </c>
      <c r="BK71" s="24">
        <f t="shared" si="28"/>
        <v>42.5</v>
      </c>
      <c r="BL71">
        <v>75.02</v>
      </c>
      <c r="BM71">
        <v>75.66</v>
      </c>
      <c r="BN71">
        <v>75.61</v>
      </c>
      <c r="BO71" s="24">
        <f t="shared" si="29"/>
        <v>75.430000000000007</v>
      </c>
      <c r="BP71" t="s">
        <v>51</v>
      </c>
      <c r="BQ71" t="s">
        <v>51</v>
      </c>
      <c r="BT71"/>
      <c r="BU71"/>
      <c r="BV71"/>
      <c r="BW71"/>
      <c r="BX71"/>
      <c r="BY71"/>
    </row>
    <row r="72" spans="1:77" x14ac:dyDescent="0.25">
      <c r="A72" s="97" t="s">
        <v>302</v>
      </c>
      <c r="B72" s="97" t="s">
        <v>932</v>
      </c>
      <c r="C72" t="s">
        <v>49</v>
      </c>
      <c r="D72" t="s">
        <v>671</v>
      </c>
      <c r="E72">
        <v>1277</v>
      </c>
      <c r="F72" s="5" t="s">
        <v>933</v>
      </c>
      <c r="G72" s="100">
        <v>42900</v>
      </c>
      <c r="H72" t="s">
        <v>931</v>
      </c>
      <c r="J72" s="151">
        <v>1</v>
      </c>
      <c r="K72" s="10" t="s">
        <v>64</v>
      </c>
      <c r="L72">
        <v>404</v>
      </c>
      <c r="M72">
        <v>91</v>
      </c>
      <c r="N72" s="9">
        <f t="shared" si="30"/>
        <v>313</v>
      </c>
      <c r="O72" s="35">
        <v>165</v>
      </c>
      <c r="P72" s="35">
        <v>165</v>
      </c>
      <c r="Q72" s="35">
        <v>166</v>
      </c>
      <c r="R72" s="9">
        <f t="shared" si="19"/>
        <v>165.33333333333334</v>
      </c>
      <c r="S72" s="35">
        <v>212</v>
      </c>
      <c r="T72" s="35">
        <v>212</v>
      </c>
      <c r="U72" s="35">
        <v>212</v>
      </c>
      <c r="V72" s="9">
        <f t="shared" si="20"/>
        <v>212</v>
      </c>
      <c r="W72" s="36">
        <v>11.82</v>
      </c>
      <c r="X72" s="35">
        <v>11.81</v>
      </c>
      <c r="Y72" s="35">
        <v>11.68</v>
      </c>
      <c r="Z72" s="9"/>
      <c r="AA72" s="37">
        <v>30.35</v>
      </c>
      <c r="AB72" s="37">
        <v>30.32</v>
      </c>
      <c r="AC72" s="37">
        <v>30.41</v>
      </c>
      <c r="AD72" s="24">
        <f t="shared" si="22"/>
        <v>30.36</v>
      </c>
      <c r="AE72" s="42">
        <v>40.270000000000003</v>
      </c>
      <c r="AF72" s="42">
        <v>40.619999999999997</v>
      </c>
      <c r="AG72" s="42">
        <v>40.46</v>
      </c>
      <c r="AH72" s="24">
        <f t="shared" si="23"/>
        <v>40.449999999999996</v>
      </c>
      <c r="AI72" s="37">
        <v>60.91</v>
      </c>
      <c r="AJ72" s="37">
        <v>60.96</v>
      </c>
      <c r="AK72" s="37">
        <v>60.88</v>
      </c>
      <c r="AL72" s="24">
        <f t="shared" si="26"/>
        <v>60.916666666666664</v>
      </c>
      <c r="AQ72" s="35"/>
      <c r="AR72" s="35"/>
      <c r="AS72" s="35"/>
      <c r="AX72" s="10" t="s">
        <v>70</v>
      </c>
      <c r="AY72" s="9">
        <v>8</v>
      </c>
      <c r="AZ72">
        <v>0</v>
      </c>
      <c r="BD72">
        <v>46.11</v>
      </c>
      <c r="BE72">
        <v>46.05</v>
      </c>
      <c r="BF72">
        <v>46.21</v>
      </c>
      <c r="BG72" s="24">
        <f t="shared" si="27"/>
        <v>46.123333333333335</v>
      </c>
      <c r="BH72">
        <v>33.729999999999997</v>
      </c>
      <c r="BI72">
        <v>33.5</v>
      </c>
      <c r="BJ72">
        <v>33.79</v>
      </c>
      <c r="BK72" s="24">
        <f t="shared" si="28"/>
        <v>33.673333333333325</v>
      </c>
      <c r="BL72">
        <v>62.61</v>
      </c>
      <c r="BM72">
        <v>64.040000000000006</v>
      </c>
      <c r="BN72">
        <v>63.98</v>
      </c>
      <c r="BO72" s="24">
        <f t="shared" si="29"/>
        <v>63.543333333333329</v>
      </c>
      <c r="BP72" t="s">
        <v>51</v>
      </c>
      <c r="BQ72" t="s">
        <v>51</v>
      </c>
      <c r="BT72"/>
      <c r="BU72"/>
      <c r="BV72"/>
      <c r="BW72"/>
      <c r="BX72"/>
      <c r="BY72"/>
    </row>
    <row r="73" spans="1:77" x14ac:dyDescent="0.25">
      <c r="A73" s="97" t="s">
        <v>302</v>
      </c>
      <c r="B73" s="97" t="s">
        <v>934</v>
      </c>
      <c r="C73" t="s">
        <v>49</v>
      </c>
      <c r="D73" t="s">
        <v>671</v>
      </c>
      <c r="E73">
        <v>1225</v>
      </c>
      <c r="F73" s="5" t="s">
        <v>936</v>
      </c>
      <c r="G73" s="100">
        <v>42900</v>
      </c>
      <c r="H73" t="s">
        <v>935</v>
      </c>
      <c r="J73" s="151">
        <v>2</v>
      </c>
      <c r="K73" s="10" t="s">
        <v>64</v>
      </c>
      <c r="L73">
        <v>458</v>
      </c>
      <c r="M73">
        <v>96</v>
      </c>
      <c r="N73" s="9">
        <f t="shared" si="30"/>
        <v>362</v>
      </c>
      <c r="O73" s="35">
        <v>174</v>
      </c>
      <c r="P73" s="35">
        <v>175</v>
      </c>
      <c r="Q73" s="35">
        <v>174</v>
      </c>
      <c r="R73" s="9">
        <f t="shared" si="19"/>
        <v>174.33333333333334</v>
      </c>
      <c r="S73" s="35">
        <v>238</v>
      </c>
      <c r="T73" s="35">
        <v>238</v>
      </c>
      <c r="U73" s="35">
        <v>238</v>
      </c>
      <c r="V73" s="9">
        <f t="shared" si="20"/>
        <v>238</v>
      </c>
      <c r="W73" s="36">
        <v>12.64</v>
      </c>
      <c r="X73" s="35">
        <v>12.34</v>
      </c>
      <c r="Y73" s="35">
        <v>12.52</v>
      </c>
      <c r="Z73" s="9"/>
      <c r="AA73" s="37">
        <v>29.46</v>
      </c>
      <c r="AB73" s="37">
        <v>29.13</v>
      </c>
      <c r="AC73" s="37">
        <v>29.34</v>
      </c>
      <c r="AD73" s="24">
        <f t="shared" si="22"/>
        <v>29.310000000000002</v>
      </c>
      <c r="AE73" s="42">
        <v>37.64</v>
      </c>
      <c r="AF73" s="42">
        <v>37.659999999999997</v>
      </c>
      <c r="AG73" s="42">
        <v>37.700000000000003</v>
      </c>
      <c r="AH73" s="24">
        <f t="shared" si="23"/>
        <v>37.666666666666664</v>
      </c>
      <c r="AI73" s="37">
        <v>61.78</v>
      </c>
      <c r="AJ73" s="37">
        <v>61.87</v>
      </c>
      <c r="AK73" s="37">
        <v>61.76</v>
      </c>
      <c r="AL73" s="24">
        <f t="shared" si="26"/>
        <v>61.803333333333335</v>
      </c>
      <c r="AX73" s="10" t="s">
        <v>65</v>
      </c>
      <c r="AY73" s="9">
        <v>8</v>
      </c>
      <c r="AZ73">
        <v>7</v>
      </c>
      <c r="BD73">
        <v>46.63</v>
      </c>
      <c r="BE73">
        <v>46.59</v>
      </c>
      <c r="BF73">
        <v>46.97</v>
      </c>
      <c r="BG73" s="24">
        <f t="shared" si="27"/>
        <v>46.73</v>
      </c>
      <c r="BH73">
        <v>34.619999999999997</v>
      </c>
      <c r="BI73">
        <v>34.96</v>
      </c>
      <c r="BJ73">
        <v>34.630000000000003</v>
      </c>
      <c r="BK73" s="24">
        <f t="shared" si="28"/>
        <v>34.736666666666672</v>
      </c>
      <c r="BL73">
        <v>69.02</v>
      </c>
      <c r="BM73">
        <v>69.17</v>
      </c>
      <c r="BN73">
        <v>69.16</v>
      </c>
      <c r="BO73" s="24">
        <f t="shared" si="29"/>
        <v>69.11666666666666</v>
      </c>
      <c r="BP73" t="s">
        <v>51</v>
      </c>
      <c r="BQ73" t="s">
        <v>51</v>
      </c>
      <c r="BT73"/>
      <c r="BU73"/>
      <c r="BV73"/>
      <c r="BW73"/>
      <c r="BX73"/>
      <c r="BY73"/>
    </row>
    <row r="74" spans="1:77" x14ac:dyDescent="0.25">
      <c r="A74" s="97" t="s">
        <v>302</v>
      </c>
      <c r="B74" s="97" t="s">
        <v>938</v>
      </c>
      <c r="C74" t="s">
        <v>49</v>
      </c>
      <c r="D74" t="s">
        <v>671</v>
      </c>
      <c r="E74">
        <v>1284</v>
      </c>
      <c r="F74" s="5" t="s">
        <v>942</v>
      </c>
      <c r="G74" s="100">
        <v>42901</v>
      </c>
      <c r="H74" t="s">
        <v>937</v>
      </c>
      <c r="J74" s="151">
        <v>1</v>
      </c>
      <c r="K74" s="10" t="s">
        <v>50</v>
      </c>
      <c r="L74">
        <v>609</v>
      </c>
      <c r="M74">
        <v>95</v>
      </c>
      <c r="N74" s="9">
        <f t="shared" si="30"/>
        <v>514</v>
      </c>
      <c r="O74" s="35">
        <v>192</v>
      </c>
      <c r="P74" s="35">
        <v>193</v>
      </c>
      <c r="Q74" s="35">
        <v>193</v>
      </c>
      <c r="R74" s="9">
        <f t="shared" si="19"/>
        <v>192.66666666666666</v>
      </c>
      <c r="S74" s="35">
        <v>244</v>
      </c>
      <c r="T74" s="35">
        <v>244</v>
      </c>
      <c r="U74" s="35">
        <v>244</v>
      </c>
      <c r="V74" s="9">
        <f t="shared" si="20"/>
        <v>244</v>
      </c>
      <c r="W74" s="36">
        <v>14.76</v>
      </c>
      <c r="X74" s="35">
        <v>14.77</v>
      </c>
      <c r="Y74" s="35">
        <v>14.61</v>
      </c>
      <c r="Z74" s="9"/>
      <c r="AA74" s="37">
        <v>32.81</v>
      </c>
      <c r="AB74" s="37">
        <v>32.6</v>
      </c>
      <c r="AC74" s="37">
        <v>32.5</v>
      </c>
      <c r="AD74" s="24">
        <f t="shared" si="22"/>
        <v>32.636666666666663</v>
      </c>
      <c r="AE74" s="42">
        <v>42.43</v>
      </c>
      <c r="AF74" s="42">
        <v>42.93</v>
      </c>
      <c r="AG74" s="42">
        <v>42.91</v>
      </c>
      <c r="AH74" s="24">
        <f t="shared" si="23"/>
        <v>42.756666666666661</v>
      </c>
      <c r="AI74" s="37">
        <v>66.36</v>
      </c>
      <c r="AJ74" s="37">
        <v>66.319999999999993</v>
      </c>
      <c r="AK74" s="37">
        <v>66.61</v>
      </c>
      <c r="AL74" s="24">
        <f t="shared" si="26"/>
        <v>66.430000000000007</v>
      </c>
      <c r="AM74" s="37">
        <v>18.850000000000001</v>
      </c>
      <c r="AN74" s="37">
        <v>18.47</v>
      </c>
      <c r="AO74" s="37">
        <v>19.059999999999999</v>
      </c>
      <c r="AQ74" s="37">
        <v>22.97</v>
      </c>
      <c r="AR74" s="37">
        <v>22.53</v>
      </c>
      <c r="AS74" s="37">
        <v>22.67</v>
      </c>
      <c r="BD74">
        <v>53.66</v>
      </c>
      <c r="BE74">
        <v>53.93</v>
      </c>
      <c r="BF74">
        <v>53.62</v>
      </c>
      <c r="BG74" s="24">
        <f t="shared" si="27"/>
        <v>53.736666666666672</v>
      </c>
      <c r="BH74">
        <v>39.229999999999997</v>
      </c>
      <c r="BI74">
        <v>39.82</v>
      </c>
      <c r="BJ74">
        <v>39.83</v>
      </c>
      <c r="BK74" s="24">
        <f t="shared" si="28"/>
        <v>39.626666666666665</v>
      </c>
      <c r="BL74">
        <v>71.47</v>
      </c>
      <c r="BM74">
        <v>71.7</v>
      </c>
      <c r="BN74">
        <v>71.61</v>
      </c>
      <c r="BO74" s="24">
        <f t="shared" si="29"/>
        <v>71.593333333333348</v>
      </c>
      <c r="BP74" t="s">
        <v>51</v>
      </c>
      <c r="BQ74" t="s">
        <v>51</v>
      </c>
      <c r="BT74"/>
      <c r="BU74"/>
      <c r="BV74"/>
      <c r="BW74"/>
      <c r="BX74"/>
      <c r="BY74"/>
    </row>
    <row r="75" spans="1:77" x14ac:dyDescent="0.25">
      <c r="A75" s="97" t="s">
        <v>302</v>
      </c>
      <c r="B75" s="97" t="s">
        <v>939</v>
      </c>
      <c r="C75" t="s">
        <v>49</v>
      </c>
      <c r="D75" t="s">
        <v>671</v>
      </c>
      <c r="E75">
        <v>1278</v>
      </c>
      <c r="F75" s="5" t="s">
        <v>940</v>
      </c>
      <c r="G75" s="100">
        <v>42901</v>
      </c>
      <c r="H75" t="s">
        <v>941</v>
      </c>
      <c r="J75" s="147">
        <v>1</v>
      </c>
      <c r="K75" s="10" t="s">
        <v>50</v>
      </c>
      <c r="L75">
        <v>722</v>
      </c>
      <c r="M75">
        <v>97</v>
      </c>
      <c r="N75" s="9">
        <f t="shared" si="30"/>
        <v>625</v>
      </c>
      <c r="O75" s="35">
        <v>219</v>
      </c>
      <c r="P75" s="35">
        <v>219</v>
      </c>
      <c r="Q75" s="35">
        <v>218</v>
      </c>
      <c r="R75" s="24">
        <f t="shared" si="19"/>
        <v>218.66666666666666</v>
      </c>
      <c r="S75" s="35">
        <v>293</v>
      </c>
      <c r="T75" s="35">
        <v>293</v>
      </c>
      <c r="U75" s="35">
        <v>293</v>
      </c>
      <c r="V75" s="24">
        <f t="shared" si="20"/>
        <v>293</v>
      </c>
      <c r="W75" s="36">
        <v>16.03</v>
      </c>
      <c r="X75" s="35">
        <v>16.66</v>
      </c>
      <c r="Y75" s="35">
        <v>16.29</v>
      </c>
      <c r="AA75" s="37">
        <v>36.69</v>
      </c>
      <c r="AB75" s="37">
        <v>36.4</v>
      </c>
      <c r="AC75" s="37">
        <v>36.479999999999997</v>
      </c>
      <c r="AD75" s="24">
        <f t="shared" si="22"/>
        <v>36.523333333333333</v>
      </c>
      <c r="AE75" s="42">
        <v>45.58</v>
      </c>
      <c r="AF75" s="42">
        <v>45.22</v>
      </c>
      <c r="AG75" s="42">
        <v>45.64</v>
      </c>
      <c r="AH75" s="24">
        <f t="shared" si="23"/>
        <v>45.48</v>
      </c>
      <c r="AI75" s="37">
        <v>73.75</v>
      </c>
      <c r="AJ75" s="37">
        <v>73.81</v>
      </c>
      <c r="AK75" s="37">
        <v>73.709999999999994</v>
      </c>
      <c r="AL75" s="24">
        <f t="shared" si="26"/>
        <v>73.756666666666661</v>
      </c>
      <c r="AM75" s="37">
        <v>18.829999999999998</v>
      </c>
      <c r="AN75" s="37">
        <v>19.420000000000002</v>
      </c>
      <c r="AO75" s="37">
        <v>19.02</v>
      </c>
      <c r="AQ75" s="37">
        <v>24.63</v>
      </c>
      <c r="AR75" s="37">
        <v>24.64</v>
      </c>
      <c r="AS75" s="37">
        <v>23.97</v>
      </c>
      <c r="BD75">
        <v>59.56</v>
      </c>
      <c r="BE75">
        <v>59.66</v>
      </c>
      <c r="BF75">
        <v>59.75</v>
      </c>
      <c r="BH75">
        <v>43.43</v>
      </c>
      <c r="BI75">
        <v>43.45</v>
      </c>
      <c r="BJ75">
        <v>43.42</v>
      </c>
      <c r="BL75">
        <v>78.53</v>
      </c>
      <c r="BM75">
        <v>78.03</v>
      </c>
      <c r="BN75">
        <v>78.42</v>
      </c>
      <c r="BP75" t="s">
        <v>51</v>
      </c>
      <c r="BQ75" t="s">
        <v>51</v>
      </c>
    </row>
    <row r="76" spans="1:77" x14ac:dyDescent="0.25">
      <c r="A76" s="97" t="s">
        <v>302</v>
      </c>
      <c r="B76" s="97" t="s">
        <v>945</v>
      </c>
      <c r="C76" t="s">
        <v>49</v>
      </c>
      <c r="D76" t="s">
        <v>671</v>
      </c>
      <c r="E76">
        <v>1279</v>
      </c>
      <c r="F76" s="5" t="s">
        <v>944</v>
      </c>
      <c r="G76" s="100">
        <v>42901</v>
      </c>
      <c r="H76" t="s">
        <v>943</v>
      </c>
      <c r="J76" s="147">
        <v>1</v>
      </c>
      <c r="K76" s="10" t="s">
        <v>50</v>
      </c>
      <c r="L76">
        <v>628</v>
      </c>
      <c r="M76">
        <v>93</v>
      </c>
      <c r="N76" s="9">
        <f t="shared" si="30"/>
        <v>535</v>
      </c>
      <c r="O76" s="35">
        <v>203</v>
      </c>
      <c r="P76" s="35">
        <v>202</v>
      </c>
      <c r="Q76" s="35">
        <v>203</v>
      </c>
      <c r="R76" s="24">
        <f t="shared" si="19"/>
        <v>202.66666666666666</v>
      </c>
      <c r="S76" s="35">
        <v>185</v>
      </c>
      <c r="T76" s="35">
        <v>185</v>
      </c>
      <c r="U76" s="35">
        <v>185</v>
      </c>
      <c r="V76" s="24">
        <f t="shared" si="20"/>
        <v>185</v>
      </c>
      <c r="W76" s="36">
        <v>15.32</v>
      </c>
      <c r="X76" s="35">
        <v>15.73</v>
      </c>
      <c r="Y76" s="35">
        <v>14.96</v>
      </c>
      <c r="AA76" s="37">
        <v>35.08</v>
      </c>
      <c r="AB76" s="37">
        <v>35.06</v>
      </c>
      <c r="AC76" s="37">
        <v>35.21</v>
      </c>
      <c r="AD76" s="24">
        <f t="shared" si="22"/>
        <v>35.116666666666667</v>
      </c>
      <c r="AE76" s="42">
        <v>44.38</v>
      </c>
      <c r="AF76" s="42">
        <v>44.26</v>
      </c>
      <c r="AG76" s="42">
        <v>44.18</v>
      </c>
      <c r="AH76" s="24">
        <f t="shared" si="23"/>
        <v>44.273333333333333</v>
      </c>
      <c r="AI76" s="37">
        <v>68.67</v>
      </c>
      <c r="AJ76" s="37">
        <v>68.790000000000006</v>
      </c>
      <c r="AK76" s="37">
        <v>68.83</v>
      </c>
      <c r="AL76" s="24">
        <f t="shared" ref="AL76:AL80" si="31">AVERAGE(AI76:AK76)</f>
        <v>68.763333333333335</v>
      </c>
      <c r="AM76" s="37">
        <v>17.25</v>
      </c>
      <c r="AN76" s="37">
        <v>18.28</v>
      </c>
      <c r="AO76" s="37">
        <v>18.27</v>
      </c>
      <c r="AQ76" s="37">
        <v>23.55</v>
      </c>
      <c r="AR76" s="37">
        <v>25.4</v>
      </c>
      <c r="AS76" s="37">
        <v>24.68</v>
      </c>
      <c r="BD76">
        <v>55.52</v>
      </c>
      <c r="BE76">
        <v>55.48</v>
      </c>
      <c r="BF76">
        <v>55.61</v>
      </c>
      <c r="BH76">
        <v>40.869999999999997</v>
      </c>
      <c r="BI76">
        <v>40.79</v>
      </c>
      <c r="BJ76">
        <v>40.770000000000003</v>
      </c>
      <c r="BL76">
        <v>72.7</v>
      </c>
      <c r="BM76">
        <v>72.56</v>
      </c>
      <c r="BN76">
        <v>72.75</v>
      </c>
      <c r="BP76" t="s">
        <v>51</v>
      </c>
      <c r="BQ76" t="s">
        <v>51</v>
      </c>
    </row>
    <row r="77" spans="1:77" x14ac:dyDescent="0.25">
      <c r="A77" s="97" t="s">
        <v>302</v>
      </c>
      <c r="B77" s="97" t="s">
        <v>946</v>
      </c>
      <c r="C77" t="s">
        <v>49</v>
      </c>
      <c r="D77" t="s">
        <v>671</v>
      </c>
      <c r="E77">
        <v>1280</v>
      </c>
      <c r="F77" s="5" t="s">
        <v>948</v>
      </c>
      <c r="G77" s="100">
        <v>42901</v>
      </c>
      <c r="H77" t="s">
        <v>947</v>
      </c>
      <c r="J77" s="147">
        <v>1</v>
      </c>
      <c r="K77" s="10" t="s">
        <v>50</v>
      </c>
      <c r="L77">
        <v>508</v>
      </c>
      <c r="M77">
        <v>89</v>
      </c>
      <c r="N77" s="9">
        <f t="shared" si="30"/>
        <v>419</v>
      </c>
      <c r="O77" s="35">
        <v>175</v>
      </c>
      <c r="P77" s="35">
        <v>175</v>
      </c>
      <c r="Q77" s="35">
        <v>175</v>
      </c>
      <c r="R77" s="24">
        <f t="shared" si="19"/>
        <v>175</v>
      </c>
      <c r="S77" s="35">
        <v>250</v>
      </c>
      <c r="T77" s="35">
        <v>249</v>
      </c>
      <c r="U77" s="35">
        <v>249</v>
      </c>
      <c r="V77" s="24">
        <f t="shared" si="20"/>
        <v>249.33333333333334</v>
      </c>
      <c r="W77" s="36">
        <v>13.86</v>
      </c>
      <c r="X77" s="35">
        <v>13.72</v>
      </c>
      <c r="Y77" s="35">
        <v>13.31</v>
      </c>
      <c r="AA77" s="37">
        <v>33.340000000000003</v>
      </c>
      <c r="AB77" s="37">
        <v>33.33</v>
      </c>
      <c r="AC77" s="37">
        <v>33.130000000000003</v>
      </c>
      <c r="AD77" s="24">
        <f t="shared" si="22"/>
        <v>33.266666666666673</v>
      </c>
      <c r="AE77" s="42">
        <v>42.5</v>
      </c>
      <c r="AF77" s="42">
        <v>42.56</v>
      </c>
      <c r="AG77" s="42">
        <v>42.63</v>
      </c>
      <c r="AH77" s="24">
        <f t="shared" si="23"/>
        <v>42.563333333333333</v>
      </c>
      <c r="AI77" s="37">
        <v>67.959999999999994</v>
      </c>
      <c r="AJ77" s="37">
        <v>67.260000000000005</v>
      </c>
      <c r="AK77" s="37">
        <v>67.599999999999994</v>
      </c>
      <c r="AL77" s="24">
        <f t="shared" si="31"/>
        <v>67.606666666666669</v>
      </c>
      <c r="AM77" s="37">
        <v>18.13</v>
      </c>
      <c r="AN77" s="37">
        <v>18.559999999999999</v>
      </c>
      <c r="AO77" s="37">
        <v>18.66</v>
      </c>
      <c r="AQ77" s="37">
        <v>24.17</v>
      </c>
      <c r="AR77" s="37">
        <v>24.37</v>
      </c>
      <c r="AS77" s="37">
        <v>24.06</v>
      </c>
      <c r="BD77">
        <v>51.1</v>
      </c>
      <c r="BE77">
        <v>50.95</v>
      </c>
      <c r="BF77">
        <v>50.9</v>
      </c>
      <c r="BH77">
        <v>38.31</v>
      </c>
      <c r="BI77">
        <v>38.35</v>
      </c>
      <c r="BJ77">
        <v>35.659999999999997</v>
      </c>
      <c r="BL77">
        <v>73.63</v>
      </c>
      <c r="BM77">
        <v>73.19</v>
      </c>
      <c r="BN77">
        <v>73.459999999999994</v>
      </c>
      <c r="BP77" t="s">
        <v>51</v>
      </c>
      <c r="BQ77" t="s">
        <v>51</v>
      </c>
    </row>
    <row r="78" spans="1:77" x14ac:dyDescent="0.25">
      <c r="A78" s="97" t="s">
        <v>302</v>
      </c>
      <c r="B78" s="97" t="s">
        <v>951</v>
      </c>
      <c r="C78" t="s">
        <v>49</v>
      </c>
      <c r="D78" t="s">
        <v>671</v>
      </c>
      <c r="E78">
        <v>1281</v>
      </c>
      <c r="F78" s="5" t="s">
        <v>950</v>
      </c>
      <c r="G78" s="100">
        <v>42901</v>
      </c>
      <c r="H78" t="s">
        <v>949</v>
      </c>
      <c r="J78" s="147">
        <v>1</v>
      </c>
      <c r="K78" s="10" t="s">
        <v>50</v>
      </c>
      <c r="L78">
        <v>656</v>
      </c>
      <c r="M78">
        <v>92</v>
      </c>
      <c r="N78" s="9">
        <f t="shared" si="30"/>
        <v>564</v>
      </c>
      <c r="O78" s="35">
        <v>200</v>
      </c>
      <c r="P78" s="35">
        <v>199</v>
      </c>
      <c r="Q78" s="35">
        <v>199</v>
      </c>
      <c r="R78" s="24">
        <f t="shared" si="19"/>
        <v>199.33333333333334</v>
      </c>
      <c r="S78" s="35">
        <v>260</v>
      </c>
      <c r="T78" s="35">
        <v>260</v>
      </c>
      <c r="U78" s="35">
        <v>259</v>
      </c>
      <c r="V78" s="24">
        <f t="shared" si="20"/>
        <v>259.66666666666669</v>
      </c>
      <c r="W78" s="36">
        <v>15.59</v>
      </c>
      <c r="X78" s="35">
        <v>15.33</v>
      </c>
      <c r="Y78" s="35">
        <v>15.79</v>
      </c>
      <c r="AA78" s="37">
        <v>34.42</v>
      </c>
      <c r="AB78" s="37">
        <v>34.549999999999997</v>
      </c>
      <c r="AC78" s="37">
        <v>34.33</v>
      </c>
      <c r="AD78" s="24">
        <f t="shared" si="22"/>
        <v>34.43333333333333</v>
      </c>
      <c r="AE78" s="42">
        <v>42.18</v>
      </c>
      <c r="AF78" s="42">
        <v>42.25</v>
      </c>
      <c r="AG78" s="42">
        <v>42.35</v>
      </c>
      <c r="AH78" s="24">
        <f t="shared" si="23"/>
        <v>42.26</v>
      </c>
      <c r="AI78" s="37">
        <v>70.59</v>
      </c>
      <c r="AJ78" s="37">
        <v>70.89</v>
      </c>
      <c r="AK78" s="37">
        <v>70.67</v>
      </c>
      <c r="AL78" s="24">
        <f t="shared" si="31"/>
        <v>70.716666666666683</v>
      </c>
      <c r="AM78" s="37">
        <v>17.88</v>
      </c>
      <c r="AN78" s="37">
        <v>18.059999999999999</v>
      </c>
      <c r="AO78" s="37">
        <v>17.920000000000002</v>
      </c>
      <c r="AQ78" s="37">
        <v>24.16</v>
      </c>
      <c r="AR78" s="37">
        <v>23.88</v>
      </c>
      <c r="AS78" s="37">
        <v>24.33</v>
      </c>
      <c r="BD78">
        <v>57.47</v>
      </c>
      <c r="BE78">
        <v>57.29</v>
      </c>
      <c r="BF78">
        <v>57.47</v>
      </c>
      <c r="BH78">
        <v>42.42</v>
      </c>
      <c r="BI78">
        <v>42.78</v>
      </c>
      <c r="BJ78">
        <v>42.58</v>
      </c>
      <c r="BL78">
        <v>77.260000000000005</v>
      </c>
      <c r="BM78">
        <v>77.38</v>
      </c>
      <c r="BN78">
        <v>77.599999999999994</v>
      </c>
      <c r="BP78" t="s">
        <v>51</v>
      </c>
      <c r="BQ78" t="s">
        <v>51</v>
      </c>
    </row>
    <row r="79" spans="1:77" x14ac:dyDescent="0.25">
      <c r="A79" s="97" t="s">
        <v>302</v>
      </c>
      <c r="B79" s="97" t="s">
        <v>952</v>
      </c>
      <c r="C79" t="s">
        <v>49</v>
      </c>
      <c r="D79" t="s">
        <v>671</v>
      </c>
      <c r="E79">
        <v>1282</v>
      </c>
      <c r="F79" s="5" t="s">
        <v>956</v>
      </c>
      <c r="G79" s="100">
        <v>42901</v>
      </c>
      <c r="H79" t="s">
        <v>953</v>
      </c>
      <c r="J79" s="147">
        <v>1</v>
      </c>
      <c r="K79" s="10" t="s">
        <v>64</v>
      </c>
      <c r="L79">
        <v>358</v>
      </c>
      <c r="M79">
        <v>90</v>
      </c>
      <c r="N79" s="9">
        <f t="shared" si="30"/>
        <v>268</v>
      </c>
      <c r="O79" s="35">
        <v>158</v>
      </c>
      <c r="P79" s="35">
        <v>158</v>
      </c>
      <c r="Q79" s="35">
        <v>157</v>
      </c>
      <c r="R79" s="24">
        <f t="shared" si="19"/>
        <v>157.66666666666666</v>
      </c>
      <c r="S79" s="35">
        <v>221</v>
      </c>
      <c r="T79" s="35">
        <v>221</v>
      </c>
      <c r="U79" s="35">
        <v>221</v>
      </c>
      <c r="V79" s="24">
        <f t="shared" si="20"/>
        <v>221</v>
      </c>
      <c r="W79" s="36">
        <v>12.11</v>
      </c>
      <c r="X79" s="35">
        <v>11.88</v>
      </c>
      <c r="Y79" s="35">
        <v>11.87</v>
      </c>
      <c r="AA79" s="37">
        <v>29.58</v>
      </c>
      <c r="AB79" s="37">
        <v>29.89</v>
      </c>
      <c r="AC79" s="37">
        <v>29.6</v>
      </c>
      <c r="AD79" s="24">
        <f t="shared" si="22"/>
        <v>29.689999999999998</v>
      </c>
      <c r="AE79" s="42">
        <v>37.619999999999997</v>
      </c>
      <c r="AF79" s="42">
        <v>37.659999999999997</v>
      </c>
      <c r="AG79" s="42">
        <v>37.35</v>
      </c>
      <c r="AH79" s="24">
        <f t="shared" si="23"/>
        <v>37.543333333333329</v>
      </c>
      <c r="AI79" s="37">
        <v>59.81</v>
      </c>
      <c r="AJ79" s="37">
        <v>59.76</v>
      </c>
      <c r="AK79" s="37">
        <v>59.88</v>
      </c>
      <c r="AL79" s="24">
        <f t="shared" si="31"/>
        <v>59.816666666666663</v>
      </c>
      <c r="AX79" s="10" t="s">
        <v>70</v>
      </c>
      <c r="AY79" s="9">
        <v>8</v>
      </c>
      <c r="AZ79">
        <v>0</v>
      </c>
      <c r="BD79">
        <v>45.72</v>
      </c>
      <c r="BE79">
        <v>45.73</v>
      </c>
      <c r="BF79">
        <v>45.75</v>
      </c>
      <c r="BH79">
        <v>34.229999999999997</v>
      </c>
      <c r="BI79">
        <v>34.44</v>
      </c>
      <c r="BJ79">
        <v>34.22</v>
      </c>
      <c r="BL79">
        <v>62.05</v>
      </c>
      <c r="BM79">
        <v>62.85</v>
      </c>
      <c r="BN79">
        <v>62.72</v>
      </c>
      <c r="BP79" t="s">
        <v>51</v>
      </c>
      <c r="BQ79" t="s">
        <v>51</v>
      </c>
    </row>
    <row r="80" spans="1:77" x14ac:dyDescent="0.25">
      <c r="A80" s="97" t="s">
        <v>302</v>
      </c>
      <c r="B80" s="97" t="s">
        <v>955</v>
      </c>
      <c r="C80" t="s">
        <v>49</v>
      </c>
      <c r="D80" t="s">
        <v>671</v>
      </c>
      <c r="E80">
        <v>1283</v>
      </c>
      <c r="F80" s="5" t="s">
        <v>957</v>
      </c>
      <c r="G80" s="100">
        <v>42901</v>
      </c>
      <c r="H80" t="s">
        <v>954</v>
      </c>
      <c r="J80" s="147">
        <v>1</v>
      </c>
      <c r="K80" s="10" t="s">
        <v>50</v>
      </c>
      <c r="L80">
        <v>511</v>
      </c>
      <c r="M80">
        <v>94</v>
      </c>
      <c r="N80" s="9">
        <f t="shared" si="30"/>
        <v>417</v>
      </c>
      <c r="O80" s="35">
        <v>165</v>
      </c>
      <c r="P80" s="35">
        <v>165</v>
      </c>
      <c r="Q80" s="35">
        <v>166</v>
      </c>
      <c r="R80" s="24">
        <f t="shared" si="19"/>
        <v>165.33333333333334</v>
      </c>
      <c r="S80" s="35">
        <v>228</v>
      </c>
      <c r="T80" s="35">
        <v>228</v>
      </c>
      <c r="U80" s="35">
        <v>228</v>
      </c>
      <c r="V80" s="24">
        <f t="shared" si="20"/>
        <v>228</v>
      </c>
      <c r="W80" s="36">
        <v>12.93</v>
      </c>
      <c r="X80" s="35">
        <v>12.47</v>
      </c>
      <c r="Y80" s="35">
        <v>12.35</v>
      </c>
      <c r="AA80" s="37">
        <v>33.21</v>
      </c>
      <c r="AB80" s="37">
        <v>33.14</v>
      </c>
      <c r="AC80">
        <v>33.28</v>
      </c>
      <c r="AE80" s="42">
        <v>41.96</v>
      </c>
      <c r="AF80" s="42">
        <v>41.92</v>
      </c>
      <c r="AG80" s="42">
        <v>41.84</v>
      </c>
      <c r="AH80" s="24">
        <f t="shared" si="23"/>
        <v>41.906666666666666</v>
      </c>
      <c r="AI80" s="37">
        <v>65.290000000000006</v>
      </c>
      <c r="AJ80" s="37">
        <v>69.260000000000005</v>
      </c>
      <c r="AK80" s="37">
        <v>69.81</v>
      </c>
      <c r="AL80" s="24">
        <f t="shared" si="31"/>
        <v>68.12</v>
      </c>
      <c r="AM80" s="37">
        <v>17.260000000000002</v>
      </c>
      <c r="AN80" s="37">
        <v>17.07</v>
      </c>
      <c r="AO80" s="37">
        <v>17.87</v>
      </c>
      <c r="AQ80" s="37">
        <v>23.47</v>
      </c>
      <c r="AR80" s="37">
        <v>23.49</v>
      </c>
      <c r="AS80" s="37">
        <v>23.12</v>
      </c>
      <c r="BD80">
        <v>51.02</v>
      </c>
      <c r="BE80">
        <v>51.02</v>
      </c>
      <c r="BF80">
        <v>51.02</v>
      </c>
      <c r="BH80">
        <v>37.520000000000003</v>
      </c>
      <c r="BI80">
        <v>37.51</v>
      </c>
      <c r="BJ80">
        <v>37.53</v>
      </c>
      <c r="BL80">
        <v>69.400000000000006</v>
      </c>
      <c r="BM80">
        <v>69.430000000000007</v>
      </c>
      <c r="BN80">
        <v>69.59</v>
      </c>
      <c r="BP80" t="s">
        <v>51</v>
      </c>
      <c r="BQ80" t="s">
        <v>51</v>
      </c>
    </row>
    <row r="81" spans="1:77" s="169" customFormat="1" x14ac:dyDescent="0.25">
      <c r="A81" s="240"/>
      <c r="B81" s="240"/>
      <c r="D81" s="169" t="s">
        <v>208</v>
      </c>
      <c r="F81" s="267"/>
      <c r="G81" s="205"/>
      <c r="I81" s="171"/>
      <c r="J81" s="268"/>
      <c r="K81" s="172"/>
      <c r="N81" s="171"/>
      <c r="O81" s="175"/>
      <c r="P81" s="175"/>
      <c r="Q81" s="175"/>
      <c r="R81" s="173"/>
      <c r="S81" s="175"/>
      <c r="T81" s="175"/>
      <c r="U81" s="175"/>
      <c r="V81" s="173"/>
      <c r="W81" s="174"/>
      <c r="X81" s="175"/>
      <c r="Y81" s="175"/>
      <c r="Z81" s="173"/>
      <c r="AA81" s="241"/>
      <c r="AB81" s="241"/>
      <c r="AD81" s="173"/>
      <c r="AE81" s="241"/>
      <c r="AF81" s="241"/>
      <c r="AG81" s="241"/>
      <c r="AH81" s="173"/>
      <c r="AI81" s="241"/>
      <c r="AJ81" s="241"/>
      <c r="AK81" s="241"/>
      <c r="AL81" s="173"/>
      <c r="AM81" s="241"/>
      <c r="AN81" s="241"/>
      <c r="AO81" s="241"/>
      <c r="AP81" s="171"/>
      <c r="AQ81" s="241"/>
      <c r="AR81" s="241"/>
      <c r="AS81" s="241"/>
      <c r="AT81" s="171"/>
      <c r="AU81" s="172"/>
      <c r="AV81" s="172"/>
      <c r="AW81" s="171"/>
      <c r="AX81" s="172"/>
      <c r="AY81" s="171"/>
      <c r="BB81" s="175"/>
      <c r="BC81" s="171"/>
      <c r="BG81" s="173"/>
      <c r="BK81" s="173"/>
      <c r="BO81" s="173"/>
      <c r="BT81" s="171"/>
      <c r="BU81" s="175"/>
      <c r="BV81" s="175"/>
      <c r="BW81" s="175"/>
      <c r="BX81" s="175"/>
      <c r="BY81" s="171"/>
    </row>
    <row r="82" spans="1:77" s="169" customFormat="1" x14ac:dyDescent="0.25">
      <c r="A82" s="240"/>
      <c r="B82" s="240"/>
      <c r="D82" s="169" t="s">
        <v>393</v>
      </c>
      <c r="F82" s="267"/>
      <c r="G82" s="205"/>
      <c r="I82" s="171"/>
      <c r="J82" s="268"/>
      <c r="K82" s="172"/>
      <c r="N82" s="171"/>
      <c r="O82" s="175"/>
      <c r="P82" s="175"/>
      <c r="Q82" s="175"/>
      <c r="R82" s="173"/>
      <c r="S82" s="175"/>
      <c r="T82" s="175"/>
      <c r="U82" s="175"/>
      <c r="V82" s="173"/>
      <c r="W82" s="174"/>
      <c r="X82" s="175"/>
      <c r="Y82" s="175"/>
      <c r="Z82" s="173"/>
      <c r="AA82" s="241"/>
      <c r="AB82" s="241"/>
      <c r="AD82" s="173"/>
      <c r="AE82" s="241"/>
      <c r="AF82" s="241"/>
      <c r="AG82" s="241"/>
      <c r="AH82" s="173"/>
      <c r="AI82" s="241"/>
      <c r="AJ82" s="241"/>
      <c r="AK82" s="241"/>
      <c r="AL82" s="173"/>
      <c r="AM82" s="241"/>
      <c r="AN82" s="241"/>
      <c r="AO82" s="241"/>
      <c r="AP82" s="171"/>
      <c r="AQ82" s="241"/>
      <c r="AR82" s="241"/>
      <c r="AS82" s="241"/>
      <c r="AT82" s="171"/>
      <c r="AU82" s="172"/>
      <c r="AV82" s="172"/>
      <c r="AW82" s="171"/>
      <c r="AX82" s="172"/>
      <c r="AY82" s="171"/>
      <c r="BB82" s="175"/>
      <c r="BC82" s="171"/>
      <c r="BG82" s="173"/>
      <c r="BK82" s="173"/>
      <c r="BO82" s="173"/>
      <c r="BT82" s="171"/>
      <c r="BU82" s="175"/>
      <c r="BV82" s="175"/>
      <c r="BW82" s="175"/>
      <c r="BX82" s="175"/>
      <c r="BY82" s="171"/>
    </row>
    <row r="83" spans="1:77" s="176" customFormat="1" x14ac:dyDescent="0.25">
      <c r="A83" s="183">
        <v>2018</v>
      </c>
      <c r="F83" s="271"/>
      <c r="I83" s="177"/>
      <c r="J83" s="272"/>
      <c r="K83" s="179"/>
      <c r="N83" s="177"/>
      <c r="R83" s="180"/>
      <c r="V83" s="180"/>
      <c r="W83" s="181"/>
      <c r="Z83" s="180"/>
      <c r="AD83" s="180"/>
      <c r="AE83" s="216"/>
      <c r="AF83" s="216"/>
      <c r="AG83" s="180"/>
      <c r="AH83" s="180"/>
      <c r="AL83" s="180"/>
      <c r="AM83" s="182"/>
      <c r="AN83" s="182"/>
      <c r="AO83" s="182"/>
      <c r="AP83" s="177"/>
      <c r="AQ83" s="182"/>
      <c r="AR83" s="182"/>
      <c r="AS83" s="182"/>
      <c r="AT83" s="177"/>
      <c r="AU83" s="179"/>
      <c r="AV83" s="179"/>
      <c r="AW83" s="177"/>
      <c r="AX83" s="179"/>
      <c r="AY83" s="177"/>
      <c r="BB83" s="182"/>
      <c r="BC83" s="177"/>
      <c r="BG83" s="180"/>
      <c r="BK83" s="180"/>
      <c r="BO83" s="180"/>
      <c r="BT83" s="177"/>
      <c r="BU83" s="182"/>
      <c r="BV83" s="182"/>
      <c r="BW83" s="182"/>
      <c r="BX83" s="182"/>
      <c r="BY83" s="177"/>
    </row>
    <row r="84" spans="1:77" s="99" customFormat="1" x14ac:dyDescent="0.25">
      <c r="A84" s="269" t="s">
        <v>1591</v>
      </c>
      <c r="F84" s="270"/>
      <c r="I84" s="136"/>
      <c r="J84" s="150"/>
      <c r="K84" s="138"/>
      <c r="N84" s="136"/>
      <c r="R84" s="139"/>
      <c r="V84" s="139"/>
      <c r="W84" s="140"/>
      <c r="Z84" s="139"/>
      <c r="AD84" s="139"/>
      <c r="AE84" s="37"/>
      <c r="AF84" s="37"/>
      <c r="AG84" s="37"/>
      <c r="AH84" s="139"/>
      <c r="AL84" s="139"/>
      <c r="AM84" s="35"/>
      <c r="AN84" s="35"/>
      <c r="AO84" s="35"/>
      <c r="AP84" s="136"/>
      <c r="AQ84" s="35"/>
      <c r="AR84" s="35"/>
      <c r="AS84" s="35"/>
      <c r="AT84" s="136"/>
      <c r="AU84" s="138"/>
      <c r="AV84" s="138"/>
      <c r="AW84" s="136"/>
      <c r="AX84" s="138"/>
      <c r="AY84" s="136"/>
      <c r="BB84" s="35"/>
      <c r="BC84" s="136"/>
      <c r="BG84" s="139"/>
      <c r="BK84" s="139"/>
      <c r="BO84" s="139"/>
      <c r="BT84" s="136"/>
      <c r="BU84" s="35"/>
      <c r="BV84" s="35"/>
      <c r="BW84" s="35"/>
      <c r="BX84" s="35"/>
      <c r="BY84" s="136"/>
    </row>
    <row r="85" spans="1:77" x14ac:dyDescent="0.25">
      <c r="A85" s="97" t="s">
        <v>302</v>
      </c>
      <c r="B85" s="97" t="s">
        <v>1546</v>
      </c>
      <c r="C85" t="s">
        <v>49</v>
      </c>
      <c r="D85" t="s">
        <v>208</v>
      </c>
      <c r="E85">
        <v>1751</v>
      </c>
      <c r="F85" s="5" t="s">
        <v>202</v>
      </c>
      <c r="G85" s="100">
        <v>43329</v>
      </c>
      <c r="H85" t="s">
        <v>1547</v>
      </c>
      <c r="J85" s="147">
        <v>1</v>
      </c>
      <c r="K85" s="10" t="s">
        <v>64</v>
      </c>
      <c r="L85">
        <v>492</v>
      </c>
      <c r="M85">
        <v>92</v>
      </c>
      <c r="O85" s="35">
        <v>183</v>
      </c>
      <c r="P85" s="35">
        <v>183</v>
      </c>
      <c r="Q85" s="35">
        <v>182</v>
      </c>
      <c r="S85" s="35">
        <v>257</v>
      </c>
      <c r="T85" s="35">
        <v>257</v>
      </c>
      <c r="U85" s="35">
        <v>257</v>
      </c>
      <c r="W85" s="36">
        <v>13.83</v>
      </c>
      <c r="X85" s="35">
        <v>13.38</v>
      </c>
      <c r="Y85" s="35">
        <v>13.1</v>
      </c>
      <c r="AA85" s="37">
        <v>32.229999999999997</v>
      </c>
      <c r="AB85" s="37">
        <v>32.26</v>
      </c>
      <c r="AC85" s="37">
        <v>32.1</v>
      </c>
      <c r="AE85" s="42">
        <v>41.62</v>
      </c>
      <c r="AF85" s="42">
        <v>41.18</v>
      </c>
      <c r="AG85" s="42">
        <v>41.86</v>
      </c>
      <c r="AI85" s="37">
        <v>64.17</v>
      </c>
      <c r="AJ85" s="37">
        <v>64.39</v>
      </c>
      <c r="AK85" s="37">
        <v>64.150000000000006</v>
      </c>
      <c r="AX85" s="10" t="s">
        <v>65</v>
      </c>
      <c r="AY85" s="9">
        <v>8</v>
      </c>
      <c r="AZ85">
        <v>8</v>
      </c>
      <c r="BA85">
        <v>8</v>
      </c>
      <c r="BC85" s="9" t="s">
        <v>1548</v>
      </c>
      <c r="BD85" s="35">
        <v>48.19</v>
      </c>
      <c r="BE85" s="35">
        <v>48.92</v>
      </c>
      <c r="BF85" s="35">
        <v>48.94</v>
      </c>
      <c r="BH85" s="35">
        <v>37.11</v>
      </c>
      <c r="BI85" s="35">
        <v>37.340000000000003</v>
      </c>
      <c r="BJ85" s="35">
        <v>37.26</v>
      </c>
      <c r="BL85" s="35">
        <v>69.989999999999995</v>
      </c>
      <c r="BM85" s="35">
        <v>69.849999999999994</v>
      </c>
      <c r="BN85" s="35">
        <v>69.84</v>
      </c>
      <c r="BP85" t="s">
        <v>51</v>
      </c>
      <c r="BQ85" t="s">
        <v>51</v>
      </c>
      <c r="BR85" t="s">
        <v>51</v>
      </c>
    </row>
    <row r="86" spans="1:77" x14ac:dyDescent="0.25">
      <c r="A86" s="97" t="s">
        <v>302</v>
      </c>
      <c r="B86" s="97" t="s">
        <v>1549</v>
      </c>
      <c r="C86" t="s">
        <v>49</v>
      </c>
      <c r="D86" t="s">
        <v>208</v>
      </c>
      <c r="E86">
        <v>1722</v>
      </c>
      <c r="F86" s="5" t="s">
        <v>202</v>
      </c>
      <c r="G86" s="100">
        <v>43329</v>
      </c>
      <c r="H86" t="s">
        <v>1550</v>
      </c>
      <c r="J86" s="147">
        <v>1</v>
      </c>
      <c r="K86" s="10" t="s">
        <v>64</v>
      </c>
      <c r="L86">
        <v>472</v>
      </c>
      <c r="M86">
        <v>96</v>
      </c>
      <c r="O86" s="35">
        <v>191</v>
      </c>
      <c r="P86" s="35">
        <v>191</v>
      </c>
      <c r="Q86" s="35">
        <v>191</v>
      </c>
      <c r="S86" s="35">
        <v>235</v>
      </c>
      <c r="T86" s="35">
        <v>235</v>
      </c>
      <c r="U86" s="35">
        <v>235</v>
      </c>
      <c r="W86" s="36">
        <v>12.52</v>
      </c>
      <c r="X86" s="35">
        <v>12.46</v>
      </c>
      <c r="Y86" s="35">
        <v>12.64</v>
      </c>
      <c r="AA86" s="37">
        <v>31.31</v>
      </c>
      <c r="AB86" s="37">
        <v>31.1</v>
      </c>
      <c r="AC86" s="37">
        <v>31.3</v>
      </c>
      <c r="AE86" s="42">
        <v>40.6</v>
      </c>
      <c r="AF86" s="42">
        <v>40.54</v>
      </c>
      <c r="AG86" s="42">
        <v>40.54</v>
      </c>
      <c r="AI86" s="37">
        <v>61.75</v>
      </c>
      <c r="AJ86" s="37">
        <v>61.85</v>
      </c>
      <c r="AK86" s="37">
        <v>61.9</v>
      </c>
      <c r="AX86" s="10" t="s">
        <v>65</v>
      </c>
      <c r="AY86" s="9">
        <v>8</v>
      </c>
      <c r="AZ86">
        <v>8</v>
      </c>
      <c r="BA86">
        <v>8</v>
      </c>
      <c r="BC86" s="9" t="s">
        <v>1551</v>
      </c>
      <c r="BD86" s="35">
        <v>48.23</v>
      </c>
      <c r="BE86" s="35">
        <v>48.27</v>
      </c>
      <c r="BF86" s="35">
        <v>48.48</v>
      </c>
      <c r="BH86" s="35">
        <v>36.700000000000003</v>
      </c>
      <c r="BI86" s="35">
        <v>36.799999999999997</v>
      </c>
      <c r="BJ86" s="35">
        <v>36.770000000000003</v>
      </c>
      <c r="BL86" s="35">
        <v>66.16</v>
      </c>
      <c r="BM86" s="35">
        <v>66.569999999999993</v>
      </c>
      <c r="BN86" s="35">
        <v>66.36</v>
      </c>
      <c r="BP86" t="s">
        <v>51</v>
      </c>
      <c r="BQ86" t="s">
        <v>51</v>
      </c>
      <c r="BR86" t="s">
        <v>51</v>
      </c>
    </row>
    <row r="87" spans="1:77" x14ac:dyDescent="0.25">
      <c r="A87" s="97" t="s">
        <v>302</v>
      </c>
      <c r="B87" s="97" t="s">
        <v>1552</v>
      </c>
      <c r="C87" t="s">
        <v>49</v>
      </c>
      <c r="D87" t="s">
        <v>208</v>
      </c>
      <c r="E87">
        <v>1723</v>
      </c>
      <c r="F87" s="5" t="s">
        <v>202</v>
      </c>
      <c r="G87" s="100">
        <v>43329</v>
      </c>
      <c r="H87" t="s">
        <v>301</v>
      </c>
      <c r="J87" s="147">
        <v>1</v>
      </c>
      <c r="K87" s="10" t="s">
        <v>50</v>
      </c>
      <c r="L87">
        <v>451</v>
      </c>
      <c r="M87">
        <v>93</v>
      </c>
      <c r="O87" s="35">
        <v>195</v>
      </c>
      <c r="P87" s="35">
        <v>196</v>
      </c>
      <c r="Q87" s="35">
        <v>196</v>
      </c>
      <c r="S87" s="35">
        <v>245</v>
      </c>
      <c r="T87" s="35">
        <v>245</v>
      </c>
      <c r="U87" s="35">
        <v>245</v>
      </c>
      <c r="W87" s="36">
        <v>10.71</v>
      </c>
      <c r="X87" s="35">
        <v>10.9</v>
      </c>
      <c r="Y87" s="35">
        <v>10.73</v>
      </c>
      <c r="AA87" s="37">
        <v>34.93</v>
      </c>
      <c r="AB87" s="37">
        <v>34.479999999999997</v>
      </c>
      <c r="AC87" s="37">
        <v>34.479999999999997</v>
      </c>
      <c r="AE87" s="42">
        <v>45.34</v>
      </c>
      <c r="AF87" s="42">
        <v>45.35</v>
      </c>
      <c r="AG87" s="42">
        <v>45.25</v>
      </c>
      <c r="AI87" s="37">
        <v>66.98</v>
      </c>
      <c r="AJ87" s="37">
        <v>66.86</v>
      </c>
      <c r="AK87" s="37">
        <v>66.92</v>
      </c>
      <c r="AM87" s="37">
        <v>18.239999999999998</v>
      </c>
      <c r="AN87" s="37">
        <v>18.14</v>
      </c>
      <c r="AO87" s="37">
        <v>18.23</v>
      </c>
      <c r="AQ87" s="37">
        <v>15.42</v>
      </c>
      <c r="AR87" s="37">
        <v>15.46</v>
      </c>
      <c r="AS87" s="37">
        <v>15.74</v>
      </c>
      <c r="AW87" s="9">
        <v>5</v>
      </c>
      <c r="BD87" s="35">
        <v>54.37</v>
      </c>
      <c r="BE87" s="35">
        <v>54.47</v>
      </c>
      <c r="BF87" s="35">
        <v>54.35</v>
      </c>
      <c r="BH87" s="35">
        <v>38.71</v>
      </c>
      <c r="BI87" s="35">
        <v>38.71</v>
      </c>
      <c r="BJ87" s="35">
        <v>38.869999999999997</v>
      </c>
      <c r="BL87" s="35">
        <v>69.5</v>
      </c>
      <c r="BM87" s="35">
        <v>69.66</v>
      </c>
      <c r="BN87" s="35">
        <v>69.61</v>
      </c>
      <c r="BP87" t="s">
        <v>51</v>
      </c>
      <c r="BQ87" t="s">
        <v>51</v>
      </c>
      <c r="BR87" t="s">
        <v>51</v>
      </c>
    </row>
    <row r="88" spans="1:77" x14ac:dyDescent="0.25">
      <c r="A88" s="97" t="s">
        <v>302</v>
      </c>
      <c r="B88" s="97" t="s">
        <v>1461</v>
      </c>
      <c r="C88" t="s">
        <v>207</v>
      </c>
      <c r="D88" t="s">
        <v>208</v>
      </c>
      <c r="E88">
        <v>1620</v>
      </c>
      <c r="F88" s="5" t="s">
        <v>202</v>
      </c>
      <c r="G88" s="100">
        <v>43330</v>
      </c>
      <c r="H88" t="s">
        <v>1553</v>
      </c>
      <c r="J88" s="147">
        <v>1</v>
      </c>
      <c r="K88" s="10" t="s">
        <v>50</v>
      </c>
      <c r="L88">
        <v>521</v>
      </c>
      <c r="M88">
        <v>87</v>
      </c>
      <c r="O88" s="35">
        <v>181</v>
      </c>
      <c r="P88" s="35">
        <v>182</v>
      </c>
      <c r="Q88" s="35">
        <v>182</v>
      </c>
      <c r="S88" s="35">
        <v>237</v>
      </c>
      <c r="T88" s="35">
        <v>237</v>
      </c>
      <c r="U88" s="35">
        <v>237</v>
      </c>
      <c r="W88" s="36">
        <v>11.64</v>
      </c>
      <c r="X88" s="35">
        <v>11.6</v>
      </c>
      <c r="Y88" s="35">
        <v>11.76</v>
      </c>
      <c r="AA88" s="37">
        <v>35</v>
      </c>
      <c r="AB88" s="37">
        <v>35.36</v>
      </c>
      <c r="AC88" s="37">
        <v>35.130000000000003</v>
      </c>
      <c r="AE88" s="42">
        <v>45.09</v>
      </c>
      <c r="AF88" s="42">
        <v>45.09</v>
      </c>
      <c r="AG88" s="42">
        <v>45.16</v>
      </c>
      <c r="AI88" s="37">
        <v>68.290000000000006</v>
      </c>
      <c r="AJ88" s="37">
        <v>68.28</v>
      </c>
      <c r="AK88" s="37">
        <v>68.349999999999994</v>
      </c>
      <c r="AM88" s="37">
        <v>17.96</v>
      </c>
      <c r="AN88" s="37">
        <v>17.68</v>
      </c>
      <c r="AO88" s="37">
        <v>17.87</v>
      </c>
      <c r="AQ88" s="37">
        <v>24.92</v>
      </c>
      <c r="AR88" s="37">
        <v>24.65</v>
      </c>
      <c r="AS88" s="37">
        <v>24.91</v>
      </c>
      <c r="AW88" s="9">
        <v>5</v>
      </c>
      <c r="BD88" s="35">
        <v>52.79</v>
      </c>
      <c r="BE88" s="35">
        <v>52.98</v>
      </c>
      <c r="BF88" s="35">
        <v>52.98</v>
      </c>
      <c r="BH88" s="35">
        <v>37.15</v>
      </c>
      <c r="BI88" s="35">
        <v>37.450000000000003</v>
      </c>
      <c r="BJ88" s="35">
        <v>37.36</v>
      </c>
      <c r="BL88" s="35">
        <v>73.2</v>
      </c>
      <c r="BM88" s="35">
        <v>73.38</v>
      </c>
      <c r="BN88" s="35">
        <v>73.400000000000006</v>
      </c>
      <c r="BP88" t="s">
        <v>51</v>
      </c>
      <c r="BQ88" t="s">
        <v>51</v>
      </c>
      <c r="BR88" t="s">
        <v>51</v>
      </c>
    </row>
    <row r="89" spans="1:77" x14ac:dyDescent="0.25">
      <c r="A89" s="97" t="s">
        <v>302</v>
      </c>
      <c r="B89" s="97" t="s">
        <v>1554</v>
      </c>
      <c r="C89" t="s">
        <v>49</v>
      </c>
      <c r="D89" t="s">
        <v>208</v>
      </c>
      <c r="E89">
        <v>1752</v>
      </c>
      <c r="F89" s="5" t="s">
        <v>202</v>
      </c>
      <c r="G89" s="100">
        <v>43330</v>
      </c>
      <c r="H89" t="s">
        <v>1555</v>
      </c>
      <c r="J89" s="147">
        <v>1</v>
      </c>
      <c r="K89" s="10" t="s">
        <v>50</v>
      </c>
      <c r="L89">
        <v>438</v>
      </c>
      <c r="M89">
        <v>91</v>
      </c>
      <c r="O89" s="35">
        <v>185</v>
      </c>
      <c r="P89" s="35">
        <v>185</v>
      </c>
      <c r="Q89" s="35">
        <v>184</v>
      </c>
      <c r="S89" s="35">
        <v>236</v>
      </c>
      <c r="T89" s="35">
        <v>235</v>
      </c>
      <c r="U89" s="35">
        <v>235</v>
      </c>
      <c r="W89" s="36">
        <v>9.35</v>
      </c>
      <c r="X89" s="35">
        <v>9.5</v>
      </c>
      <c r="Y89" s="35">
        <v>9.56</v>
      </c>
      <c r="AA89" s="37">
        <v>33.15</v>
      </c>
      <c r="AB89" s="37">
        <v>33.299999999999997</v>
      </c>
      <c r="AC89" s="37">
        <v>33.090000000000003</v>
      </c>
      <c r="AE89" s="42">
        <v>42.87</v>
      </c>
      <c r="AF89" s="42">
        <v>42.81</v>
      </c>
      <c r="AG89" s="42">
        <v>42.67</v>
      </c>
      <c r="AI89" s="37">
        <v>64.27</v>
      </c>
      <c r="AJ89" s="37">
        <v>64.180000000000007</v>
      </c>
      <c r="AK89" s="37">
        <v>64.45</v>
      </c>
      <c r="AM89" s="37">
        <v>17.03</v>
      </c>
      <c r="AN89" s="37">
        <v>17.27</v>
      </c>
      <c r="AO89" s="37">
        <v>17.25</v>
      </c>
      <c r="AQ89" s="37">
        <v>20.36</v>
      </c>
      <c r="AR89" s="37">
        <v>20.170000000000002</v>
      </c>
      <c r="AS89" s="37">
        <v>20.34</v>
      </c>
      <c r="AW89" s="9">
        <v>4</v>
      </c>
      <c r="BD89" s="35">
        <v>51.78</v>
      </c>
      <c r="BE89" s="35">
        <v>51.82</v>
      </c>
      <c r="BF89" s="35">
        <v>51.59</v>
      </c>
      <c r="BH89" s="35">
        <v>34.96</v>
      </c>
      <c r="BI89" s="35">
        <v>34.43</v>
      </c>
      <c r="BJ89" s="35">
        <v>34.61</v>
      </c>
      <c r="BL89" s="35">
        <v>69.19</v>
      </c>
      <c r="BM89" s="35">
        <v>68.56</v>
      </c>
      <c r="BN89" s="35">
        <v>68.400000000000006</v>
      </c>
      <c r="BP89" t="s">
        <v>51</v>
      </c>
      <c r="BQ89" t="s">
        <v>51</v>
      </c>
      <c r="BR89" t="s">
        <v>51</v>
      </c>
    </row>
    <row r="90" spans="1:77" x14ac:dyDescent="0.25">
      <c r="A90" s="97" t="s">
        <v>302</v>
      </c>
      <c r="B90" s="97" t="s">
        <v>1556</v>
      </c>
      <c r="C90" t="s">
        <v>49</v>
      </c>
      <c r="D90" t="s">
        <v>208</v>
      </c>
      <c r="E90">
        <v>1753</v>
      </c>
      <c r="F90" s="5" t="s">
        <v>202</v>
      </c>
      <c r="G90" s="100">
        <v>43330</v>
      </c>
      <c r="H90" t="s">
        <v>1557</v>
      </c>
      <c r="J90" s="147">
        <v>1</v>
      </c>
      <c r="K90" s="10" t="s">
        <v>50</v>
      </c>
      <c r="L90">
        <v>477</v>
      </c>
      <c r="M90">
        <v>92</v>
      </c>
      <c r="O90" s="35">
        <v>191</v>
      </c>
      <c r="P90" s="35">
        <v>191</v>
      </c>
      <c r="Q90" s="35">
        <v>192</v>
      </c>
      <c r="S90" s="35">
        <v>238</v>
      </c>
      <c r="T90" s="35">
        <v>239</v>
      </c>
      <c r="U90" s="35">
        <v>239</v>
      </c>
      <c r="W90" s="36">
        <v>10.19</v>
      </c>
      <c r="X90" s="35">
        <v>10.15</v>
      </c>
      <c r="Y90" s="35">
        <v>10.45</v>
      </c>
      <c r="AA90" s="37">
        <v>32.119999999999997</v>
      </c>
      <c r="AB90" s="37">
        <v>32.03</v>
      </c>
      <c r="AC90" s="37">
        <v>32.31</v>
      </c>
      <c r="AE90" s="42">
        <v>43.31</v>
      </c>
      <c r="AF90" s="42">
        <v>43.12</v>
      </c>
      <c r="AG90" s="42">
        <v>43.08</v>
      </c>
      <c r="AI90" s="37">
        <v>66.61</v>
      </c>
      <c r="AJ90" s="37">
        <v>66.489999999999995</v>
      </c>
      <c r="AK90" s="37">
        <v>66.61</v>
      </c>
      <c r="AM90" s="37">
        <v>18.59</v>
      </c>
      <c r="AN90" s="37">
        <v>18.329999999999998</v>
      </c>
      <c r="AO90" s="37">
        <v>18.78</v>
      </c>
      <c r="AQ90" s="37">
        <v>24.31</v>
      </c>
      <c r="AR90" s="37">
        <v>24</v>
      </c>
      <c r="AS90" s="37">
        <v>24.18</v>
      </c>
      <c r="AW90" s="9">
        <v>5</v>
      </c>
      <c r="BD90" s="35">
        <v>52.66</v>
      </c>
      <c r="BE90" s="35">
        <v>52.56</v>
      </c>
      <c r="BF90" s="35">
        <v>52.55</v>
      </c>
      <c r="BH90" s="35">
        <v>37.53</v>
      </c>
      <c r="BI90" s="35">
        <v>37.340000000000003</v>
      </c>
      <c r="BJ90" s="35">
        <v>37.229999999999997</v>
      </c>
      <c r="BL90" s="35">
        <v>69.650000000000006</v>
      </c>
      <c r="BM90" s="35">
        <v>69.41</v>
      </c>
      <c r="BN90" s="35">
        <v>69.48</v>
      </c>
      <c r="BP90" t="s">
        <v>51</v>
      </c>
      <c r="BQ90" t="s">
        <v>51</v>
      </c>
      <c r="BR90" t="s">
        <v>51</v>
      </c>
    </row>
    <row r="91" spans="1:77" x14ac:dyDescent="0.25">
      <c r="A91" s="97" t="s">
        <v>302</v>
      </c>
      <c r="B91" s="97" t="s">
        <v>1558</v>
      </c>
      <c r="C91" t="s">
        <v>49</v>
      </c>
      <c r="D91" t="s">
        <v>208</v>
      </c>
      <c r="E91">
        <v>1754</v>
      </c>
      <c r="F91" s="5" t="s">
        <v>202</v>
      </c>
      <c r="G91" s="100">
        <v>43330</v>
      </c>
      <c r="H91" t="s">
        <v>1559</v>
      </c>
      <c r="J91" s="147">
        <v>1</v>
      </c>
      <c r="K91" s="10" t="s">
        <v>50</v>
      </c>
      <c r="L91">
        <v>402</v>
      </c>
      <c r="M91">
        <v>88</v>
      </c>
      <c r="O91" s="35">
        <v>180</v>
      </c>
      <c r="P91" s="35">
        <v>180</v>
      </c>
      <c r="Q91" s="35">
        <v>180</v>
      </c>
      <c r="S91" s="35">
        <v>231</v>
      </c>
      <c r="T91" s="35">
        <v>231</v>
      </c>
      <c r="U91" s="35">
        <v>231</v>
      </c>
      <c r="W91" s="36">
        <v>9.84</v>
      </c>
      <c r="X91" s="35">
        <v>9.81</v>
      </c>
      <c r="Y91" s="35">
        <v>9.9499999999999993</v>
      </c>
      <c r="AA91" s="37">
        <v>31.8</v>
      </c>
      <c r="AB91" s="37">
        <v>31.62</v>
      </c>
      <c r="AC91" s="37">
        <v>31.82</v>
      </c>
      <c r="AE91" s="42">
        <v>43.29</v>
      </c>
      <c r="AF91" s="42">
        <v>43.88</v>
      </c>
      <c r="AG91" s="42">
        <v>43.48</v>
      </c>
      <c r="AI91" s="37">
        <v>62.61</v>
      </c>
      <c r="AJ91" s="37">
        <v>62.85</v>
      </c>
      <c r="AK91" s="37">
        <v>62.88</v>
      </c>
      <c r="AM91" s="37">
        <v>17.440000000000001</v>
      </c>
      <c r="AN91" s="37">
        <v>17.7</v>
      </c>
      <c r="AO91" s="37">
        <v>17.7</v>
      </c>
      <c r="AQ91" s="37">
        <v>20.64</v>
      </c>
      <c r="AR91" s="37">
        <v>20.38</v>
      </c>
      <c r="AS91" s="37">
        <v>20.77</v>
      </c>
      <c r="AW91" s="9">
        <v>0</v>
      </c>
      <c r="BD91" s="35">
        <v>50.33</v>
      </c>
      <c r="BE91" s="35">
        <v>50.49</v>
      </c>
      <c r="BF91" s="35">
        <v>50.65</v>
      </c>
      <c r="BH91" s="35">
        <v>34.58</v>
      </c>
      <c r="BI91" s="35">
        <v>34.799999999999997</v>
      </c>
      <c r="BJ91" s="35">
        <v>34.94</v>
      </c>
      <c r="BL91" s="35">
        <v>67.28</v>
      </c>
      <c r="BM91" s="35">
        <v>67.17</v>
      </c>
      <c r="BN91" s="35">
        <v>67.12</v>
      </c>
      <c r="BP91" t="s">
        <v>51</v>
      </c>
      <c r="BQ91" t="s">
        <v>51</v>
      </c>
      <c r="BR91" t="s">
        <v>51</v>
      </c>
    </row>
    <row r="92" spans="1:77" x14ac:dyDescent="0.25">
      <c r="A92" s="97" t="s">
        <v>302</v>
      </c>
      <c r="B92" s="97" t="s">
        <v>1495</v>
      </c>
      <c r="C92" t="s">
        <v>207</v>
      </c>
      <c r="D92" t="s">
        <v>208</v>
      </c>
      <c r="E92">
        <v>1701</v>
      </c>
      <c r="F92" s="5" t="s">
        <v>202</v>
      </c>
      <c r="G92" s="100">
        <v>43331</v>
      </c>
      <c r="H92" t="s">
        <v>1560</v>
      </c>
      <c r="J92" s="147">
        <v>1</v>
      </c>
      <c r="K92" s="10" t="s">
        <v>50</v>
      </c>
      <c r="L92">
        <v>472</v>
      </c>
      <c r="M92">
        <v>92</v>
      </c>
      <c r="O92" s="35">
        <v>187</v>
      </c>
      <c r="P92" s="35">
        <v>187</v>
      </c>
      <c r="Q92" s="35">
        <v>188</v>
      </c>
      <c r="S92" s="35">
        <v>211</v>
      </c>
      <c r="T92" s="35">
        <v>212</v>
      </c>
      <c r="U92" s="35">
        <v>212</v>
      </c>
      <c r="W92" s="36">
        <v>11.5</v>
      </c>
      <c r="X92" s="35">
        <v>11.06</v>
      </c>
      <c r="Y92" s="35">
        <v>11.24</v>
      </c>
      <c r="AA92" s="37">
        <v>33.229999999999997</v>
      </c>
      <c r="AB92" s="37">
        <v>32.99</v>
      </c>
      <c r="AC92" s="37">
        <v>33.17</v>
      </c>
      <c r="AE92" s="42">
        <v>42.88</v>
      </c>
      <c r="AF92" s="42">
        <v>43.02</v>
      </c>
      <c r="AG92" s="42">
        <v>42.8</v>
      </c>
      <c r="AI92" s="37">
        <v>65.47</v>
      </c>
      <c r="AJ92" s="37">
        <v>65.63</v>
      </c>
      <c r="AK92" s="37">
        <v>65.56</v>
      </c>
      <c r="AM92" s="37">
        <v>14.83</v>
      </c>
      <c r="AN92" s="37">
        <v>14.62</v>
      </c>
      <c r="AO92" s="37">
        <v>14.59</v>
      </c>
      <c r="AQ92" s="37">
        <v>21.22</v>
      </c>
      <c r="AR92" s="37">
        <v>21.31</v>
      </c>
      <c r="AS92" s="37">
        <v>21.85</v>
      </c>
      <c r="AW92" s="9">
        <v>3</v>
      </c>
      <c r="BD92" s="35">
        <v>53.01</v>
      </c>
      <c r="BE92" s="35">
        <v>53.07</v>
      </c>
      <c r="BF92" s="35">
        <v>53.31</v>
      </c>
      <c r="BH92" s="35">
        <v>36.049999999999997</v>
      </c>
      <c r="BI92" s="35">
        <v>35.979999999999997</v>
      </c>
      <c r="BJ92" s="35">
        <v>36.15</v>
      </c>
      <c r="BL92" s="35">
        <v>75.17</v>
      </c>
      <c r="BM92" s="35">
        <v>75.13</v>
      </c>
      <c r="BN92" s="35">
        <v>75.099999999999994</v>
      </c>
      <c r="BP92" t="s">
        <v>52</v>
      </c>
      <c r="BQ92" t="s">
        <v>51</v>
      </c>
      <c r="BR92" t="s">
        <v>51</v>
      </c>
    </row>
    <row r="93" spans="1:77" x14ac:dyDescent="0.25">
      <c r="A93" s="97" t="s">
        <v>302</v>
      </c>
      <c r="B93" s="97" t="s">
        <v>1497</v>
      </c>
      <c r="C93" t="s">
        <v>207</v>
      </c>
      <c r="D93" t="s">
        <v>208</v>
      </c>
      <c r="E93">
        <v>1702</v>
      </c>
      <c r="F93" s="5" t="s">
        <v>202</v>
      </c>
      <c r="G93" s="100">
        <v>43331</v>
      </c>
      <c r="H93" t="s">
        <v>1561</v>
      </c>
      <c r="J93" s="147">
        <v>2</v>
      </c>
      <c r="K93" s="10" t="s">
        <v>64</v>
      </c>
      <c r="L93">
        <v>480</v>
      </c>
      <c r="M93">
        <v>90</v>
      </c>
      <c r="O93" s="35">
        <v>184</v>
      </c>
      <c r="P93" s="35">
        <v>184</v>
      </c>
      <c r="Q93" s="35">
        <v>184</v>
      </c>
      <c r="S93" s="35">
        <v>226</v>
      </c>
      <c r="T93" s="35">
        <v>226</v>
      </c>
      <c r="U93" s="35">
        <v>225</v>
      </c>
      <c r="W93" s="36">
        <v>14.58</v>
      </c>
      <c r="X93" s="35">
        <v>14.47</v>
      </c>
      <c r="Y93" s="35">
        <v>14.61</v>
      </c>
      <c r="AA93" s="37">
        <v>31.77</v>
      </c>
      <c r="AB93" s="37">
        <v>31.76</v>
      </c>
      <c r="AC93" s="37">
        <v>31.67</v>
      </c>
      <c r="AE93" s="42">
        <v>40.700000000000003</v>
      </c>
      <c r="AF93" s="42">
        <v>40.68</v>
      </c>
      <c r="AG93" s="42">
        <v>40.549999999999997</v>
      </c>
      <c r="AI93" s="37">
        <v>65.38</v>
      </c>
      <c r="AJ93" s="37">
        <v>65.42</v>
      </c>
      <c r="AK93" s="37">
        <v>65.61</v>
      </c>
      <c r="AX93" s="10" t="s">
        <v>65</v>
      </c>
      <c r="AY93" s="9">
        <v>8</v>
      </c>
      <c r="AZ93">
        <v>8</v>
      </c>
      <c r="BA93">
        <v>8</v>
      </c>
      <c r="BC93" s="9" t="s">
        <v>1562</v>
      </c>
      <c r="BD93" s="35">
        <v>50.07</v>
      </c>
      <c r="BE93" s="35">
        <v>50.01</v>
      </c>
      <c r="BF93" s="35">
        <v>50.26</v>
      </c>
      <c r="BH93" s="35">
        <v>37.25</v>
      </c>
      <c r="BI93" s="35">
        <v>37.159999999999997</v>
      </c>
      <c r="BJ93" s="35">
        <v>37.229999999999997</v>
      </c>
      <c r="BL93" s="35">
        <v>68.25</v>
      </c>
      <c r="BM93" s="35">
        <v>68.19</v>
      </c>
      <c r="BN93" s="35">
        <v>68.34</v>
      </c>
      <c r="BP93" t="s">
        <v>52</v>
      </c>
      <c r="BQ93" t="s">
        <v>51</v>
      </c>
      <c r="BR93" t="s">
        <v>51</v>
      </c>
    </row>
    <row r="94" spans="1:77" x14ac:dyDescent="0.25">
      <c r="A94" s="97" t="s">
        <v>302</v>
      </c>
      <c r="B94" s="97" t="s">
        <v>1563</v>
      </c>
      <c r="C94" t="s">
        <v>49</v>
      </c>
      <c r="D94" t="s">
        <v>208</v>
      </c>
      <c r="E94">
        <v>1755</v>
      </c>
      <c r="F94" s="5" t="s">
        <v>202</v>
      </c>
      <c r="G94" s="100">
        <v>43331</v>
      </c>
      <c r="H94" t="s">
        <v>1564</v>
      </c>
      <c r="J94" s="147">
        <v>2</v>
      </c>
      <c r="K94" s="10" t="s">
        <v>64</v>
      </c>
      <c r="L94">
        <v>444</v>
      </c>
      <c r="M94">
        <v>92</v>
      </c>
      <c r="O94" s="35">
        <v>182</v>
      </c>
      <c r="P94" s="35">
        <v>182</v>
      </c>
      <c r="Q94" s="35">
        <v>182</v>
      </c>
      <c r="S94" s="35">
        <v>222</v>
      </c>
      <c r="T94" s="35">
        <v>222</v>
      </c>
      <c r="U94" s="35">
        <v>222</v>
      </c>
      <c r="W94" s="36">
        <v>12.19</v>
      </c>
      <c r="X94" s="35">
        <v>12.17</v>
      </c>
      <c r="Y94" s="35">
        <v>12.07</v>
      </c>
      <c r="AA94" s="37">
        <v>30.61</v>
      </c>
      <c r="AB94" s="37">
        <v>30.67</v>
      </c>
      <c r="AC94" s="37">
        <v>30.56</v>
      </c>
      <c r="AE94" s="42">
        <v>40.24</v>
      </c>
      <c r="AF94" s="42">
        <v>40.340000000000003</v>
      </c>
      <c r="AG94" s="42">
        <v>40.26</v>
      </c>
      <c r="AI94" s="37">
        <v>63.12</v>
      </c>
      <c r="AJ94" s="37">
        <v>63.13</v>
      </c>
      <c r="AK94" s="37">
        <v>63.06</v>
      </c>
      <c r="AX94" s="10" t="s">
        <v>65</v>
      </c>
      <c r="AY94" s="9">
        <v>8</v>
      </c>
      <c r="AZ94">
        <v>8</v>
      </c>
      <c r="BA94">
        <v>8</v>
      </c>
      <c r="BC94" s="9" t="s">
        <v>1565</v>
      </c>
      <c r="BD94" s="35">
        <v>59.52</v>
      </c>
      <c r="BE94" s="35">
        <v>49.43</v>
      </c>
      <c r="BF94" s="35">
        <v>49.4</v>
      </c>
      <c r="BH94" s="35">
        <v>36.24</v>
      </c>
      <c r="BI94" s="35">
        <v>36.17</v>
      </c>
      <c r="BJ94" s="35">
        <v>36.42</v>
      </c>
      <c r="BL94" s="35">
        <v>70.03</v>
      </c>
      <c r="BM94" s="35">
        <v>69.91</v>
      </c>
      <c r="BN94" s="35">
        <v>69.760000000000005</v>
      </c>
      <c r="BP94" t="s">
        <v>51</v>
      </c>
      <c r="BQ94" t="s">
        <v>51</v>
      </c>
      <c r="BR94" t="s">
        <v>51</v>
      </c>
    </row>
    <row r="95" spans="1:77" x14ac:dyDescent="0.25">
      <c r="A95" s="97" t="s">
        <v>302</v>
      </c>
      <c r="B95" s="97" t="s">
        <v>1566</v>
      </c>
      <c r="C95" t="s">
        <v>49</v>
      </c>
      <c r="D95" t="s">
        <v>208</v>
      </c>
      <c r="E95">
        <v>1756</v>
      </c>
      <c r="F95" s="5" t="s">
        <v>202</v>
      </c>
      <c r="G95" s="100">
        <v>43332</v>
      </c>
      <c r="H95" t="s">
        <v>1204</v>
      </c>
      <c r="J95" s="147">
        <v>1</v>
      </c>
      <c r="K95" s="10" t="s">
        <v>50</v>
      </c>
      <c r="L95">
        <v>693</v>
      </c>
      <c r="M95">
        <v>92</v>
      </c>
      <c r="O95" s="35">
        <v>223</v>
      </c>
      <c r="P95" s="35">
        <v>223</v>
      </c>
      <c r="Q95" s="35">
        <v>223</v>
      </c>
      <c r="S95" s="35">
        <v>270</v>
      </c>
      <c r="T95" s="35">
        <v>270</v>
      </c>
      <c r="U95" s="35">
        <v>270</v>
      </c>
      <c r="W95" s="36">
        <v>13.06</v>
      </c>
      <c r="X95" s="35">
        <v>13.05</v>
      </c>
      <c r="Y95" s="35">
        <v>12.92</v>
      </c>
      <c r="AA95" s="37">
        <v>36.97</v>
      </c>
      <c r="AB95" s="37">
        <v>36.950000000000003</v>
      </c>
      <c r="AC95" s="37">
        <v>36.89</v>
      </c>
      <c r="AE95" s="42">
        <v>47.59</v>
      </c>
      <c r="AF95" s="42">
        <v>47.73</v>
      </c>
      <c r="AG95" s="42">
        <v>47.71</v>
      </c>
      <c r="AI95" s="37">
        <v>71.489999999999995</v>
      </c>
      <c r="AJ95" s="37">
        <v>71.67</v>
      </c>
      <c r="AK95" s="37">
        <v>71.69</v>
      </c>
      <c r="AM95" s="37">
        <v>17.53</v>
      </c>
      <c r="AN95" s="37">
        <v>17.52</v>
      </c>
      <c r="AO95" s="37">
        <v>17.010000000000002</v>
      </c>
      <c r="AQ95" s="37">
        <v>22.32</v>
      </c>
      <c r="AR95" s="37">
        <v>22.54</v>
      </c>
      <c r="AS95" s="37">
        <v>22.56</v>
      </c>
      <c r="AW95" s="9">
        <v>3</v>
      </c>
      <c r="BD95" s="35">
        <v>58.42</v>
      </c>
      <c r="BE95" s="35">
        <v>58.55</v>
      </c>
      <c r="BF95" s="35">
        <v>58.35</v>
      </c>
      <c r="BH95" s="35">
        <v>42.63</v>
      </c>
      <c r="BI95" s="35">
        <v>42.42</v>
      </c>
      <c r="BJ95" s="35">
        <v>42.54</v>
      </c>
      <c r="BL95" s="35">
        <v>74.88</v>
      </c>
      <c r="BM95" s="35">
        <v>74.45</v>
      </c>
      <c r="BN95" s="35">
        <v>74.510000000000005</v>
      </c>
      <c r="BP95" t="s">
        <v>51</v>
      </c>
      <c r="BQ95" t="s">
        <v>51</v>
      </c>
      <c r="BR95" t="s">
        <v>52</v>
      </c>
    </row>
    <row r="96" spans="1:77" x14ac:dyDescent="0.25">
      <c r="A96" s="97" t="s">
        <v>302</v>
      </c>
      <c r="B96" s="97" t="s">
        <v>1567</v>
      </c>
      <c r="C96" t="s">
        <v>49</v>
      </c>
      <c r="D96" t="s">
        <v>208</v>
      </c>
      <c r="E96">
        <v>1757</v>
      </c>
      <c r="F96" s="5" t="s">
        <v>202</v>
      </c>
      <c r="G96" s="100">
        <v>43332</v>
      </c>
      <c r="H96" t="s">
        <v>1568</v>
      </c>
      <c r="J96" s="147">
        <v>1</v>
      </c>
      <c r="K96" s="10" t="s">
        <v>50</v>
      </c>
      <c r="L96">
        <v>656</v>
      </c>
      <c r="M96">
        <v>94</v>
      </c>
      <c r="O96" s="35">
        <v>210</v>
      </c>
      <c r="P96" s="35">
        <v>210</v>
      </c>
      <c r="Q96" s="35">
        <v>210</v>
      </c>
      <c r="S96" s="35">
        <v>210</v>
      </c>
      <c r="T96" s="35">
        <v>210</v>
      </c>
      <c r="U96" s="35">
        <v>210</v>
      </c>
      <c r="W96" s="36">
        <v>13.92</v>
      </c>
      <c r="X96" s="35">
        <v>14.06</v>
      </c>
      <c r="Y96" s="35">
        <v>14.05</v>
      </c>
      <c r="AA96" s="37">
        <v>36.799999999999997</v>
      </c>
      <c r="AB96" s="37">
        <v>36.58</v>
      </c>
      <c r="AC96" s="37">
        <v>36.520000000000003</v>
      </c>
      <c r="AE96" s="42">
        <v>46.76</v>
      </c>
      <c r="AF96" s="42">
        <v>46.89</v>
      </c>
      <c r="AG96" s="42">
        <v>46.92</v>
      </c>
      <c r="AI96" s="37">
        <v>70.55</v>
      </c>
      <c r="AJ96" s="37">
        <v>70.53</v>
      </c>
      <c r="AK96" s="37">
        <v>70.53</v>
      </c>
      <c r="AM96" s="37">
        <v>19.010000000000002</v>
      </c>
      <c r="AN96" s="37">
        <v>18.989999999999998</v>
      </c>
      <c r="AO96" s="37">
        <v>18.89</v>
      </c>
      <c r="AQ96" s="37">
        <v>26.7</v>
      </c>
      <c r="AR96" s="37">
        <v>25.89</v>
      </c>
      <c r="AS96" s="37">
        <v>26.32</v>
      </c>
      <c r="AW96" s="9">
        <v>4</v>
      </c>
      <c r="BD96" s="35">
        <v>57.3</v>
      </c>
      <c r="BE96" s="35">
        <v>57.44</v>
      </c>
      <c r="BF96" s="35">
        <v>57.46</v>
      </c>
      <c r="BH96" s="35">
        <v>41.95</v>
      </c>
      <c r="BI96" s="35">
        <v>41.54</v>
      </c>
      <c r="BJ96" s="35">
        <v>41.94</v>
      </c>
      <c r="BL96" s="35">
        <v>75.150000000000006</v>
      </c>
      <c r="BM96" s="35">
        <v>75.75</v>
      </c>
      <c r="BN96" s="35">
        <v>75.52</v>
      </c>
      <c r="BP96" t="s">
        <v>51</v>
      </c>
      <c r="BQ96" t="s">
        <v>51</v>
      </c>
      <c r="BR96" t="s">
        <v>51</v>
      </c>
    </row>
    <row r="97" spans="1:78" x14ac:dyDescent="0.25">
      <c r="A97" s="97" t="s">
        <v>302</v>
      </c>
      <c r="B97" s="97" t="s">
        <v>1569</v>
      </c>
      <c r="C97" t="s">
        <v>49</v>
      </c>
      <c r="D97" t="s">
        <v>208</v>
      </c>
      <c r="E97">
        <v>1775</v>
      </c>
      <c r="F97" s="5" t="s">
        <v>202</v>
      </c>
      <c r="G97" s="100">
        <v>43333</v>
      </c>
      <c r="H97" t="s">
        <v>1570</v>
      </c>
      <c r="J97" s="150">
        <v>1</v>
      </c>
      <c r="K97" s="10" t="s">
        <v>64</v>
      </c>
      <c r="L97">
        <v>484</v>
      </c>
      <c r="M97">
        <v>94</v>
      </c>
      <c r="O97" s="35">
        <v>160</v>
      </c>
      <c r="P97" s="35">
        <v>161</v>
      </c>
      <c r="Q97" s="35">
        <v>161</v>
      </c>
      <c r="S97" s="35">
        <v>250</v>
      </c>
      <c r="T97" s="35">
        <v>250</v>
      </c>
      <c r="U97" s="35">
        <v>250</v>
      </c>
      <c r="W97" s="36">
        <v>12.88</v>
      </c>
      <c r="X97" s="35">
        <v>12.56</v>
      </c>
      <c r="Y97" s="35">
        <v>12.68</v>
      </c>
      <c r="AA97" s="37">
        <v>31.1</v>
      </c>
      <c r="AB97" s="37">
        <v>31.09</v>
      </c>
      <c r="AC97" s="37">
        <v>31.1</v>
      </c>
      <c r="AE97" s="42">
        <v>42.43</v>
      </c>
      <c r="AF97" s="42">
        <v>42.65</v>
      </c>
      <c r="AG97" s="42">
        <v>42.18</v>
      </c>
      <c r="AI97" s="37">
        <v>63.04</v>
      </c>
      <c r="AJ97" s="37">
        <v>63.24</v>
      </c>
      <c r="AK97" s="37">
        <v>63.65</v>
      </c>
      <c r="AX97" s="10" t="s">
        <v>65</v>
      </c>
      <c r="AY97" s="9">
        <v>8</v>
      </c>
      <c r="AZ97">
        <v>8</v>
      </c>
      <c r="BA97">
        <v>8</v>
      </c>
      <c r="BC97" s="9" t="s">
        <v>1571</v>
      </c>
      <c r="BD97" s="35">
        <v>50.24</v>
      </c>
      <c r="BE97" s="35">
        <v>50.18</v>
      </c>
      <c r="BF97" s="35">
        <v>50.17</v>
      </c>
      <c r="BH97" s="35">
        <v>32.36</v>
      </c>
      <c r="BI97" s="35">
        <v>32.799999999999997</v>
      </c>
      <c r="BJ97" s="35">
        <v>32.65</v>
      </c>
      <c r="BL97" s="35">
        <v>68.209999999999994</v>
      </c>
      <c r="BM97" s="35">
        <v>68.760000000000005</v>
      </c>
      <c r="BN97" s="35">
        <v>68.17</v>
      </c>
      <c r="BP97" t="s">
        <v>51</v>
      </c>
      <c r="BQ97" t="s">
        <v>51</v>
      </c>
      <c r="BR97" s="169"/>
      <c r="BZ97" t="s">
        <v>1588</v>
      </c>
    </row>
    <row r="98" spans="1:78" x14ac:dyDescent="0.25">
      <c r="A98" s="97" t="s">
        <v>302</v>
      </c>
      <c r="B98" s="97" t="s">
        <v>1572</v>
      </c>
      <c r="C98" t="s">
        <v>1573</v>
      </c>
      <c r="D98" t="s">
        <v>208</v>
      </c>
      <c r="E98">
        <v>1571</v>
      </c>
      <c r="F98" s="5" t="s">
        <v>202</v>
      </c>
      <c r="G98" s="100">
        <v>43333</v>
      </c>
      <c r="H98" t="s">
        <v>1570</v>
      </c>
      <c r="J98" s="147">
        <v>1</v>
      </c>
      <c r="K98" s="10" t="s">
        <v>64</v>
      </c>
      <c r="L98">
        <v>428</v>
      </c>
      <c r="M98">
        <v>93</v>
      </c>
      <c r="O98" s="35">
        <v>174</v>
      </c>
      <c r="P98" s="35">
        <v>173</v>
      </c>
      <c r="Q98" s="35">
        <v>173</v>
      </c>
      <c r="S98" s="35">
        <v>212</v>
      </c>
      <c r="T98" s="35">
        <v>213</v>
      </c>
      <c r="U98" s="35">
        <v>212</v>
      </c>
      <c r="W98" s="36">
        <v>12.65</v>
      </c>
      <c r="X98" s="35">
        <v>12.42</v>
      </c>
      <c r="Y98" s="35">
        <v>12.83</v>
      </c>
      <c r="AA98" s="37">
        <v>31.64</v>
      </c>
      <c r="AB98" s="37">
        <v>31.96</v>
      </c>
      <c r="AC98" s="37">
        <v>31.78</v>
      </c>
      <c r="AE98" s="42">
        <v>42.43</v>
      </c>
      <c r="AF98" s="42">
        <v>42.42</v>
      </c>
      <c r="AG98" s="42">
        <v>42.02</v>
      </c>
      <c r="AI98" s="37">
        <v>63.62</v>
      </c>
      <c r="AJ98" s="37">
        <v>63.5</v>
      </c>
      <c r="AK98" s="37">
        <v>63.92</v>
      </c>
      <c r="AX98" s="10" t="s">
        <v>65</v>
      </c>
      <c r="AY98" s="9">
        <v>8</v>
      </c>
      <c r="AZ98">
        <v>8</v>
      </c>
      <c r="BA98">
        <v>0</v>
      </c>
      <c r="BD98" s="35">
        <v>50.56</v>
      </c>
      <c r="BE98" s="35">
        <v>50.06</v>
      </c>
      <c r="BF98" s="35">
        <v>50.59</v>
      </c>
      <c r="BH98" s="35">
        <v>32.36</v>
      </c>
      <c r="BI98" s="35">
        <v>32.33</v>
      </c>
      <c r="BJ98" s="35">
        <v>32.15</v>
      </c>
      <c r="BL98" s="35">
        <v>67.37</v>
      </c>
      <c r="BM98" s="35">
        <v>67.23</v>
      </c>
      <c r="BN98" s="35">
        <v>67.260000000000005</v>
      </c>
      <c r="BP98" t="s">
        <v>51</v>
      </c>
      <c r="BQ98" t="s">
        <v>51</v>
      </c>
      <c r="BR98" s="169"/>
      <c r="BZ98" t="s">
        <v>1590</v>
      </c>
    </row>
    <row r="99" spans="1:78" x14ac:dyDescent="0.25">
      <c r="A99" s="97" t="s">
        <v>302</v>
      </c>
      <c r="B99" s="97" t="s">
        <v>1574</v>
      </c>
      <c r="C99" t="s">
        <v>49</v>
      </c>
      <c r="D99" t="s">
        <v>208</v>
      </c>
      <c r="E99">
        <v>1774</v>
      </c>
      <c r="F99" s="5" t="s">
        <v>202</v>
      </c>
      <c r="G99" s="100">
        <v>43333</v>
      </c>
      <c r="H99" t="s">
        <v>1570</v>
      </c>
      <c r="J99" s="147">
        <v>1</v>
      </c>
      <c r="K99" s="10" t="s">
        <v>64</v>
      </c>
      <c r="L99">
        <v>505</v>
      </c>
      <c r="M99">
        <v>91</v>
      </c>
      <c r="O99" s="35">
        <v>181</v>
      </c>
      <c r="P99" s="35">
        <v>181</v>
      </c>
      <c r="Q99" s="35">
        <v>180</v>
      </c>
      <c r="S99" s="35">
        <v>221</v>
      </c>
      <c r="T99" s="35">
        <v>221</v>
      </c>
      <c r="U99" s="35">
        <v>221</v>
      </c>
      <c r="W99" s="36">
        <v>12.05</v>
      </c>
      <c r="X99" s="35">
        <v>12.41</v>
      </c>
      <c r="Y99" s="35">
        <v>12.68</v>
      </c>
      <c r="AA99" s="37">
        <v>31.83</v>
      </c>
      <c r="AB99" s="37">
        <v>31.67</v>
      </c>
      <c r="AC99" s="37">
        <v>31.82</v>
      </c>
      <c r="AE99" s="42">
        <v>42.14</v>
      </c>
      <c r="AF99" s="42">
        <v>42.24</v>
      </c>
      <c r="AG99" s="42">
        <v>42.07</v>
      </c>
      <c r="AI99" s="37">
        <v>66.45</v>
      </c>
      <c r="AJ99" s="37">
        <v>66.52</v>
      </c>
      <c r="AK99" s="37">
        <v>66.73</v>
      </c>
      <c r="AX99" s="10" t="s">
        <v>65</v>
      </c>
      <c r="AY99" s="9">
        <v>8</v>
      </c>
      <c r="AZ99">
        <v>8</v>
      </c>
      <c r="BA99">
        <v>8</v>
      </c>
      <c r="BC99" s="9" t="s">
        <v>1575</v>
      </c>
      <c r="BD99" s="35">
        <v>52.75</v>
      </c>
      <c r="BE99" s="35">
        <v>52.83</v>
      </c>
      <c r="BF99" s="35">
        <v>52.01</v>
      </c>
      <c r="BH99" s="35">
        <v>35.880000000000003</v>
      </c>
      <c r="BI99" s="35">
        <v>35.35</v>
      </c>
      <c r="BJ99" s="35">
        <v>35.549999999999997</v>
      </c>
      <c r="BL99" s="35">
        <v>68.489999999999995</v>
      </c>
      <c r="BM99" s="35">
        <v>68.540000000000006</v>
      </c>
      <c r="BN99" s="35">
        <v>68.3</v>
      </c>
      <c r="BP99" t="s">
        <v>51</v>
      </c>
      <c r="BQ99" t="s">
        <v>51</v>
      </c>
      <c r="BR99" s="169"/>
      <c r="BZ99" t="s">
        <v>1588</v>
      </c>
    </row>
    <row r="100" spans="1:78" x14ac:dyDescent="0.25">
      <c r="A100" s="97" t="s">
        <v>302</v>
      </c>
      <c r="B100" s="97" t="s">
        <v>1576</v>
      </c>
      <c r="C100" t="s">
        <v>49</v>
      </c>
      <c r="D100" t="s">
        <v>208</v>
      </c>
      <c r="E100">
        <v>1775</v>
      </c>
      <c r="F100" s="5" t="s">
        <v>202</v>
      </c>
      <c r="G100" s="100">
        <v>43333</v>
      </c>
      <c r="H100" t="s">
        <v>1570</v>
      </c>
      <c r="J100" s="147">
        <v>1</v>
      </c>
      <c r="K100" s="10" t="s">
        <v>50</v>
      </c>
      <c r="L100">
        <v>939</v>
      </c>
      <c r="M100">
        <v>94</v>
      </c>
      <c r="O100" s="35">
        <v>231</v>
      </c>
      <c r="P100" s="35">
        <v>230</v>
      </c>
      <c r="Q100" s="35">
        <v>231</v>
      </c>
      <c r="S100" s="35">
        <v>275</v>
      </c>
      <c r="T100" s="35">
        <v>275</v>
      </c>
      <c r="U100" s="35">
        <v>275</v>
      </c>
      <c r="W100" s="36">
        <v>17.29</v>
      </c>
      <c r="X100" s="35">
        <v>17.57</v>
      </c>
      <c r="Y100" s="35">
        <v>17.16</v>
      </c>
      <c r="AA100" s="37">
        <v>37.119999999999997</v>
      </c>
      <c r="AB100" s="37">
        <v>37.92</v>
      </c>
      <c r="AC100" s="37">
        <v>37.46</v>
      </c>
      <c r="AE100" s="42">
        <v>49.21</v>
      </c>
      <c r="AF100" s="42">
        <v>49.76</v>
      </c>
      <c r="AG100" s="42">
        <v>49.07</v>
      </c>
      <c r="AI100" s="37">
        <v>76.31</v>
      </c>
      <c r="AJ100" s="37">
        <v>76.260000000000005</v>
      </c>
      <c r="AK100" s="37">
        <v>76.25</v>
      </c>
      <c r="AM100" s="37">
        <v>20.43</v>
      </c>
      <c r="AN100" s="37">
        <v>20.25</v>
      </c>
      <c r="AO100" s="37">
        <v>20.29</v>
      </c>
      <c r="AQ100" s="37">
        <v>27.86</v>
      </c>
      <c r="AR100" s="37">
        <v>27.57</v>
      </c>
      <c r="AS100" s="37">
        <v>27.25</v>
      </c>
      <c r="AW100" s="9">
        <v>5</v>
      </c>
      <c r="BD100" s="35">
        <v>63.38</v>
      </c>
      <c r="BE100" s="35">
        <v>63.28</v>
      </c>
      <c r="BF100" s="35">
        <v>63.07</v>
      </c>
      <c r="BH100" s="35">
        <v>45.63</v>
      </c>
      <c r="BI100" s="35">
        <v>45.34</v>
      </c>
      <c r="BJ100" s="35">
        <v>45.42</v>
      </c>
      <c r="BL100" s="35">
        <v>80.819999999999993</v>
      </c>
      <c r="BM100" s="35">
        <v>80.2</v>
      </c>
      <c r="BN100" s="35">
        <v>80.489999999999995</v>
      </c>
      <c r="BP100" t="s">
        <v>51</v>
      </c>
      <c r="BQ100" t="s">
        <v>51</v>
      </c>
      <c r="BR100" s="169"/>
      <c r="BZ100" t="s">
        <v>1588</v>
      </c>
    </row>
    <row r="101" spans="1:78" x14ac:dyDescent="0.25">
      <c r="A101" s="97" t="s">
        <v>302</v>
      </c>
      <c r="B101" s="97" t="s">
        <v>1577</v>
      </c>
      <c r="C101" t="s">
        <v>49</v>
      </c>
      <c r="D101" t="s">
        <v>208</v>
      </c>
      <c r="E101">
        <v>1771</v>
      </c>
      <c r="F101" s="5" t="s">
        <v>202</v>
      </c>
      <c r="G101" s="100">
        <v>43333</v>
      </c>
      <c r="H101" t="s">
        <v>1578</v>
      </c>
      <c r="J101" s="147">
        <v>1</v>
      </c>
      <c r="K101" s="10" t="s">
        <v>50</v>
      </c>
      <c r="L101">
        <v>536</v>
      </c>
      <c r="M101">
        <v>91</v>
      </c>
      <c r="O101" s="35">
        <v>210</v>
      </c>
      <c r="P101" s="35">
        <v>210</v>
      </c>
      <c r="Q101" s="35">
        <v>211</v>
      </c>
      <c r="S101" s="35">
        <v>245</v>
      </c>
      <c r="T101" s="35">
        <v>245</v>
      </c>
      <c r="U101" s="35">
        <v>246</v>
      </c>
      <c r="W101" s="36">
        <v>12.94</v>
      </c>
      <c r="X101" s="35">
        <v>12.44</v>
      </c>
      <c r="Y101" s="35">
        <v>12.74</v>
      </c>
      <c r="AA101" s="37">
        <v>33.79</v>
      </c>
      <c r="AB101" s="37">
        <v>33.92</v>
      </c>
      <c r="AC101" s="37">
        <v>33.72</v>
      </c>
      <c r="AE101" s="42">
        <v>42.17</v>
      </c>
      <c r="AF101" s="42">
        <v>42.26</v>
      </c>
      <c r="AG101" s="42">
        <v>41.99</v>
      </c>
      <c r="AI101" s="37">
        <v>68.900000000000006</v>
      </c>
      <c r="AJ101" s="37">
        <v>68.72</v>
      </c>
      <c r="AK101" s="37">
        <v>68.430000000000007</v>
      </c>
      <c r="AM101" s="37">
        <v>19.940000000000001</v>
      </c>
      <c r="AN101" s="37">
        <v>19.77</v>
      </c>
      <c r="AO101" s="37">
        <v>19.52</v>
      </c>
      <c r="AQ101" s="37">
        <v>22.96</v>
      </c>
      <c r="AR101" s="37">
        <v>22.75</v>
      </c>
      <c r="AS101" s="37">
        <v>22.18</v>
      </c>
      <c r="AW101" s="9">
        <v>1</v>
      </c>
      <c r="BD101" s="35">
        <v>51.88</v>
      </c>
      <c r="BE101" s="35">
        <v>51.33</v>
      </c>
      <c r="BF101" s="35">
        <v>51.55</v>
      </c>
      <c r="BH101" s="35">
        <v>39.5</v>
      </c>
      <c r="BI101" s="35">
        <v>39.57</v>
      </c>
      <c r="BJ101" s="35">
        <v>39.619999999999997</v>
      </c>
      <c r="BL101" s="35">
        <v>76.260000000000005</v>
      </c>
      <c r="BM101" s="35">
        <v>76.930000000000007</v>
      </c>
      <c r="BN101" s="35">
        <v>76.48</v>
      </c>
      <c r="BP101" t="s">
        <v>51</v>
      </c>
      <c r="BQ101" t="s">
        <v>51</v>
      </c>
      <c r="BR101" s="169"/>
      <c r="BZ101" t="s">
        <v>1588</v>
      </c>
    </row>
    <row r="102" spans="1:78" x14ac:dyDescent="0.25">
      <c r="A102" s="97" t="s">
        <v>302</v>
      </c>
      <c r="B102" s="97" t="s">
        <v>1579</v>
      </c>
      <c r="C102" t="s">
        <v>49</v>
      </c>
      <c r="D102" t="s">
        <v>208</v>
      </c>
      <c r="E102">
        <v>1770</v>
      </c>
      <c r="F102" s="5" t="s">
        <v>202</v>
      </c>
      <c r="G102" s="100">
        <v>43333</v>
      </c>
      <c r="H102" t="s">
        <v>1570</v>
      </c>
      <c r="J102" s="147">
        <v>1</v>
      </c>
      <c r="K102" s="10" t="s">
        <v>64</v>
      </c>
      <c r="L102">
        <v>384</v>
      </c>
      <c r="M102">
        <v>94</v>
      </c>
      <c r="O102" s="35">
        <v>162</v>
      </c>
      <c r="P102" s="35">
        <v>161</v>
      </c>
      <c r="Q102" s="35">
        <v>161</v>
      </c>
      <c r="S102" s="35">
        <v>209</v>
      </c>
      <c r="T102" s="35">
        <v>209</v>
      </c>
      <c r="U102" s="35">
        <v>210</v>
      </c>
      <c r="W102" s="36">
        <v>12.36</v>
      </c>
      <c r="X102" s="35">
        <v>12.11</v>
      </c>
      <c r="Y102" s="35">
        <v>12.13</v>
      </c>
      <c r="AA102" s="37">
        <v>31.47</v>
      </c>
      <c r="AB102" s="37">
        <v>31.43</v>
      </c>
      <c r="AC102" s="37">
        <v>31.55</v>
      </c>
      <c r="AE102" s="42">
        <v>41.16</v>
      </c>
      <c r="AF102" s="42">
        <v>41.82</v>
      </c>
      <c r="AG102" s="42">
        <v>41.69</v>
      </c>
      <c r="AI102" s="37">
        <v>60.4</v>
      </c>
      <c r="AJ102" s="37">
        <v>60.4</v>
      </c>
      <c r="AK102" s="37">
        <v>60.3</v>
      </c>
      <c r="AX102" s="10" t="s">
        <v>65</v>
      </c>
      <c r="AY102" s="9">
        <v>8</v>
      </c>
      <c r="AZ102">
        <v>8</v>
      </c>
      <c r="BA102">
        <v>6</v>
      </c>
      <c r="BC102" s="9" t="s">
        <v>1580</v>
      </c>
      <c r="BD102" s="35">
        <v>47.37</v>
      </c>
      <c r="BE102" s="35">
        <v>47.46</v>
      </c>
      <c r="BF102" s="35">
        <v>47.45</v>
      </c>
      <c r="BH102" s="35">
        <v>32.72</v>
      </c>
      <c r="BI102" s="35">
        <v>32.51</v>
      </c>
      <c r="BJ102" s="35">
        <v>32.86</v>
      </c>
      <c r="BL102" s="35">
        <v>67.64</v>
      </c>
      <c r="BM102" s="35">
        <v>67.040000000000006</v>
      </c>
      <c r="BN102" s="35">
        <v>67.27</v>
      </c>
      <c r="BP102" t="s">
        <v>51</v>
      </c>
      <c r="BQ102" t="s">
        <v>51</v>
      </c>
      <c r="BR102" s="169"/>
      <c r="BZ102" t="s">
        <v>1588</v>
      </c>
    </row>
    <row r="103" spans="1:78" x14ac:dyDescent="0.25">
      <c r="A103" s="97" t="s">
        <v>302</v>
      </c>
      <c r="B103" s="97" t="s">
        <v>1581</v>
      </c>
      <c r="C103" t="s">
        <v>49</v>
      </c>
      <c r="D103" t="s">
        <v>208</v>
      </c>
      <c r="E103">
        <v>1776</v>
      </c>
      <c r="F103" s="5" t="s">
        <v>202</v>
      </c>
      <c r="G103" s="100">
        <v>43333</v>
      </c>
      <c r="H103" t="s">
        <v>1570</v>
      </c>
      <c r="J103" s="147">
        <v>1</v>
      </c>
      <c r="K103" s="10" t="s">
        <v>64</v>
      </c>
      <c r="L103">
        <v>409</v>
      </c>
      <c r="M103">
        <v>88</v>
      </c>
      <c r="O103" s="35">
        <v>152</v>
      </c>
      <c r="P103" s="35">
        <v>151</v>
      </c>
      <c r="Q103" s="35">
        <v>151</v>
      </c>
      <c r="S103" s="35">
        <v>205</v>
      </c>
      <c r="T103" s="35">
        <v>204</v>
      </c>
      <c r="U103" s="35">
        <v>204</v>
      </c>
      <c r="W103" s="36">
        <v>11.69</v>
      </c>
      <c r="X103" s="35">
        <v>11.61</v>
      </c>
      <c r="Y103" s="35">
        <v>11.84</v>
      </c>
      <c r="AA103" s="37">
        <v>29.89</v>
      </c>
      <c r="AB103" s="37">
        <v>29.89</v>
      </c>
      <c r="AC103" s="37">
        <v>28.86</v>
      </c>
      <c r="AE103" s="42">
        <v>40.07</v>
      </c>
      <c r="AF103" s="42">
        <v>40.15</v>
      </c>
      <c r="AG103" s="42">
        <v>40.01</v>
      </c>
      <c r="AI103" s="37">
        <v>61.76</v>
      </c>
      <c r="AJ103" s="37">
        <v>61.77</v>
      </c>
      <c r="AK103" s="37">
        <v>61.47</v>
      </c>
      <c r="AX103" s="10" t="s">
        <v>65</v>
      </c>
      <c r="AY103" s="9">
        <v>8</v>
      </c>
      <c r="AZ103">
        <v>8</v>
      </c>
      <c r="BA103">
        <v>7</v>
      </c>
      <c r="BC103" s="9" t="s">
        <v>1582</v>
      </c>
      <c r="BD103" s="35">
        <v>47.03</v>
      </c>
      <c r="BE103" s="35">
        <v>47.19</v>
      </c>
      <c r="BF103" s="35">
        <v>47.29</v>
      </c>
      <c r="BH103" s="35">
        <v>31.7</v>
      </c>
      <c r="BI103" s="35">
        <v>31.18</v>
      </c>
      <c r="BJ103" s="35">
        <v>31.87</v>
      </c>
      <c r="BL103" s="35">
        <v>65.290000000000006</v>
      </c>
      <c r="BM103" s="35">
        <v>65.17</v>
      </c>
      <c r="BN103" s="35">
        <v>65.150000000000006</v>
      </c>
      <c r="BP103" t="s">
        <v>51</v>
      </c>
      <c r="BQ103" t="s">
        <v>51</v>
      </c>
      <c r="BR103" s="169"/>
      <c r="BZ103" t="s">
        <v>1588</v>
      </c>
    </row>
    <row r="104" spans="1:78" x14ac:dyDescent="0.25">
      <c r="A104" s="97" t="s">
        <v>302</v>
      </c>
      <c r="B104" s="97" t="s">
        <v>1583</v>
      </c>
      <c r="C104" t="s">
        <v>49</v>
      </c>
      <c r="D104" t="s">
        <v>208</v>
      </c>
      <c r="E104">
        <v>1772</v>
      </c>
      <c r="F104" s="5" t="s">
        <v>202</v>
      </c>
      <c r="G104" s="100">
        <v>43333</v>
      </c>
      <c r="H104" t="s">
        <v>1570</v>
      </c>
      <c r="J104" s="147">
        <v>1</v>
      </c>
      <c r="K104" s="10" t="s">
        <v>64</v>
      </c>
      <c r="L104">
        <v>486</v>
      </c>
      <c r="M104">
        <v>92</v>
      </c>
      <c r="O104" s="35">
        <v>175</v>
      </c>
      <c r="P104" s="35">
        <v>176</v>
      </c>
      <c r="Q104" s="35">
        <v>176</v>
      </c>
      <c r="S104" s="35">
        <v>226</v>
      </c>
      <c r="T104" s="35">
        <v>225</v>
      </c>
      <c r="U104" s="35">
        <v>225</v>
      </c>
      <c r="W104" s="36">
        <v>13.34</v>
      </c>
      <c r="X104" s="35">
        <v>13.29</v>
      </c>
      <c r="Y104" s="35">
        <v>13.77</v>
      </c>
      <c r="AA104" s="37">
        <v>30.54</v>
      </c>
      <c r="AB104" s="37">
        <v>30.17</v>
      </c>
      <c r="AC104" s="37">
        <v>30.7</v>
      </c>
      <c r="AE104" s="42">
        <v>39.08</v>
      </c>
      <c r="AF104" s="42">
        <v>39.340000000000003</v>
      </c>
      <c r="AG104" s="42">
        <v>39.15</v>
      </c>
      <c r="AI104" s="37">
        <v>65.39</v>
      </c>
      <c r="AJ104" s="37">
        <v>35.43</v>
      </c>
      <c r="AK104" s="37">
        <v>35.46</v>
      </c>
      <c r="AX104" s="10" t="s">
        <v>65</v>
      </c>
      <c r="AY104" s="9">
        <v>8</v>
      </c>
      <c r="AZ104">
        <v>8</v>
      </c>
      <c r="BA104">
        <v>8</v>
      </c>
      <c r="BC104" s="9" t="s">
        <v>1584</v>
      </c>
      <c r="BD104" s="35">
        <v>53.74</v>
      </c>
      <c r="BE104" s="35">
        <v>53.42</v>
      </c>
      <c r="BF104" s="35">
        <v>53.98</v>
      </c>
      <c r="BH104" s="35">
        <v>34.799999999999997</v>
      </c>
      <c r="BI104" s="35">
        <v>34.25</v>
      </c>
      <c r="BJ104" s="35">
        <v>34.17</v>
      </c>
      <c r="BL104" s="35">
        <v>67.97</v>
      </c>
      <c r="BM104" s="35">
        <v>67.45</v>
      </c>
      <c r="BN104" s="35">
        <v>67.930000000000007</v>
      </c>
      <c r="BP104" t="s">
        <v>51</v>
      </c>
      <c r="BQ104" t="s">
        <v>51</v>
      </c>
      <c r="BR104" s="169"/>
      <c r="BZ104" t="s">
        <v>1588</v>
      </c>
    </row>
    <row r="105" spans="1:78" x14ac:dyDescent="0.25">
      <c r="A105" s="97" t="s">
        <v>302</v>
      </c>
      <c r="B105" s="97" t="s">
        <v>1469</v>
      </c>
      <c r="C105" t="s">
        <v>207</v>
      </c>
      <c r="D105" t="s">
        <v>208</v>
      </c>
      <c r="E105">
        <v>1656</v>
      </c>
      <c r="F105" s="5" t="s">
        <v>202</v>
      </c>
      <c r="G105" s="100">
        <v>43333</v>
      </c>
      <c r="H105" t="s">
        <v>1578</v>
      </c>
      <c r="J105" s="147">
        <v>1</v>
      </c>
      <c r="K105" s="10" t="s">
        <v>50</v>
      </c>
      <c r="L105">
        <v>459</v>
      </c>
      <c r="M105">
        <v>94</v>
      </c>
      <c r="O105" s="35">
        <v>171</v>
      </c>
      <c r="P105" s="35">
        <v>171</v>
      </c>
      <c r="Q105" s="35">
        <v>170</v>
      </c>
      <c r="S105" s="35">
        <v>232</v>
      </c>
      <c r="T105" s="35">
        <v>232</v>
      </c>
      <c r="U105" s="35">
        <v>232</v>
      </c>
      <c r="W105" s="36">
        <v>10.96</v>
      </c>
      <c r="X105" s="35">
        <v>10.79</v>
      </c>
      <c r="Y105" s="35">
        <v>10.55</v>
      </c>
      <c r="AA105" s="37">
        <v>32.159999999999997</v>
      </c>
      <c r="AB105" s="37">
        <v>32.299999999999997</v>
      </c>
      <c r="AC105" s="37">
        <v>32.020000000000003</v>
      </c>
      <c r="AE105" s="42">
        <v>40.33</v>
      </c>
      <c r="AF105" s="42">
        <v>40.479999999999997</v>
      </c>
      <c r="AG105" s="42">
        <v>40.28</v>
      </c>
      <c r="AI105" s="37">
        <v>65.03</v>
      </c>
      <c r="AJ105" s="37">
        <v>65</v>
      </c>
      <c r="AK105" s="37">
        <v>65.569999999999993</v>
      </c>
      <c r="AM105" s="37">
        <v>16.8</v>
      </c>
      <c r="AN105" s="37">
        <v>16.559999999999999</v>
      </c>
      <c r="AO105" s="37">
        <v>16.18</v>
      </c>
      <c r="AQ105" s="37">
        <v>24.76</v>
      </c>
      <c r="AR105" s="37">
        <v>24.94</v>
      </c>
      <c r="AS105" s="37">
        <v>24.44</v>
      </c>
      <c r="AW105" s="9">
        <v>3</v>
      </c>
      <c r="BD105" s="35">
        <v>50.08</v>
      </c>
      <c r="BE105" s="35">
        <v>50.77</v>
      </c>
      <c r="BF105" s="35">
        <v>50.24</v>
      </c>
      <c r="BH105" s="35">
        <v>36.08</v>
      </c>
      <c r="BI105" s="35">
        <v>36.340000000000003</v>
      </c>
      <c r="BJ105" s="35">
        <v>36.68</v>
      </c>
      <c r="BL105" s="35">
        <v>64.34</v>
      </c>
      <c r="BM105" s="35">
        <v>64.739999999999995</v>
      </c>
      <c r="BN105" s="35">
        <v>64.760000000000005</v>
      </c>
      <c r="BP105" t="s">
        <v>52</v>
      </c>
      <c r="BQ105" t="s">
        <v>51</v>
      </c>
      <c r="BR105" s="169"/>
      <c r="BZ105" t="s">
        <v>1588</v>
      </c>
    </row>
    <row r="106" spans="1:78" x14ac:dyDescent="0.25">
      <c r="A106" s="97" t="s">
        <v>302</v>
      </c>
      <c r="B106" s="97" t="s">
        <v>1585</v>
      </c>
      <c r="C106" t="s">
        <v>49</v>
      </c>
      <c r="D106" t="s">
        <v>208</v>
      </c>
      <c r="E106">
        <v>1758</v>
      </c>
      <c r="F106" s="5" t="s">
        <v>202</v>
      </c>
      <c r="G106" s="100">
        <v>43333</v>
      </c>
      <c r="H106" t="s">
        <v>1222</v>
      </c>
      <c r="J106" s="147">
        <v>1</v>
      </c>
      <c r="K106" s="10" t="s">
        <v>64</v>
      </c>
      <c r="L106">
        <v>534</v>
      </c>
      <c r="M106">
        <v>91</v>
      </c>
      <c r="O106" s="35">
        <v>161</v>
      </c>
      <c r="P106" s="35">
        <v>162</v>
      </c>
      <c r="Q106" s="35">
        <v>162</v>
      </c>
      <c r="S106" s="35">
        <v>234</v>
      </c>
      <c r="T106" s="35">
        <v>233</v>
      </c>
      <c r="U106" s="35">
        <v>233</v>
      </c>
      <c r="W106" s="36">
        <v>13.27</v>
      </c>
      <c r="X106" s="35">
        <v>13.67</v>
      </c>
      <c r="Y106" s="35">
        <v>13.75</v>
      </c>
      <c r="AA106" s="37">
        <v>29.2</v>
      </c>
      <c r="AB106" s="37">
        <v>29.28</v>
      </c>
      <c r="AC106" s="37">
        <v>29.54</v>
      </c>
      <c r="AE106" s="42">
        <v>36.68</v>
      </c>
      <c r="AF106" s="42">
        <v>36.83</v>
      </c>
      <c r="AG106" s="42">
        <v>36.799999999999997</v>
      </c>
      <c r="AI106" s="37">
        <v>59.94</v>
      </c>
      <c r="AJ106" s="37">
        <v>59.87</v>
      </c>
      <c r="AK106" s="37">
        <v>59.83</v>
      </c>
      <c r="AX106" s="10" t="s">
        <v>65</v>
      </c>
      <c r="AY106" s="9">
        <v>8</v>
      </c>
      <c r="AZ106">
        <v>8</v>
      </c>
      <c r="BA106">
        <v>0</v>
      </c>
      <c r="BD106" s="35">
        <v>59.18</v>
      </c>
      <c r="BE106" s="35">
        <v>59.82</v>
      </c>
      <c r="BF106" s="35">
        <v>59.43</v>
      </c>
      <c r="BH106" s="35">
        <v>32.58</v>
      </c>
      <c r="BI106" s="35">
        <v>32.880000000000003</v>
      </c>
      <c r="BJ106" s="35">
        <v>32.65</v>
      </c>
      <c r="BL106" s="35">
        <v>67.739999999999995</v>
      </c>
      <c r="BM106" s="35">
        <v>67.61</v>
      </c>
      <c r="BN106" s="35">
        <v>67.55</v>
      </c>
      <c r="BP106" t="s">
        <v>51</v>
      </c>
      <c r="BQ106" t="s">
        <v>51</v>
      </c>
      <c r="BR106" s="169"/>
      <c r="BZ106" t="s">
        <v>1588</v>
      </c>
    </row>
    <row r="107" spans="1:78" x14ac:dyDescent="0.25">
      <c r="A107" s="97" t="s">
        <v>302</v>
      </c>
      <c r="B107" s="97" t="s">
        <v>1586</v>
      </c>
      <c r="C107" t="s">
        <v>49</v>
      </c>
      <c r="D107" t="s">
        <v>208</v>
      </c>
      <c r="E107">
        <v>1759</v>
      </c>
      <c r="F107" s="5" t="s">
        <v>202</v>
      </c>
      <c r="G107" s="100">
        <v>43333</v>
      </c>
      <c r="H107" t="s">
        <v>1578</v>
      </c>
      <c r="J107" s="147">
        <v>1</v>
      </c>
      <c r="K107" s="10" t="s">
        <v>50</v>
      </c>
      <c r="L107">
        <v>373</v>
      </c>
      <c r="M107">
        <v>93</v>
      </c>
      <c r="O107" s="35">
        <v>151</v>
      </c>
      <c r="P107" s="35">
        <v>150</v>
      </c>
      <c r="Q107" s="35">
        <v>150</v>
      </c>
      <c r="S107" s="35">
        <v>225</v>
      </c>
      <c r="T107" s="35">
        <v>225</v>
      </c>
      <c r="U107" s="35">
        <v>226</v>
      </c>
      <c r="W107" s="35">
        <v>11.38</v>
      </c>
      <c r="X107" s="35">
        <v>11.28</v>
      </c>
      <c r="Y107" s="35">
        <v>11.25</v>
      </c>
      <c r="AA107" s="37">
        <v>30.5</v>
      </c>
      <c r="AB107" s="37">
        <v>30.95</v>
      </c>
      <c r="AC107" s="37">
        <v>30.8</v>
      </c>
      <c r="AE107" s="42">
        <v>38.659999999999997</v>
      </c>
      <c r="AF107" s="42">
        <v>38.5</v>
      </c>
      <c r="AG107" s="42">
        <v>38.65</v>
      </c>
      <c r="AI107" s="37">
        <v>60.69</v>
      </c>
      <c r="AJ107" s="37">
        <v>60.11</v>
      </c>
      <c r="AK107" s="37">
        <v>60.98</v>
      </c>
      <c r="AM107" s="37">
        <v>14.75</v>
      </c>
      <c r="AN107" s="37">
        <v>14.92</v>
      </c>
      <c r="AO107" s="37">
        <v>14.74</v>
      </c>
      <c r="AQ107" s="37">
        <v>20.6</v>
      </c>
      <c r="AR107" s="37">
        <v>20.48</v>
      </c>
      <c r="AS107" s="37">
        <v>20.350000000000001</v>
      </c>
      <c r="AW107" s="9">
        <v>3</v>
      </c>
      <c r="BD107" s="35">
        <v>42.09</v>
      </c>
      <c r="BE107" s="35">
        <v>42.8</v>
      </c>
      <c r="BF107" s="35">
        <v>42.68</v>
      </c>
      <c r="BH107" s="35">
        <v>35.43</v>
      </c>
      <c r="BI107" s="35">
        <v>35.549999999999997</v>
      </c>
      <c r="BJ107" s="35">
        <v>35.159999999999997</v>
      </c>
      <c r="BL107" s="35">
        <v>35.81</v>
      </c>
      <c r="BM107" s="35">
        <v>35.65</v>
      </c>
      <c r="BN107" s="35">
        <v>35.29</v>
      </c>
      <c r="BP107" t="s">
        <v>51</v>
      </c>
      <c r="BQ107" t="s">
        <v>51</v>
      </c>
      <c r="BR107" s="169"/>
      <c r="BZ107" t="s">
        <v>1588</v>
      </c>
    </row>
    <row r="108" spans="1:78" x14ac:dyDescent="0.25">
      <c r="A108" s="97" t="s">
        <v>302</v>
      </c>
      <c r="B108" s="97" t="s">
        <v>1587</v>
      </c>
      <c r="C108" t="s">
        <v>49</v>
      </c>
      <c r="D108" t="s">
        <v>208</v>
      </c>
      <c r="E108">
        <v>1768</v>
      </c>
      <c r="F108" s="5" t="s">
        <v>202</v>
      </c>
      <c r="G108" s="100">
        <v>43333</v>
      </c>
      <c r="H108" t="s">
        <v>1222</v>
      </c>
      <c r="J108" s="147">
        <v>1</v>
      </c>
      <c r="K108" s="10" t="s">
        <v>50</v>
      </c>
      <c r="L108">
        <v>452</v>
      </c>
      <c r="M108">
        <v>95</v>
      </c>
      <c r="O108" s="35">
        <v>171</v>
      </c>
      <c r="P108" s="35">
        <v>171</v>
      </c>
      <c r="Q108" s="35">
        <v>171</v>
      </c>
      <c r="S108" s="35">
        <v>91</v>
      </c>
      <c r="T108" s="35">
        <v>91</v>
      </c>
      <c r="U108" s="35">
        <v>91</v>
      </c>
      <c r="W108" s="36">
        <v>11.89</v>
      </c>
      <c r="X108" s="35">
        <v>11.59</v>
      </c>
      <c r="Y108" s="35">
        <v>11.87</v>
      </c>
      <c r="AA108" s="37">
        <v>33.81</v>
      </c>
      <c r="AB108" s="37">
        <v>33.71</v>
      </c>
      <c r="AC108" s="37">
        <v>33.840000000000003</v>
      </c>
      <c r="AE108" s="42">
        <v>42.41</v>
      </c>
      <c r="AF108" s="42">
        <v>42.52</v>
      </c>
      <c r="AG108" s="42">
        <v>42.74</v>
      </c>
      <c r="AI108" s="37">
        <v>58.81</v>
      </c>
      <c r="AJ108" s="37">
        <v>58.26</v>
      </c>
      <c r="AK108" s="37">
        <v>58.27</v>
      </c>
      <c r="AM108" s="37">
        <v>16.03</v>
      </c>
      <c r="AN108" s="37">
        <v>16.809999999999999</v>
      </c>
      <c r="AO108" s="37">
        <v>16.62</v>
      </c>
      <c r="AQ108" s="37">
        <v>21.07</v>
      </c>
      <c r="AR108" s="37">
        <v>21.32</v>
      </c>
      <c r="AS108" s="37">
        <v>21.14</v>
      </c>
      <c r="AW108" s="9">
        <v>5</v>
      </c>
      <c r="BD108" s="35">
        <v>51.7</v>
      </c>
      <c r="BE108" s="35">
        <v>51.11</v>
      </c>
      <c r="BF108" s="35">
        <v>51.2</v>
      </c>
      <c r="BH108" s="35">
        <v>33.56</v>
      </c>
      <c r="BI108" s="35">
        <v>33.64</v>
      </c>
      <c r="BJ108" s="35">
        <v>33.700000000000003</v>
      </c>
      <c r="BL108" s="35">
        <v>72.260000000000005</v>
      </c>
      <c r="BM108" s="35">
        <v>72.459999999999994</v>
      </c>
      <c r="BN108" s="35">
        <v>72.62</v>
      </c>
      <c r="BP108" t="s">
        <v>51</v>
      </c>
      <c r="BQ108" t="s">
        <v>51</v>
      </c>
      <c r="BR108" s="169"/>
      <c r="BZ108" t="s">
        <v>1589</v>
      </c>
    </row>
    <row r="109" spans="1:78" s="176" customFormat="1" x14ac:dyDescent="0.25">
      <c r="A109" s="183">
        <v>2019</v>
      </c>
      <c r="F109" s="271"/>
      <c r="I109" s="177"/>
      <c r="J109" s="272"/>
      <c r="K109" s="179"/>
      <c r="N109" s="177"/>
      <c r="R109" s="180"/>
      <c r="V109" s="180"/>
      <c r="W109" s="181"/>
      <c r="Z109" s="180"/>
      <c r="AD109" s="180"/>
      <c r="AE109" s="216"/>
      <c r="AF109" s="216"/>
      <c r="AG109" s="180"/>
      <c r="AH109" s="180"/>
      <c r="AL109" s="180"/>
      <c r="AM109" s="182"/>
      <c r="AN109" s="182"/>
      <c r="AO109" s="182"/>
      <c r="AP109" s="177"/>
      <c r="AQ109" s="182"/>
      <c r="AR109" s="182"/>
      <c r="AS109" s="182"/>
      <c r="AT109" s="177"/>
      <c r="AU109" s="179"/>
      <c r="AV109" s="179"/>
      <c r="AW109" s="177"/>
      <c r="AX109" s="179"/>
      <c r="AY109" s="177"/>
      <c r="BB109" s="182"/>
      <c r="BC109" s="177"/>
      <c r="BG109" s="180"/>
      <c r="BK109" s="180"/>
      <c r="BO109" s="180"/>
      <c r="BT109" s="177"/>
      <c r="BU109" s="182"/>
      <c r="BV109" s="182"/>
      <c r="BW109" s="182"/>
      <c r="BX109" s="182"/>
      <c r="BY109" s="177"/>
    </row>
    <row r="110" spans="1:78" x14ac:dyDescent="0.25">
      <c r="A110" s="97" t="s">
        <v>302</v>
      </c>
      <c r="B110" s="97" t="s">
        <v>1629</v>
      </c>
      <c r="C110" t="s">
        <v>49</v>
      </c>
      <c r="D110" t="s">
        <v>208</v>
      </c>
      <c r="E110">
        <v>1798</v>
      </c>
      <c r="F110" s="5" t="s">
        <v>1630</v>
      </c>
      <c r="G110" s="100">
        <v>43662</v>
      </c>
      <c r="H110" t="s">
        <v>1611</v>
      </c>
      <c r="J110" s="147">
        <v>1</v>
      </c>
      <c r="K110" s="10" t="s">
        <v>50</v>
      </c>
      <c r="L110">
        <v>478</v>
      </c>
      <c r="M110">
        <v>94</v>
      </c>
      <c r="N110" s="9">
        <f>L110-M110</f>
        <v>384</v>
      </c>
      <c r="O110" s="35">
        <v>181</v>
      </c>
      <c r="P110" s="35">
        <v>180</v>
      </c>
      <c r="Q110" s="35">
        <v>180</v>
      </c>
      <c r="S110" s="35">
        <v>211</v>
      </c>
      <c r="T110" s="35">
        <v>212</v>
      </c>
      <c r="U110" s="35">
        <v>212</v>
      </c>
      <c r="W110" s="36">
        <v>12.34</v>
      </c>
      <c r="X110" s="35">
        <v>12.96</v>
      </c>
      <c r="Y110" s="35">
        <v>12.59</v>
      </c>
      <c r="AA110" s="37">
        <v>32.75</v>
      </c>
      <c r="AB110" s="37">
        <v>32</v>
      </c>
      <c r="AC110" s="37">
        <v>32.53</v>
      </c>
      <c r="AE110" s="42">
        <v>42.82</v>
      </c>
      <c r="AF110" s="42">
        <v>42.86</v>
      </c>
      <c r="AG110" s="42">
        <v>42.85</v>
      </c>
      <c r="AI110" s="37">
        <v>64.95</v>
      </c>
      <c r="AJ110" s="37">
        <v>64.66</v>
      </c>
      <c r="AK110" s="37">
        <v>64.680000000000007</v>
      </c>
      <c r="AM110" s="37">
        <v>19.78</v>
      </c>
      <c r="AN110" s="37">
        <v>19.46</v>
      </c>
      <c r="AO110" s="37">
        <v>19.399999999999999</v>
      </c>
      <c r="AQ110" s="37">
        <v>24.12</v>
      </c>
      <c r="AR110" s="37">
        <v>24.03</v>
      </c>
      <c r="AS110" s="37">
        <v>24.15</v>
      </c>
      <c r="AU110" s="10" t="s">
        <v>296</v>
      </c>
      <c r="AW110" s="9">
        <v>0</v>
      </c>
      <c r="BD110" s="35">
        <v>53.81</v>
      </c>
      <c r="BE110" s="35">
        <v>53.49</v>
      </c>
      <c r="BF110" s="35">
        <v>53.52</v>
      </c>
      <c r="BH110" s="35">
        <v>37.36</v>
      </c>
      <c r="BI110" s="35">
        <v>37.54</v>
      </c>
      <c r="BJ110" s="35">
        <v>37.42</v>
      </c>
      <c r="BL110" s="35">
        <v>68.510000000000005</v>
      </c>
      <c r="BM110" s="35">
        <v>68.92</v>
      </c>
      <c r="BN110" s="35">
        <v>68.3</v>
      </c>
      <c r="BP110" t="s">
        <v>51</v>
      </c>
      <c r="BQ110" t="s">
        <v>51</v>
      </c>
      <c r="BR110" t="s">
        <v>52</v>
      </c>
      <c r="BS110" t="s">
        <v>51</v>
      </c>
    </row>
    <row r="111" spans="1:78" x14ac:dyDescent="0.25">
      <c r="A111" s="97" t="s">
        <v>302</v>
      </c>
      <c r="B111" s="97" t="s">
        <v>1631</v>
      </c>
      <c r="C111" t="s">
        <v>49</v>
      </c>
      <c r="D111" t="s">
        <v>208</v>
      </c>
      <c r="E111">
        <v>1740</v>
      </c>
      <c r="F111" s="5" t="s">
        <v>202</v>
      </c>
      <c r="G111" s="100">
        <v>43662</v>
      </c>
      <c r="H111" t="s">
        <v>1612</v>
      </c>
      <c r="J111" s="147">
        <v>2</v>
      </c>
      <c r="K111" s="10" t="s">
        <v>64</v>
      </c>
      <c r="L111">
        <v>379</v>
      </c>
      <c r="M111">
        <v>91</v>
      </c>
      <c r="N111" s="9">
        <f t="shared" ref="N111:N125" si="32">L111-M111</f>
        <v>288</v>
      </c>
      <c r="O111" s="35">
        <v>164</v>
      </c>
      <c r="P111" s="35">
        <v>164</v>
      </c>
      <c r="Q111" s="35">
        <v>164</v>
      </c>
      <c r="S111" s="35">
        <v>214</v>
      </c>
      <c r="T111" s="35">
        <v>214</v>
      </c>
      <c r="U111" s="35">
        <v>215</v>
      </c>
      <c r="W111" s="36">
        <v>12.79</v>
      </c>
      <c r="X111" s="35">
        <v>12.68</v>
      </c>
      <c r="Y111" s="35">
        <v>12.65</v>
      </c>
      <c r="AA111" s="37">
        <v>29.31</v>
      </c>
      <c r="AB111" s="37">
        <v>29.24</v>
      </c>
      <c r="AC111" s="37">
        <v>29.2</v>
      </c>
      <c r="AE111" s="42">
        <v>37.89</v>
      </c>
      <c r="AF111" s="42">
        <v>37.840000000000003</v>
      </c>
      <c r="AG111" s="42">
        <v>37.1</v>
      </c>
      <c r="AI111" s="37">
        <v>59.42</v>
      </c>
      <c r="AJ111" s="37">
        <v>59.5</v>
      </c>
      <c r="AK111" s="37">
        <v>59.53</v>
      </c>
      <c r="AX111" s="10" t="s">
        <v>65</v>
      </c>
      <c r="AY111" s="9">
        <v>8</v>
      </c>
      <c r="AZ111">
        <v>8</v>
      </c>
      <c r="BA111">
        <v>0</v>
      </c>
      <c r="BD111" s="35">
        <v>47.87</v>
      </c>
      <c r="BE111" s="35">
        <v>47.48</v>
      </c>
      <c r="BF111" s="35">
        <v>47.42</v>
      </c>
      <c r="BH111" s="35">
        <v>33.64</v>
      </c>
      <c r="BI111" s="35">
        <v>33.74</v>
      </c>
      <c r="BJ111" s="35">
        <v>33.93</v>
      </c>
      <c r="BL111" s="35">
        <v>61.24</v>
      </c>
      <c r="BM111" s="35">
        <v>61.63</v>
      </c>
      <c r="BN111" s="35">
        <v>61.56</v>
      </c>
      <c r="BP111" t="s">
        <v>51</v>
      </c>
      <c r="BQ111" t="s">
        <v>51</v>
      </c>
      <c r="BR111" t="s">
        <v>52</v>
      </c>
      <c r="BS111" t="s">
        <v>52</v>
      </c>
    </row>
    <row r="112" spans="1:78" x14ac:dyDescent="0.25">
      <c r="A112" s="97" t="s">
        <v>302</v>
      </c>
      <c r="B112" s="97" t="s">
        <v>1434</v>
      </c>
      <c r="C112" t="s">
        <v>207</v>
      </c>
      <c r="D112" t="s">
        <v>208</v>
      </c>
      <c r="E112">
        <v>1610</v>
      </c>
      <c r="F112" s="5" t="s">
        <v>202</v>
      </c>
      <c r="G112" s="100">
        <v>43662</v>
      </c>
      <c r="H112" t="s">
        <v>1613</v>
      </c>
      <c r="J112" s="147">
        <v>1</v>
      </c>
      <c r="K112" s="10" t="s">
        <v>64</v>
      </c>
      <c r="L112">
        <v>376</v>
      </c>
      <c r="M112">
        <v>93</v>
      </c>
      <c r="N112" s="9">
        <f t="shared" si="32"/>
        <v>283</v>
      </c>
      <c r="O112" s="35">
        <v>161</v>
      </c>
      <c r="P112" s="35">
        <v>160</v>
      </c>
      <c r="Q112" s="35">
        <v>160</v>
      </c>
      <c r="S112" s="35">
        <v>235</v>
      </c>
      <c r="T112" s="35">
        <v>236</v>
      </c>
      <c r="U112" s="35">
        <v>236</v>
      </c>
      <c r="W112" s="36">
        <v>11.09</v>
      </c>
      <c r="X112" s="35">
        <v>11.14</v>
      </c>
      <c r="Y112" s="35">
        <v>11.23</v>
      </c>
      <c r="AA112" s="37">
        <v>30.33</v>
      </c>
      <c r="AB112" s="37">
        <v>30.32</v>
      </c>
      <c r="AC112" s="37">
        <v>30.23</v>
      </c>
      <c r="AE112" s="42">
        <v>39.5</v>
      </c>
      <c r="AF112" s="42">
        <v>39.71</v>
      </c>
      <c r="AG112" s="42">
        <v>39.54</v>
      </c>
      <c r="AI112" s="37">
        <v>62.82</v>
      </c>
      <c r="AJ112" s="37">
        <v>62.74</v>
      </c>
      <c r="AK112" s="37">
        <v>62.59</v>
      </c>
      <c r="AX112" s="10" t="s">
        <v>65</v>
      </c>
      <c r="AY112" s="9">
        <v>8</v>
      </c>
      <c r="AZ112">
        <v>7</v>
      </c>
      <c r="BD112" s="35">
        <v>48.23</v>
      </c>
      <c r="BE112" s="35">
        <v>48.34</v>
      </c>
      <c r="BF112" s="35">
        <v>48.19</v>
      </c>
      <c r="BH112" s="35">
        <v>32.880000000000003</v>
      </c>
      <c r="BI112" s="35">
        <v>32.72</v>
      </c>
      <c r="BJ112" s="35">
        <v>32.81</v>
      </c>
      <c r="BL112" s="35">
        <v>62.25</v>
      </c>
      <c r="BM112" s="35">
        <v>62.57</v>
      </c>
      <c r="BN112" s="35">
        <v>62.25</v>
      </c>
      <c r="BP112" t="s">
        <v>52</v>
      </c>
      <c r="BQ112" t="s">
        <v>51</v>
      </c>
      <c r="BR112" t="s">
        <v>52</v>
      </c>
      <c r="BS112" t="s">
        <v>51</v>
      </c>
    </row>
    <row r="113" spans="1:78" x14ac:dyDescent="0.25">
      <c r="A113" s="97" t="s">
        <v>302</v>
      </c>
      <c r="B113" t="s">
        <v>1625</v>
      </c>
      <c r="C113" t="s">
        <v>49</v>
      </c>
      <c r="D113" t="s">
        <v>208</v>
      </c>
      <c r="E113">
        <v>1797</v>
      </c>
      <c r="F113" s="5" t="s">
        <v>1628</v>
      </c>
      <c r="G113" s="100">
        <v>43662</v>
      </c>
      <c r="H113" t="s">
        <v>1614</v>
      </c>
      <c r="J113" s="147">
        <v>1</v>
      </c>
      <c r="K113" s="10" t="s">
        <v>64</v>
      </c>
      <c r="L113">
        <v>299</v>
      </c>
      <c r="M113">
        <v>92</v>
      </c>
      <c r="N113" s="9">
        <f t="shared" si="32"/>
        <v>207</v>
      </c>
      <c r="O113">
        <v>150</v>
      </c>
      <c r="P113">
        <v>150</v>
      </c>
      <c r="Q113">
        <v>150</v>
      </c>
      <c r="S113">
        <v>195</v>
      </c>
      <c r="T113">
        <v>195</v>
      </c>
      <c r="U113">
        <v>195</v>
      </c>
      <c r="W113" s="36">
        <v>9.11</v>
      </c>
      <c r="X113">
        <v>9.1300000000000008</v>
      </c>
      <c r="Y113">
        <v>9.1199999999999992</v>
      </c>
      <c r="AA113" s="37">
        <v>29.92</v>
      </c>
      <c r="AB113" s="37">
        <v>29.74</v>
      </c>
      <c r="AC113" s="37">
        <v>29.75</v>
      </c>
      <c r="AE113" s="42">
        <v>38.89</v>
      </c>
      <c r="AF113" s="42">
        <v>38.83</v>
      </c>
      <c r="AG113" s="42">
        <v>38.71</v>
      </c>
      <c r="AI113" s="37">
        <v>55.07</v>
      </c>
      <c r="AJ113" s="37">
        <v>55.01</v>
      </c>
      <c r="AK113" s="37">
        <v>54.98</v>
      </c>
      <c r="AX113" s="10" t="s">
        <v>70</v>
      </c>
      <c r="AY113" s="9">
        <v>8</v>
      </c>
      <c r="AZ113">
        <v>0</v>
      </c>
      <c r="BA113">
        <v>0</v>
      </c>
      <c r="BD113" s="35">
        <v>43.6</v>
      </c>
      <c r="BE113" s="35">
        <v>43.68</v>
      </c>
      <c r="BF113" s="35">
        <v>43.78</v>
      </c>
      <c r="BH113" s="35">
        <v>31.81</v>
      </c>
      <c r="BI113" s="35">
        <v>31.53</v>
      </c>
      <c r="BJ113" s="35">
        <v>31.02</v>
      </c>
      <c r="BL113" s="35">
        <v>57.95</v>
      </c>
      <c r="BM113" s="35">
        <v>57.33</v>
      </c>
      <c r="BN113" s="35">
        <v>57.79</v>
      </c>
      <c r="BP113" t="s">
        <v>51</v>
      </c>
      <c r="BQ113" t="s">
        <v>51</v>
      </c>
      <c r="BR113" t="s">
        <v>52</v>
      </c>
      <c r="BS113" t="s">
        <v>51</v>
      </c>
      <c r="BZ113" t="s">
        <v>1627</v>
      </c>
    </row>
    <row r="114" spans="1:78" x14ac:dyDescent="0.25">
      <c r="A114" s="97" t="s">
        <v>302</v>
      </c>
      <c r="B114" t="s">
        <v>1306</v>
      </c>
      <c r="C114" t="s">
        <v>207</v>
      </c>
      <c r="D114" t="s">
        <v>208</v>
      </c>
      <c r="E114">
        <v>1609</v>
      </c>
      <c r="F114" s="5" t="s">
        <v>202</v>
      </c>
      <c r="G114" s="100">
        <v>43662</v>
      </c>
      <c r="H114" t="s">
        <v>1615</v>
      </c>
      <c r="J114" s="147">
        <v>3</v>
      </c>
      <c r="K114" s="10" t="s">
        <v>64</v>
      </c>
      <c r="L114">
        <v>356</v>
      </c>
      <c r="M114">
        <v>94</v>
      </c>
      <c r="N114" s="9">
        <f t="shared" si="32"/>
        <v>262</v>
      </c>
      <c r="O114">
        <v>157</v>
      </c>
      <c r="P114">
        <v>157</v>
      </c>
      <c r="Q114">
        <v>156</v>
      </c>
      <c r="S114">
        <v>238</v>
      </c>
      <c r="T114">
        <v>238</v>
      </c>
      <c r="U114">
        <v>238</v>
      </c>
      <c r="W114" s="36">
        <v>12.64</v>
      </c>
      <c r="X114">
        <v>12.77</v>
      </c>
      <c r="Y114">
        <v>12.57</v>
      </c>
      <c r="AA114" s="37">
        <v>28.62</v>
      </c>
      <c r="AB114" s="37">
        <v>28.62</v>
      </c>
      <c r="AC114" s="37">
        <v>28.64</v>
      </c>
      <c r="AE114" s="42">
        <v>37.72</v>
      </c>
      <c r="AF114" s="42">
        <v>37.630000000000003</v>
      </c>
      <c r="AG114" s="42">
        <v>37.619999999999997</v>
      </c>
      <c r="AI114" s="37">
        <v>58.87</v>
      </c>
      <c r="AJ114" s="37">
        <v>58.57</v>
      </c>
      <c r="AK114" s="37">
        <v>58.5</v>
      </c>
      <c r="AX114" s="10" t="s">
        <v>65</v>
      </c>
      <c r="AY114" s="9">
        <v>8</v>
      </c>
      <c r="AZ114">
        <v>8</v>
      </c>
      <c r="BA114">
        <v>0</v>
      </c>
      <c r="BD114" s="35">
        <v>44.66</v>
      </c>
      <c r="BE114" s="35">
        <v>44.38</v>
      </c>
      <c r="BF114" s="35">
        <v>44.95</v>
      </c>
      <c r="BH114" s="35">
        <v>33.200000000000003</v>
      </c>
      <c r="BI114" s="35">
        <v>33.659999999999997</v>
      </c>
      <c r="BJ114" s="35">
        <v>33.29</v>
      </c>
      <c r="BL114" s="35">
        <v>63.72</v>
      </c>
      <c r="BM114" s="35">
        <v>63.54</v>
      </c>
      <c r="BN114" s="35">
        <v>63.58</v>
      </c>
      <c r="BP114" t="s">
        <v>52</v>
      </c>
      <c r="BQ114" t="s">
        <v>51</v>
      </c>
      <c r="BR114" t="s">
        <v>52</v>
      </c>
      <c r="BS114" t="s">
        <v>51</v>
      </c>
    </row>
    <row r="115" spans="1:78" x14ac:dyDescent="0.25">
      <c r="A115" s="97" t="s">
        <v>302</v>
      </c>
      <c r="B115" s="97" t="s">
        <v>1635</v>
      </c>
      <c r="C115" t="s">
        <v>49</v>
      </c>
      <c r="D115" t="s">
        <v>208</v>
      </c>
      <c r="E115">
        <v>1794</v>
      </c>
      <c r="F115" s="5" t="s">
        <v>202</v>
      </c>
      <c r="G115" s="100">
        <v>43662</v>
      </c>
      <c r="H115" t="s">
        <v>1616</v>
      </c>
      <c r="J115" s="147">
        <v>1</v>
      </c>
      <c r="K115" s="10" t="s">
        <v>50</v>
      </c>
      <c r="L115">
        <v>380</v>
      </c>
      <c r="M115">
        <v>91</v>
      </c>
      <c r="N115" s="9">
        <f t="shared" si="32"/>
        <v>289</v>
      </c>
      <c r="O115">
        <v>171</v>
      </c>
      <c r="P115">
        <v>171</v>
      </c>
      <c r="Q115">
        <v>171</v>
      </c>
      <c r="S115">
        <v>227</v>
      </c>
      <c r="T115">
        <v>226</v>
      </c>
      <c r="U115">
        <v>226</v>
      </c>
      <c r="W115" s="36">
        <v>10.66</v>
      </c>
      <c r="X115">
        <v>10.93</v>
      </c>
      <c r="Y115">
        <v>10.67</v>
      </c>
      <c r="AA115" s="37">
        <v>32.22</v>
      </c>
      <c r="AB115" s="37">
        <v>32</v>
      </c>
      <c r="AC115" s="37">
        <v>32.19</v>
      </c>
      <c r="AE115" s="42">
        <v>41.09</v>
      </c>
      <c r="AF115" s="42">
        <v>40.99</v>
      </c>
      <c r="AG115" s="42">
        <v>41</v>
      </c>
      <c r="AI115" s="37">
        <v>64.02</v>
      </c>
      <c r="AJ115" s="37">
        <v>64.17</v>
      </c>
      <c r="AK115" s="37">
        <v>64.2</v>
      </c>
      <c r="AM115" s="37">
        <v>17.36</v>
      </c>
      <c r="AN115" s="37">
        <v>17.8</v>
      </c>
      <c r="AO115" s="37">
        <v>17.14</v>
      </c>
      <c r="AQ115" s="37">
        <v>24.49</v>
      </c>
      <c r="AR115" s="37">
        <v>24.69</v>
      </c>
      <c r="AS115" s="37">
        <v>24.61</v>
      </c>
      <c r="AU115" s="10" t="s">
        <v>296</v>
      </c>
      <c r="AW115" s="9">
        <v>0</v>
      </c>
      <c r="BD115" s="35">
        <v>50.89</v>
      </c>
      <c r="BE115" s="35">
        <v>50.78</v>
      </c>
      <c r="BF115" s="35">
        <v>50.82</v>
      </c>
      <c r="BH115" s="35">
        <v>34.17</v>
      </c>
      <c r="BI115" s="35">
        <v>34.58</v>
      </c>
      <c r="BJ115" s="35">
        <v>34.4</v>
      </c>
      <c r="BL115" s="35">
        <v>61.24</v>
      </c>
      <c r="BM115" s="35">
        <v>61.22</v>
      </c>
      <c r="BN115" s="35">
        <v>61.24</v>
      </c>
      <c r="BP115" t="s">
        <v>51</v>
      </c>
      <c r="BQ115" t="s">
        <v>51</v>
      </c>
      <c r="BR115" t="s">
        <v>52</v>
      </c>
      <c r="BS115" t="s">
        <v>51</v>
      </c>
    </row>
    <row r="116" spans="1:78" x14ac:dyDescent="0.25">
      <c r="A116" s="97" t="s">
        <v>302</v>
      </c>
      <c r="B116" t="s">
        <v>1633</v>
      </c>
      <c r="C116" t="s">
        <v>49</v>
      </c>
      <c r="D116" t="s">
        <v>208</v>
      </c>
      <c r="E116">
        <v>1799</v>
      </c>
      <c r="F116" s="5" t="s">
        <v>202</v>
      </c>
      <c r="G116" s="100">
        <v>43662</v>
      </c>
      <c r="H116" t="s">
        <v>1617</v>
      </c>
      <c r="J116" s="147">
        <v>1</v>
      </c>
      <c r="K116" s="10" t="s">
        <v>64</v>
      </c>
      <c r="L116">
        <v>355</v>
      </c>
      <c r="M116">
        <v>95</v>
      </c>
      <c r="N116" s="9">
        <f t="shared" si="32"/>
        <v>260</v>
      </c>
      <c r="O116">
        <v>160</v>
      </c>
      <c r="P116">
        <v>160</v>
      </c>
      <c r="Q116">
        <v>160</v>
      </c>
      <c r="S116">
        <v>221</v>
      </c>
      <c r="T116">
        <v>221</v>
      </c>
      <c r="U116">
        <v>221</v>
      </c>
      <c r="W116" s="36">
        <v>11.04</v>
      </c>
      <c r="X116">
        <v>11.09</v>
      </c>
      <c r="Y116">
        <v>11.08</v>
      </c>
      <c r="AA116" s="37">
        <v>30.37</v>
      </c>
      <c r="AB116" s="37">
        <v>30.42</v>
      </c>
      <c r="AC116" s="37">
        <v>30.35</v>
      </c>
      <c r="AE116" s="42">
        <v>39.619999999999997</v>
      </c>
      <c r="AF116" s="42">
        <v>39.450000000000003</v>
      </c>
      <c r="AG116" s="42">
        <v>39.61</v>
      </c>
      <c r="AI116" s="37">
        <v>59.4</v>
      </c>
      <c r="AJ116" s="37">
        <v>59.6</v>
      </c>
      <c r="AK116" s="37">
        <v>59.62</v>
      </c>
      <c r="AX116" s="10" t="s">
        <v>70</v>
      </c>
      <c r="AY116" s="9">
        <v>8</v>
      </c>
      <c r="AZ116">
        <v>0</v>
      </c>
      <c r="BA116">
        <v>0</v>
      </c>
      <c r="BD116" s="35">
        <v>46.99</v>
      </c>
      <c r="BE116" s="35">
        <v>46.91</v>
      </c>
      <c r="BF116" s="35">
        <v>46.94</v>
      </c>
      <c r="BH116" s="35">
        <v>32.78</v>
      </c>
      <c r="BI116" s="35">
        <v>32.33</v>
      </c>
      <c r="BJ116" s="35">
        <v>32.479999999999997</v>
      </c>
      <c r="BL116" s="35">
        <v>61.27</v>
      </c>
      <c r="BM116" s="35">
        <v>61.22</v>
      </c>
      <c r="BN116" s="35">
        <v>61.24</v>
      </c>
      <c r="BP116" t="s">
        <v>51</v>
      </c>
      <c r="BQ116" t="s">
        <v>51</v>
      </c>
      <c r="BR116" t="s">
        <v>52</v>
      </c>
      <c r="BS116" t="s">
        <v>52</v>
      </c>
      <c r="BZ116" t="s">
        <v>1632</v>
      </c>
    </row>
    <row r="117" spans="1:78" x14ac:dyDescent="0.25">
      <c r="A117" s="97" t="s">
        <v>302</v>
      </c>
      <c r="B117" s="260" t="s">
        <v>1446</v>
      </c>
      <c r="C117" t="s">
        <v>207</v>
      </c>
      <c r="D117" t="s">
        <v>208</v>
      </c>
      <c r="E117">
        <v>1614</v>
      </c>
      <c r="F117" s="5" t="s">
        <v>202</v>
      </c>
      <c r="G117" s="100">
        <v>43662</v>
      </c>
      <c r="H117" t="s">
        <v>1431</v>
      </c>
      <c r="J117" s="147">
        <v>2</v>
      </c>
      <c r="K117" s="10" t="s">
        <v>64</v>
      </c>
      <c r="L117">
        <v>339</v>
      </c>
      <c r="M117">
        <v>92</v>
      </c>
      <c r="N117" s="9">
        <f t="shared" si="32"/>
        <v>247</v>
      </c>
      <c r="O117">
        <v>165</v>
      </c>
      <c r="P117">
        <v>165</v>
      </c>
      <c r="Q117">
        <v>166</v>
      </c>
      <c r="S117">
        <v>215</v>
      </c>
      <c r="T117">
        <v>215</v>
      </c>
      <c r="U117">
        <v>215</v>
      </c>
      <c r="W117" s="36">
        <v>11.7</v>
      </c>
      <c r="X117">
        <v>11.45</v>
      </c>
      <c r="Y117">
        <v>11.38</v>
      </c>
      <c r="AA117" s="37">
        <v>29.6</v>
      </c>
      <c r="AB117" s="37">
        <v>29.67</v>
      </c>
      <c r="AC117" s="37">
        <v>29.42</v>
      </c>
      <c r="AE117" s="42">
        <v>38.56</v>
      </c>
      <c r="AF117" s="42">
        <v>38.81</v>
      </c>
      <c r="AG117" s="42">
        <v>38.72</v>
      </c>
      <c r="AI117" s="37">
        <v>58.15</v>
      </c>
      <c r="AJ117" s="37">
        <v>58</v>
      </c>
      <c r="AK117" s="37">
        <v>58.01</v>
      </c>
      <c r="AX117" s="10" t="s">
        <v>65</v>
      </c>
      <c r="AY117" s="9">
        <v>8</v>
      </c>
      <c r="AZ117">
        <v>4</v>
      </c>
      <c r="BA117">
        <v>0</v>
      </c>
      <c r="BD117" s="35">
        <v>47.65</v>
      </c>
      <c r="BE117" s="35">
        <v>47.85</v>
      </c>
      <c r="BF117" s="35">
        <v>47.85</v>
      </c>
      <c r="BH117" s="35">
        <v>35.29</v>
      </c>
      <c r="BI117" s="35">
        <v>35.590000000000003</v>
      </c>
      <c r="BJ117" s="35">
        <v>35.42</v>
      </c>
      <c r="BL117" s="35">
        <v>60.67</v>
      </c>
      <c r="BM117" s="35">
        <v>60.59</v>
      </c>
      <c r="BN117" s="35">
        <v>60.25</v>
      </c>
      <c r="BP117" t="s">
        <v>52</v>
      </c>
      <c r="BQ117" t="s">
        <v>51</v>
      </c>
      <c r="BR117" t="s">
        <v>52</v>
      </c>
      <c r="BS117" t="s">
        <v>51</v>
      </c>
      <c r="BZ117" t="s">
        <v>1626</v>
      </c>
    </row>
    <row r="118" spans="1:78" x14ac:dyDescent="0.25">
      <c r="A118" s="97" t="s">
        <v>302</v>
      </c>
      <c r="B118" s="260" t="s">
        <v>1430</v>
      </c>
      <c r="C118" t="s">
        <v>207</v>
      </c>
      <c r="D118" t="s">
        <v>208</v>
      </c>
      <c r="E118">
        <v>1608</v>
      </c>
      <c r="F118" s="5" t="s">
        <v>202</v>
      </c>
      <c r="G118" s="100">
        <v>43662</v>
      </c>
      <c r="H118" t="s">
        <v>1618</v>
      </c>
      <c r="J118" s="147">
        <v>3</v>
      </c>
      <c r="K118" s="10" t="s">
        <v>64</v>
      </c>
      <c r="L118">
        <v>357</v>
      </c>
      <c r="M118">
        <v>91</v>
      </c>
      <c r="N118" s="9">
        <f t="shared" si="32"/>
        <v>266</v>
      </c>
      <c r="O118">
        <v>161</v>
      </c>
      <c r="P118">
        <v>162</v>
      </c>
      <c r="Q118">
        <v>161</v>
      </c>
      <c r="S118">
        <v>230</v>
      </c>
      <c r="T118">
        <v>230</v>
      </c>
      <c r="U118">
        <v>231</v>
      </c>
      <c r="W118" s="36">
        <v>11.5</v>
      </c>
      <c r="X118">
        <v>11.66</v>
      </c>
      <c r="Y118">
        <v>11.53</v>
      </c>
      <c r="AA118" s="37">
        <v>30.42</v>
      </c>
      <c r="AB118" s="37">
        <v>30.16</v>
      </c>
      <c r="AC118" s="37">
        <v>30.56</v>
      </c>
      <c r="AE118" s="42">
        <v>39.270000000000003</v>
      </c>
      <c r="AF118" s="42">
        <v>39.5</v>
      </c>
      <c r="AG118" s="42">
        <v>39.590000000000003</v>
      </c>
      <c r="AI118" s="37">
        <v>59.5</v>
      </c>
      <c r="AJ118" s="37">
        <v>59.61</v>
      </c>
      <c r="AK118" s="37">
        <v>59.34</v>
      </c>
      <c r="AX118" s="10" t="s">
        <v>65</v>
      </c>
      <c r="AY118" s="9">
        <v>8</v>
      </c>
      <c r="AZ118">
        <v>8</v>
      </c>
      <c r="BA118">
        <v>0</v>
      </c>
      <c r="BD118" s="35">
        <v>46.46</v>
      </c>
      <c r="BE118" s="35">
        <v>46.62</v>
      </c>
      <c r="BF118" s="35">
        <v>46.61</v>
      </c>
      <c r="BH118" s="35">
        <v>35.630000000000003</v>
      </c>
      <c r="BI118" s="35">
        <v>35.46</v>
      </c>
      <c r="BJ118" s="35">
        <v>35.53</v>
      </c>
      <c r="BL118" s="35">
        <v>64.099999999999994</v>
      </c>
      <c r="BM118" s="35">
        <v>64.62</v>
      </c>
      <c r="BN118" s="35">
        <v>64.58</v>
      </c>
      <c r="BP118" t="s">
        <v>52</v>
      </c>
      <c r="BQ118" t="s">
        <v>51</v>
      </c>
      <c r="BR118" t="s">
        <v>52</v>
      </c>
      <c r="BS118" t="s">
        <v>51</v>
      </c>
      <c r="BZ118" t="s">
        <v>1623</v>
      </c>
    </row>
    <row r="119" spans="1:78" x14ac:dyDescent="0.25">
      <c r="A119" s="97" t="s">
        <v>302</v>
      </c>
      <c r="B119" t="s">
        <v>1624</v>
      </c>
      <c r="C119" t="s">
        <v>49</v>
      </c>
      <c r="D119" t="s">
        <v>208</v>
      </c>
      <c r="E119">
        <v>1750</v>
      </c>
      <c r="F119" s="5" t="s">
        <v>202</v>
      </c>
      <c r="G119" s="100">
        <v>43662</v>
      </c>
      <c r="H119" t="s">
        <v>1619</v>
      </c>
      <c r="J119" s="147">
        <v>1</v>
      </c>
      <c r="K119" s="10" t="s">
        <v>64</v>
      </c>
      <c r="L119">
        <v>338</v>
      </c>
      <c r="M119">
        <v>93</v>
      </c>
      <c r="N119" s="9">
        <f t="shared" si="32"/>
        <v>245</v>
      </c>
      <c r="O119">
        <v>155</v>
      </c>
      <c r="P119">
        <v>155</v>
      </c>
      <c r="Q119">
        <v>156</v>
      </c>
      <c r="S119">
        <v>231</v>
      </c>
      <c r="T119">
        <v>231</v>
      </c>
      <c r="U119">
        <v>232</v>
      </c>
      <c r="W119" s="36">
        <v>11.82</v>
      </c>
      <c r="X119">
        <v>11.54</v>
      </c>
      <c r="Y119">
        <v>11.78</v>
      </c>
      <c r="AA119" s="37">
        <v>30.63</v>
      </c>
      <c r="AB119" s="37">
        <v>30.09</v>
      </c>
      <c r="AC119" s="37">
        <v>30.6</v>
      </c>
      <c r="AE119" s="42">
        <v>39.409999999999997</v>
      </c>
      <c r="AF119" s="42">
        <v>39.479999999999997</v>
      </c>
      <c r="AG119" s="42">
        <v>39.549999999999997</v>
      </c>
      <c r="AI119">
        <v>59.34</v>
      </c>
      <c r="AJ119">
        <v>59.27</v>
      </c>
      <c r="AK119">
        <v>59.04</v>
      </c>
      <c r="AX119" s="10" t="s">
        <v>70</v>
      </c>
      <c r="AY119" s="9">
        <v>8</v>
      </c>
      <c r="AZ119">
        <v>0</v>
      </c>
      <c r="BA119">
        <v>0</v>
      </c>
      <c r="BD119" s="35">
        <v>45.56</v>
      </c>
      <c r="BE119" s="35">
        <v>45.76</v>
      </c>
      <c r="BF119" s="35">
        <v>45.31</v>
      </c>
      <c r="BH119" s="35">
        <v>32.08</v>
      </c>
      <c r="BI119" s="35">
        <v>32.28</v>
      </c>
      <c r="BJ119" s="35">
        <v>32.450000000000003</v>
      </c>
      <c r="BL119" s="35">
        <v>63.86</v>
      </c>
      <c r="BM119" s="35">
        <v>63.63</v>
      </c>
      <c r="BN119" s="35">
        <v>63.61</v>
      </c>
      <c r="BP119" t="s">
        <v>51</v>
      </c>
      <c r="BQ119" t="s">
        <v>51</v>
      </c>
      <c r="BR119" t="s">
        <v>52</v>
      </c>
      <c r="BS119" t="s">
        <v>51</v>
      </c>
      <c r="BZ119" t="s">
        <v>1627</v>
      </c>
    </row>
    <row r="120" spans="1:78" x14ac:dyDescent="0.25">
      <c r="A120" s="97" t="s">
        <v>302</v>
      </c>
      <c r="B120" t="s">
        <v>1634</v>
      </c>
      <c r="C120" t="s">
        <v>49</v>
      </c>
      <c r="D120" t="s">
        <v>208</v>
      </c>
      <c r="E120">
        <v>1795</v>
      </c>
      <c r="F120" s="5" t="s">
        <v>202</v>
      </c>
      <c r="G120" s="100">
        <v>43662</v>
      </c>
      <c r="H120" t="s">
        <v>1620</v>
      </c>
      <c r="J120" s="147">
        <v>1</v>
      </c>
      <c r="K120" s="10" t="s">
        <v>64</v>
      </c>
      <c r="L120">
        <v>285</v>
      </c>
      <c r="M120">
        <v>90</v>
      </c>
      <c r="N120" s="9">
        <f t="shared" si="32"/>
        <v>195</v>
      </c>
      <c r="O120">
        <v>143</v>
      </c>
      <c r="P120">
        <v>144</v>
      </c>
      <c r="Q120">
        <v>143</v>
      </c>
      <c r="S120">
        <v>208</v>
      </c>
      <c r="T120">
        <v>207</v>
      </c>
      <c r="U120">
        <v>207</v>
      </c>
      <c r="W120" s="36">
        <v>10.19</v>
      </c>
      <c r="X120">
        <v>10.119999999999999</v>
      </c>
      <c r="Y120">
        <v>10.18</v>
      </c>
      <c r="AA120" s="37">
        <v>29.45</v>
      </c>
      <c r="AB120" s="37">
        <v>29.4</v>
      </c>
      <c r="AC120" s="37">
        <v>29.4</v>
      </c>
      <c r="AE120" s="42">
        <v>38.549999999999997</v>
      </c>
      <c r="AF120" s="42">
        <v>38.72</v>
      </c>
      <c r="AG120" s="42">
        <v>38.590000000000003</v>
      </c>
      <c r="AI120" s="37">
        <v>57.39</v>
      </c>
      <c r="AJ120" s="37">
        <v>57.13</v>
      </c>
      <c r="AK120" s="37">
        <v>57.11</v>
      </c>
      <c r="AX120" s="10" t="s">
        <v>70</v>
      </c>
      <c r="AY120" s="9">
        <v>8</v>
      </c>
      <c r="AZ120">
        <v>0</v>
      </c>
      <c r="BA120">
        <v>0</v>
      </c>
      <c r="BD120" s="35">
        <v>42.89</v>
      </c>
      <c r="BE120" s="35">
        <v>42.69</v>
      </c>
      <c r="BF120" s="35">
        <v>42.63</v>
      </c>
      <c r="BH120" s="35">
        <v>32.44</v>
      </c>
      <c r="BI120" s="35">
        <v>32.450000000000003</v>
      </c>
      <c r="BJ120" s="35">
        <v>32.28</v>
      </c>
      <c r="BL120" s="35">
        <v>59.52</v>
      </c>
      <c r="BM120" s="35">
        <v>59.55</v>
      </c>
      <c r="BN120" s="35">
        <v>59.48</v>
      </c>
      <c r="BP120" t="s">
        <v>51</v>
      </c>
      <c r="BQ120" t="s">
        <v>51</v>
      </c>
      <c r="BR120" t="s">
        <v>52</v>
      </c>
      <c r="BS120" t="s">
        <v>52</v>
      </c>
    </row>
    <row r="121" spans="1:78" x14ac:dyDescent="0.25">
      <c r="A121" s="97" t="s">
        <v>302</v>
      </c>
      <c r="B121" t="s">
        <v>1622</v>
      </c>
      <c r="C121" t="s">
        <v>49</v>
      </c>
      <c r="D121" t="s">
        <v>208</v>
      </c>
      <c r="E121">
        <v>1796</v>
      </c>
      <c r="F121" s="5" t="s">
        <v>202</v>
      </c>
      <c r="G121" s="100">
        <v>43662</v>
      </c>
      <c r="H121" t="s">
        <v>1612</v>
      </c>
      <c r="J121" s="147">
        <v>2</v>
      </c>
      <c r="K121" s="10" t="s">
        <v>64</v>
      </c>
      <c r="L121">
        <v>373</v>
      </c>
      <c r="M121">
        <v>91</v>
      </c>
      <c r="N121" s="9">
        <f t="shared" si="32"/>
        <v>282</v>
      </c>
      <c r="O121">
        <v>171</v>
      </c>
      <c r="P121">
        <v>170</v>
      </c>
      <c r="Q121">
        <v>171</v>
      </c>
      <c r="S121">
        <v>202</v>
      </c>
      <c r="T121">
        <v>201</v>
      </c>
      <c r="U121">
        <v>201</v>
      </c>
      <c r="W121" s="36">
        <v>11.3</v>
      </c>
      <c r="X121">
        <v>11.31</v>
      </c>
      <c r="Y121">
        <v>11.52</v>
      </c>
      <c r="AA121" s="37">
        <v>29.24</v>
      </c>
      <c r="AB121" s="37">
        <v>29.27</v>
      </c>
      <c r="AC121" s="37">
        <v>29.53</v>
      </c>
      <c r="AE121" s="42">
        <v>38.65</v>
      </c>
      <c r="AF121" s="42">
        <v>38.72</v>
      </c>
      <c r="AG121" s="42">
        <v>38.79</v>
      </c>
      <c r="AI121" s="37">
        <v>58.41</v>
      </c>
      <c r="AJ121" s="37">
        <v>58.62</v>
      </c>
      <c r="AK121" s="37">
        <v>58.56</v>
      </c>
      <c r="AX121" s="10" t="s">
        <v>65</v>
      </c>
      <c r="AY121" s="9">
        <v>8</v>
      </c>
      <c r="AZ121">
        <v>7</v>
      </c>
      <c r="BA121">
        <v>0</v>
      </c>
      <c r="BD121" s="37">
        <v>45.27</v>
      </c>
      <c r="BE121" s="37">
        <v>45.34</v>
      </c>
      <c r="BF121" s="37">
        <v>45.41</v>
      </c>
      <c r="BH121" s="37">
        <v>34.64</v>
      </c>
      <c r="BI121" s="37">
        <v>34.729999999999997</v>
      </c>
      <c r="BJ121" s="37">
        <v>34.78</v>
      </c>
      <c r="BL121" s="37">
        <v>63.4</v>
      </c>
      <c r="BM121" s="37">
        <v>63.19</v>
      </c>
      <c r="BN121" s="37">
        <v>63.79</v>
      </c>
      <c r="BP121" t="s">
        <v>51</v>
      </c>
      <c r="BQ121" t="s">
        <v>51</v>
      </c>
      <c r="BR121" t="s">
        <v>52</v>
      </c>
      <c r="BS121" t="s">
        <v>51</v>
      </c>
      <c r="BZ121" t="s">
        <v>1621</v>
      </c>
    </row>
    <row r="122" spans="1:78" x14ac:dyDescent="0.25">
      <c r="A122" s="97" t="s">
        <v>302</v>
      </c>
      <c r="B122" t="s">
        <v>1637</v>
      </c>
      <c r="C122" t="s">
        <v>49</v>
      </c>
      <c r="D122" t="s">
        <v>208</v>
      </c>
      <c r="E122">
        <v>1726</v>
      </c>
      <c r="F122" s="5" t="s">
        <v>202</v>
      </c>
      <c r="G122" s="100">
        <v>43663</v>
      </c>
      <c r="H122" t="s">
        <v>1636</v>
      </c>
      <c r="J122" s="147">
        <v>1</v>
      </c>
      <c r="K122" s="10" t="s">
        <v>64</v>
      </c>
      <c r="L122">
        <v>307</v>
      </c>
      <c r="M122">
        <v>93</v>
      </c>
      <c r="N122" s="9">
        <f t="shared" si="32"/>
        <v>214</v>
      </c>
      <c r="O122">
        <v>132</v>
      </c>
      <c r="P122">
        <v>131</v>
      </c>
      <c r="Q122">
        <v>131</v>
      </c>
      <c r="S122">
        <v>203</v>
      </c>
      <c r="T122">
        <v>202</v>
      </c>
      <c r="U122">
        <v>203</v>
      </c>
      <c r="W122" s="36">
        <v>11.74</v>
      </c>
      <c r="X122">
        <v>11.3</v>
      </c>
      <c r="Y122">
        <v>11.54</v>
      </c>
      <c r="AA122" s="37">
        <v>27.51</v>
      </c>
      <c r="AB122" s="37">
        <v>27.5</v>
      </c>
      <c r="AC122" s="37">
        <v>27.57</v>
      </c>
      <c r="AE122" s="42">
        <v>36.520000000000003</v>
      </c>
      <c r="AF122" s="42">
        <v>36.56</v>
      </c>
      <c r="AG122" s="42">
        <v>36.49</v>
      </c>
      <c r="AI122" s="37">
        <v>55.84</v>
      </c>
      <c r="AJ122" s="37">
        <v>55.81</v>
      </c>
      <c r="AK122" s="37">
        <v>55.57</v>
      </c>
      <c r="AX122" s="10" t="s">
        <v>70</v>
      </c>
      <c r="AY122" s="9">
        <v>8</v>
      </c>
      <c r="AZ122">
        <v>0</v>
      </c>
      <c r="BA122">
        <v>0</v>
      </c>
      <c r="BD122" s="35">
        <v>42.36</v>
      </c>
      <c r="BE122" s="35">
        <v>42.45</v>
      </c>
      <c r="BF122" s="35">
        <v>42.49</v>
      </c>
      <c r="BH122" s="35">
        <v>33.090000000000003</v>
      </c>
      <c r="BI122" s="35">
        <v>32.86</v>
      </c>
      <c r="BJ122" s="35">
        <v>33.090000000000003</v>
      </c>
      <c r="BL122" s="35">
        <v>56.55</v>
      </c>
      <c r="BM122" s="35">
        <v>56.26</v>
      </c>
      <c r="BN122" s="35">
        <v>56.37</v>
      </c>
      <c r="BP122" t="s">
        <v>51</v>
      </c>
      <c r="BQ122" t="s">
        <v>51</v>
      </c>
      <c r="BR122" t="s">
        <v>52</v>
      </c>
      <c r="BS122" t="s">
        <v>51</v>
      </c>
    </row>
    <row r="123" spans="1:78" x14ac:dyDescent="0.25">
      <c r="A123" s="97" t="s">
        <v>302</v>
      </c>
      <c r="B123" t="s">
        <v>1639</v>
      </c>
      <c r="C123" t="s">
        <v>49</v>
      </c>
      <c r="D123" t="s">
        <v>208</v>
      </c>
      <c r="E123">
        <v>1727</v>
      </c>
      <c r="F123" s="5" t="s">
        <v>202</v>
      </c>
      <c r="G123" s="100">
        <v>43663</v>
      </c>
      <c r="H123" t="s">
        <v>1638</v>
      </c>
      <c r="J123" s="147">
        <v>1</v>
      </c>
      <c r="K123" s="10" t="s">
        <v>64</v>
      </c>
      <c r="L123">
        <v>321</v>
      </c>
      <c r="M123">
        <v>96</v>
      </c>
      <c r="N123" s="9">
        <f t="shared" si="32"/>
        <v>225</v>
      </c>
      <c r="O123">
        <v>141</v>
      </c>
      <c r="P123">
        <v>141</v>
      </c>
      <c r="Q123">
        <v>141</v>
      </c>
      <c r="S123">
        <v>220</v>
      </c>
      <c r="T123">
        <v>220</v>
      </c>
      <c r="U123">
        <v>221</v>
      </c>
      <c r="W123" s="36">
        <v>12.03</v>
      </c>
      <c r="X123">
        <v>12.32</v>
      </c>
      <c r="Y123">
        <v>12.37</v>
      </c>
      <c r="AA123" s="37">
        <v>27.51</v>
      </c>
      <c r="AB123" s="37">
        <v>27.82</v>
      </c>
      <c r="AC123" s="37">
        <v>27.87</v>
      </c>
      <c r="AE123" s="42">
        <v>35.19</v>
      </c>
      <c r="AF123" s="42">
        <v>35.08</v>
      </c>
      <c r="AG123" s="42">
        <v>35.24</v>
      </c>
      <c r="AI123" s="37">
        <v>54.56</v>
      </c>
      <c r="AJ123" s="37">
        <v>54.68</v>
      </c>
      <c r="AK123" s="37">
        <v>54.72</v>
      </c>
      <c r="AX123" s="10" t="s">
        <v>70</v>
      </c>
      <c r="AY123" s="9">
        <v>8</v>
      </c>
      <c r="AZ123">
        <v>0</v>
      </c>
      <c r="BA123">
        <v>0</v>
      </c>
      <c r="BD123" s="35">
        <v>45.18</v>
      </c>
      <c r="BE123" s="35">
        <v>45.2</v>
      </c>
      <c r="BF123" s="35">
        <v>45.06</v>
      </c>
      <c r="BH123" s="35">
        <v>31.43</v>
      </c>
      <c r="BI123" s="35">
        <v>31.44</v>
      </c>
      <c r="BJ123" s="35">
        <v>31.58</v>
      </c>
      <c r="BL123" s="35">
        <v>60.08</v>
      </c>
      <c r="BM123" s="35">
        <v>59.82</v>
      </c>
      <c r="BN123" s="35">
        <v>59.82</v>
      </c>
      <c r="BP123" t="s">
        <v>51</v>
      </c>
      <c r="BQ123" t="s">
        <v>51</v>
      </c>
      <c r="BR123" t="s">
        <v>52</v>
      </c>
      <c r="BS123" t="s">
        <v>51</v>
      </c>
    </row>
    <row r="124" spans="1:78" x14ac:dyDescent="0.25">
      <c r="A124" s="97" t="s">
        <v>302</v>
      </c>
      <c r="B124" t="s">
        <v>1641</v>
      </c>
      <c r="C124" t="s">
        <v>49</v>
      </c>
      <c r="D124" t="s">
        <v>208</v>
      </c>
      <c r="E124">
        <v>1749</v>
      </c>
      <c r="F124" s="5" t="s">
        <v>202</v>
      </c>
      <c r="G124" s="100">
        <v>43663</v>
      </c>
      <c r="H124" t="s">
        <v>1640</v>
      </c>
      <c r="J124" s="147">
        <v>1</v>
      </c>
      <c r="K124" s="10" t="s">
        <v>50</v>
      </c>
      <c r="L124">
        <v>362</v>
      </c>
      <c r="M124">
        <v>92</v>
      </c>
      <c r="N124" s="9">
        <f t="shared" si="32"/>
        <v>270</v>
      </c>
      <c r="O124">
        <v>153</v>
      </c>
      <c r="P124">
        <v>152</v>
      </c>
      <c r="Q124">
        <v>153</v>
      </c>
      <c r="S124">
        <v>217</v>
      </c>
      <c r="T124">
        <v>218</v>
      </c>
      <c r="U124">
        <v>218</v>
      </c>
      <c r="W124" s="36">
        <v>11.52</v>
      </c>
      <c r="X124">
        <v>11.33</v>
      </c>
      <c r="Y124">
        <v>11.11</v>
      </c>
      <c r="AA124" s="37">
        <v>28.8</v>
      </c>
      <c r="AB124" s="37">
        <v>28.85</v>
      </c>
      <c r="AC124" s="37">
        <v>28.96</v>
      </c>
      <c r="AE124" s="42">
        <v>39.369999999999997</v>
      </c>
      <c r="AF124" s="42">
        <v>39.6</v>
      </c>
      <c r="AG124" s="42">
        <v>39.380000000000003</v>
      </c>
      <c r="AI124" s="37">
        <v>59.67</v>
      </c>
      <c r="AJ124" s="37">
        <v>59.62</v>
      </c>
      <c r="AK124" s="37">
        <v>59.46</v>
      </c>
      <c r="AM124" s="37">
        <v>17.36</v>
      </c>
      <c r="AN124" s="37">
        <v>17.989999999999998</v>
      </c>
      <c r="AO124" s="37">
        <v>17.420000000000002</v>
      </c>
      <c r="AQ124" s="37">
        <v>22.46</v>
      </c>
      <c r="AR124" s="37">
        <v>22.35</v>
      </c>
      <c r="AS124" s="37">
        <v>22.38</v>
      </c>
      <c r="AU124" s="10" t="s">
        <v>296</v>
      </c>
      <c r="AW124" s="9">
        <v>1</v>
      </c>
      <c r="BD124" s="35">
        <v>47.59</v>
      </c>
      <c r="BE124" s="35">
        <v>47.54</v>
      </c>
      <c r="BF124" s="35">
        <v>47.81</v>
      </c>
      <c r="BH124" s="35">
        <v>34.65</v>
      </c>
      <c r="BI124" s="35">
        <v>34.75</v>
      </c>
      <c r="BJ124" s="35">
        <v>34.44</v>
      </c>
      <c r="BL124" s="35">
        <v>64.319999999999993</v>
      </c>
      <c r="BM124" s="35">
        <v>64.48</v>
      </c>
      <c r="BN124" s="35">
        <v>64.569999999999993</v>
      </c>
      <c r="BP124" t="s">
        <v>51</v>
      </c>
      <c r="BQ124" t="s">
        <v>51</v>
      </c>
      <c r="BR124" t="s">
        <v>52</v>
      </c>
      <c r="BS124" t="s">
        <v>52</v>
      </c>
      <c r="BZ124" t="s">
        <v>1642</v>
      </c>
    </row>
    <row r="125" spans="1:78" x14ac:dyDescent="0.25">
      <c r="A125" s="97" t="s">
        <v>302</v>
      </c>
      <c r="B125" t="s">
        <v>1645</v>
      </c>
      <c r="C125" t="s">
        <v>49</v>
      </c>
      <c r="D125" t="s">
        <v>208</v>
      </c>
      <c r="E125">
        <v>1728</v>
      </c>
      <c r="F125" s="5" t="s">
        <v>202</v>
      </c>
      <c r="G125" s="100">
        <v>43663</v>
      </c>
      <c r="H125" t="s">
        <v>1617</v>
      </c>
      <c r="J125" s="147">
        <v>1</v>
      </c>
      <c r="K125" s="10" t="s">
        <v>50</v>
      </c>
      <c r="L125">
        <v>389</v>
      </c>
      <c r="M125">
        <v>90</v>
      </c>
      <c r="N125" s="9">
        <f t="shared" si="32"/>
        <v>299</v>
      </c>
      <c r="O125">
        <v>176</v>
      </c>
      <c r="P125">
        <v>175</v>
      </c>
      <c r="Q125">
        <v>175</v>
      </c>
      <c r="S125">
        <v>245</v>
      </c>
      <c r="T125">
        <v>245</v>
      </c>
      <c r="U125">
        <v>246</v>
      </c>
      <c r="W125" s="36">
        <v>12.75</v>
      </c>
      <c r="X125">
        <v>12.66</v>
      </c>
      <c r="Y125">
        <v>12.7</v>
      </c>
      <c r="AA125" s="37">
        <v>31.53</v>
      </c>
      <c r="AB125" s="37">
        <v>31.61</v>
      </c>
      <c r="AC125" s="37">
        <v>31.58</v>
      </c>
      <c r="AE125" s="42">
        <v>42.33</v>
      </c>
      <c r="AF125" s="42">
        <v>42.12</v>
      </c>
      <c r="AG125" s="42">
        <v>42.02</v>
      </c>
      <c r="AI125" s="37">
        <v>63.18</v>
      </c>
      <c r="AJ125" s="37">
        <v>63.44</v>
      </c>
      <c r="AK125" s="37">
        <v>63.15</v>
      </c>
      <c r="AM125" s="37">
        <v>16.579999999999998</v>
      </c>
      <c r="AN125" s="37">
        <v>16.2</v>
      </c>
      <c r="AO125" s="37">
        <v>16.32</v>
      </c>
      <c r="AQ125" s="37">
        <v>22.35</v>
      </c>
      <c r="AR125" s="37">
        <v>22.98</v>
      </c>
      <c r="AS125" s="37">
        <v>22.19</v>
      </c>
      <c r="AU125" s="10" t="s">
        <v>296</v>
      </c>
      <c r="AW125" s="9">
        <v>0</v>
      </c>
      <c r="BD125" s="35">
        <v>52.46</v>
      </c>
      <c r="BE125" s="35">
        <v>52.15</v>
      </c>
      <c r="BF125" s="35">
        <v>52.6</v>
      </c>
      <c r="BH125" s="35">
        <v>34.33</v>
      </c>
      <c r="BI125" s="35">
        <v>34.54</v>
      </c>
      <c r="BJ125" s="35">
        <v>34.590000000000003</v>
      </c>
      <c r="BL125" s="35">
        <v>59.76</v>
      </c>
      <c r="BM125" s="35">
        <v>59.87</v>
      </c>
      <c r="BN125" s="35">
        <v>59.89</v>
      </c>
      <c r="BP125" t="s">
        <v>51</v>
      </c>
      <c r="BQ125" t="s">
        <v>51</v>
      </c>
      <c r="BR125" t="s">
        <v>52</v>
      </c>
      <c r="BS125" t="s">
        <v>52</v>
      </c>
    </row>
    <row r="126" spans="1:78" x14ac:dyDescent="0.25">
      <c r="A126" s="97" t="s">
        <v>302</v>
      </c>
      <c r="B126" t="s">
        <v>1644</v>
      </c>
      <c r="C126" t="s">
        <v>49</v>
      </c>
      <c r="D126" t="s">
        <v>208</v>
      </c>
      <c r="E126">
        <v>1748</v>
      </c>
      <c r="F126" s="5" t="s">
        <v>202</v>
      </c>
      <c r="G126" s="100">
        <v>43663</v>
      </c>
      <c r="H126" t="s">
        <v>1643</v>
      </c>
      <c r="J126" s="147">
        <v>1</v>
      </c>
      <c r="K126" s="10" t="s">
        <v>50</v>
      </c>
      <c r="L126">
        <v>639</v>
      </c>
      <c r="M126">
        <v>97</v>
      </c>
      <c r="N126" s="9">
        <f t="shared" ref="N126" si="33">L126-M126</f>
        <v>542</v>
      </c>
      <c r="O126">
        <v>196</v>
      </c>
      <c r="P126">
        <v>196</v>
      </c>
      <c r="Q126">
        <v>197</v>
      </c>
      <c r="S126">
        <v>260</v>
      </c>
      <c r="T126">
        <v>261</v>
      </c>
      <c r="U126">
        <v>261</v>
      </c>
      <c r="W126" s="36">
        <v>14.35</v>
      </c>
      <c r="X126">
        <v>14.33</v>
      </c>
      <c r="Y126">
        <v>14.11</v>
      </c>
      <c r="AA126" s="37">
        <v>34.35</v>
      </c>
      <c r="AB126" s="37">
        <v>34.08</v>
      </c>
      <c r="AC126" s="37">
        <v>34.450000000000003</v>
      </c>
      <c r="AE126" s="42">
        <v>45.53</v>
      </c>
      <c r="AF126" s="42">
        <v>45.6</v>
      </c>
      <c r="AG126" s="42">
        <v>45.33</v>
      </c>
      <c r="AI126" s="37">
        <v>69.959999999999994</v>
      </c>
      <c r="AJ126" s="37">
        <v>69.900000000000006</v>
      </c>
      <c r="AK126" s="37">
        <v>69.64</v>
      </c>
      <c r="AM126" s="37">
        <v>19.309999999999999</v>
      </c>
      <c r="AN126" s="37">
        <v>19.87</v>
      </c>
      <c r="AO126" s="37">
        <v>19.29</v>
      </c>
      <c r="AQ126" s="37">
        <v>23.07</v>
      </c>
      <c r="AR126" s="37">
        <v>23.08</v>
      </c>
      <c r="AS126" s="37">
        <v>23.6</v>
      </c>
      <c r="AU126" s="10" t="s">
        <v>296</v>
      </c>
      <c r="AW126" s="9">
        <v>0</v>
      </c>
      <c r="BD126" s="35">
        <v>55.25</v>
      </c>
      <c r="BE126" s="35">
        <v>55.32</v>
      </c>
      <c r="BF126" s="35">
        <v>55.27</v>
      </c>
      <c r="BH126" s="35">
        <v>40.64</v>
      </c>
      <c r="BI126" s="35">
        <v>40.909999999999997</v>
      </c>
      <c r="BJ126" s="35">
        <v>40.74</v>
      </c>
      <c r="BL126" s="35">
        <v>68.69</v>
      </c>
      <c r="BM126" s="35">
        <v>68.510000000000005</v>
      </c>
      <c r="BN126" s="35">
        <v>68.709999999999994</v>
      </c>
      <c r="BP126" t="s">
        <v>51</v>
      </c>
      <c r="BQ126" t="s">
        <v>51</v>
      </c>
      <c r="BR126" t="s">
        <v>52</v>
      </c>
      <c r="BS126" t="s">
        <v>51</v>
      </c>
    </row>
    <row r="127" spans="1:78" x14ac:dyDescent="0.25">
      <c r="A127" s="97" t="s">
        <v>302</v>
      </c>
      <c r="B127" t="s">
        <v>1438</v>
      </c>
      <c r="C127" t="s">
        <v>207</v>
      </c>
      <c r="D127" t="s">
        <v>208</v>
      </c>
      <c r="E127">
        <v>1623</v>
      </c>
      <c r="F127" s="5" t="s">
        <v>202</v>
      </c>
      <c r="G127" s="100">
        <v>43663</v>
      </c>
      <c r="H127" t="s">
        <v>1431</v>
      </c>
      <c r="J127" s="147">
        <v>2</v>
      </c>
      <c r="K127" s="10" t="s">
        <v>64</v>
      </c>
      <c r="L127">
        <v>369</v>
      </c>
      <c r="M127">
        <v>91</v>
      </c>
      <c r="N127" s="9">
        <f t="shared" ref="N127:N143" si="34">L127-M127</f>
        <v>278</v>
      </c>
      <c r="O127">
        <v>155</v>
      </c>
      <c r="P127">
        <v>154</v>
      </c>
      <c r="Q127">
        <v>154</v>
      </c>
      <c r="S127">
        <v>229</v>
      </c>
      <c r="T127">
        <v>230</v>
      </c>
      <c r="U127">
        <v>230</v>
      </c>
      <c r="W127" s="36">
        <v>12.08</v>
      </c>
      <c r="X127">
        <v>12.14</v>
      </c>
      <c r="Y127">
        <v>12.02</v>
      </c>
      <c r="AA127" s="37">
        <v>29.32</v>
      </c>
      <c r="AB127" s="37">
        <v>29.47</v>
      </c>
      <c r="AC127" s="37">
        <v>29.59</v>
      </c>
      <c r="AE127" s="42">
        <v>39.22</v>
      </c>
      <c r="AF127" s="42">
        <v>39.31</v>
      </c>
      <c r="AG127" s="42">
        <v>39.18</v>
      </c>
      <c r="AI127" s="37">
        <v>59.84</v>
      </c>
      <c r="AJ127" s="37">
        <v>59.8</v>
      </c>
      <c r="AK127" s="37">
        <v>59.81</v>
      </c>
      <c r="AX127" s="10" t="s">
        <v>65</v>
      </c>
      <c r="AY127" s="9">
        <v>8</v>
      </c>
      <c r="AZ127">
        <v>8</v>
      </c>
      <c r="BA127">
        <v>0</v>
      </c>
      <c r="BD127" s="35">
        <v>47.05</v>
      </c>
      <c r="BE127" s="35">
        <v>47.39</v>
      </c>
      <c r="BF127" s="35">
        <v>47.46</v>
      </c>
      <c r="BH127" s="35">
        <v>35.85</v>
      </c>
      <c r="BI127" s="35">
        <v>35.72</v>
      </c>
      <c r="BJ127" s="35">
        <v>35.64</v>
      </c>
      <c r="BL127" s="35">
        <v>61.32</v>
      </c>
      <c r="BM127" s="35">
        <v>61.75</v>
      </c>
      <c r="BN127" s="35">
        <v>61.35</v>
      </c>
      <c r="BP127" t="s">
        <v>52</v>
      </c>
      <c r="BQ127" t="s">
        <v>51</v>
      </c>
      <c r="BR127" t="s">
        <v>52</v>
      </c>
      <c r="BS127" t="s">
        <v>51</v>
      </c>
    </row>
    <row r="128" spans="1:78" x14ac:dyDescent="0.25">
      <c r="A128" s="97" t="s">
        <v>302</v>
      </c>
      <c r="B128" t="s">
        <v>1653</v>
      </c>
      <c r="C128" t="s">
        <v>49</v>
      </c>
      <c r="D128" t="s">
        <v>208</v>
      </c>
      <c r="E128">
        <v>1735</v>
      </c>
      <c r="F128" s="5" t="s">
        <v>202</v>
      </c>
      <c r="G128" s="100">
        <v>43664</v>
      </c>
      <c r="H128" t="s">
        <v>1648</v>
      </c>
      <c r="J128" s="147">
        <v>1</v>
      </c>
      <c r="K128" s="10" t="s">
        <v>50</v>
      </c>
      <c r="L128">
        <v>718</v>
      </c>
      <c r="M128">
        <v>92</v>
      </c>
      <c r="N128" s="9">
        <f t="shared" si="34"/>
        <v>626</v>
      </c>
      <c r="O128">
        <v>177</v>
      </c>
      <c r="P128">
        <v>176</v>
      </c>
      <c r="Q128">
        <v>177</v>
      </c>
      <c r="S128">
        <v>282</v>
      </c>
      <c r="T128">
        <v>283</v>
      </c>
      <c r="U128">
        <v>282</v>
      </c>
      <c r="W128" s="36">
        <v>14.73</v>
      </c>
      <c r="X128">
        <v>14.59</v>
      </c>
      <c r="Y128">
        <v>14.82</v>
      </c>
      <c r="AA128" s="37">
        <v>34.590000000000003</v>
      </c>
      <c r="AB128" s="37">
        <v>34.51</v>
      </c>
      <c r="AC128" s="37">
        <v>34.54</v>
      </c>
      <c r="AE128" s="42">
        <v>44.42</v>
      </c>
      <c r="AF128" s="42">
        <v>44.19</v>
      </c>
      <c r="AG128" s="42">
        <v>44.53</v>
      </c>
      <c r="AI128" s="37">
        <v>72.53</v>
      </c>
      <c r="AJ128" s="37">
        <v>72.62</v>
      </c>
      <c r="AK128" s="37">
        <v>72.69</v>
      </c>
      <c r="AM128" s="37">
        <v>16.73</v>
      </c>
      <c r="AN128" s="37">
        <v>16.7</v>
      </c>
      <c r="AO128" s="37">
        <v>16.5</v>
      </c>
      <c r="AQ128" s="37">
        <v>24.27</v>
      </c>
      <c r="AR128" s="37">
        <v>24.91</v>
      </c>
      <c r="AS128" s="37">
        <v>24.95</v>
      </c>
      <c r="AU128" s="10" t="s">
        <v>296</v>
      </c>
      <c r="AW128" s="9">
        <v>0</v>
      </c>
      <c r="BD128" s="35">
        <v>54.54</v>
      </c>
      <c r="BE128" s="35">
        <v>54.7</v>
      </c>
      <c r="BF128" s="35">
        <v>54.55</v>
      </c>
      <c r="BH128" s="35">
        <v>38.020000000000003</v>
      </c>
      <c r="BI128" s="35">
        <v>38.18</v>
      </c>
      <c r="BJ128" s="35">
        <v>38.07</v>
      </c>
      <c r="BL128" s="35">
        <v>73.86</v>
      </c>
      <c r="BM128" s="35">
        <v>73.55</v>
      </c>
      <c r="BN128" s="35">
        <v>73.81</v>
      </c>
      <c r="BP128" t="s">
        <v>51</v>
      </c>
      <c r="BQ128" t="s">
        <v>51</v>
      </c>
      <c r="BR128" t="s">
        <v>52</v>
      </c>
      <c r="BS128" t="s">
        <v>51</v>
      </c>
    </row>
    <row r="129" spans="1:78" x14ac:dyDescent="0.25">
      <c r="A129" s="97" t="s">
        <v>302</v>
      </c>
      <c r="B129" t="s">
        <v>1294</v>
      </c>
      <c r="C129" t="s">
        <v>207</v>
      </c>
      <c r="D129" t="s">
        <v>208</v>
      </c>
      <c r="E129">
        <v>1696</v>
      </c>
      <c r="F129" s="5" t="s">
        <v>202</v>
      </c>
      <c r="G129" s="100">
        <v>43664</v>
      </c>
      <c r="H129" t="s">
        <v>1649</v>
      </c>
      <c r="J129" s="147">
        <v>2</v>
      </c>
      <c r="K129" s="10" t="s">
        <v>64</v>
      </c>
      <c r="L129">
        <v>481</v>
      </c>
      <c r="M129">
        <v>93</v>
      </c>
      <c r="N129" s="9">
        <f t="shared" si="34"/>
        <v>388</v>
      </c>
      <c r="O129">
        <v>180</v>
      </c>
      <c r="P129">
        <v>179</v>
      </c>
      <c r="Q129">
        <v>179</v>
      </c>
      <c r="S129">
        <v>225</v>
      </c>
      <c r="T129">
        <v>224</v>
      </c>
      <c r="U129">
        <v>225</v>
      </c>
      <c r="W129" s="36">
        <v>12.75</v>
      </c>
      <c r="X129">
        <v>12.39</v>
      </c>
      <c r="Y129">
        <v>12.14</v>
      </c>
      <c r="AA129" s="37">
        <v>30.02</v>
      </c>
      <c r="AB129" s="37">
        <v>29.84</v>
      </c>
      <c r="AC129" s="37">
        <v>29.82</v>
      </c>
      <c r="AE129" s="42">
        <v>38.729999999999997</v>
      </c>
      <c r="AF129" s="42">
        <v>38.54</v>
      </c>
      <c r="AG129" s="42">
        <v>38.33</v>
      </c>
      <c r="AI129" s="37">
        <v>63.68</v>
      </c>
      <c r="AJ129" s="37">
        <v>63.42</v>
      </c>
      <c r="AK129" s="37">
        <v>63.75</v>
      </c>
      <c r="AX129" s="10" t="s">
        <v>65</v>
      </c>
      <c r="AY129" s="9">
        <v>8</v>
      </c>
      <c r="AZ129">
        <v>7</v>
      </c>
      <c r="BA129">
        <v>0</v>
      </c>
      <c r="BD129" s="35">
        <v>49.75</v>
      </c>
      <c r="BE129" s="35">
        <v>49.69</v>
      </c>
      <c r="BF129" s="35">
        <v>49.66</v>
      </c>
      <c r="BH129" s="35">
        <v>33.22</v>
      </c>
      <c r="BI129" s="35">
        <v>33.58</v>
      </c>
      <c r="BJ129" s="35">
        <v>33.43</v>
      </c>
      <c r="BL129" s="35">
        <v>64.150000000000006</v>
      </c>
      <c r="BM129" s="35">
        <v>64.62</v>
      </c>
      <c r="BN129" s="35">
        <v>64.52</v>
      </c>
      <c r="BP129" t="s">
        <v>52</v>
      </c>
      <c r="BQ129" t="s">
        <v>51</v>
      </c>
      <c r="BR129" t="s">
        <v>52</v>
      </c>
      <c r="BS129" t="s">
        <v>51</v>
      </c>
    </row>
    <row r="130" spans="1:78" x14ac:dyDescent="0.25">
      <c r="A130" s="97" t="s">
        <v>302</v>
      </c>
      <c r="B130" t="s">
        <v>1651</v>
      </c>
      <c r="C130" t="s">
        <v>49</v>
      </c>
      <c r="D130" t="s">
        <v>208</v>
      </c>
      <c r="E130">
        <v>1730</v>
      </c>
      <c r="F130" s="5" t="s">
        <v>202</v>
      </c>
      <c r="G130" s="100">
        <v>43664</v>
      </c>
      <c r="H130" t="s">
        <v>1650</v>
      </c>
      <c r="J130" s="147">
        <v>3</v>
      </c>
      <c r="K130" s="10" t="s">
        <v>64</v>
      </c>
      <c r="L130">
        <v>516</v>
      </c>
      <c r="M130">
        <v>92</v>
      </c>
      <c r="N130" s="9">
        <f t="shared" si="34"/>
        <v>424</v>
      </c>
      <c r="O130">
        <v>159</v>
      </c>
      <c r="P130">
        <v>159</v>
      </c>
      <c r="Q130">
        <v>159</v>
      </c>
      <c r="S130">
        <v>255</v>
      </c>
      <c r="T130">
        <v>254</v>
      </c>
      <c r="U130">
        <v>254</v>
      </c>
      <c r="W130" s="36">
        <v>12.76</v>
      </c>
      <c r="X130">
        <v>12.58</v>
      </c>
      <c r="Y130">
        <v>12.97</v>
      </c>
      <c r="AA130" s="37">
        <v>30.44</v>
      </c>
      <c r="AB130" s="37">
        <v>30.47</v>
      </c>
      <c r="AC130" s="37">
        <v>30.42</v>
      </c>
      <c r="AE130" s="42">
        <v>40.74</v>
      </c>
      <c r="AF130" s="42">
        <v>40.56</v>
      </c>
      <c r="AG130" s="42">
        <v>40.340000000000003</v>
      </c>
      <c r="AI130" s="37">
        <v>65.489999999999995</v>
      </c>
      <c r="AJ130" s="37">
        <v>65.400000000000006</v>
      </c>
      <c r="AK130" s="37">
        <v>65.400000000000006</v>
      </c>
      <c r="AX130" s="10" t="s">
        <v>65</v>
      </c>
      <c r="AY130" s="9">
        <v>8</v>
      </c>
      <c r="AZ130">
        <v>6</v>
      </c>
      <c r="BA130">
        <v>0</v>
      </c>
      <c r="BD130" s="35">
        <v>51.01</v>
      </c>
      <c r="BE130" s="35">
        <v>51.07</v>
      </c>
      <c r="BF130" s="35">
        <v>51.11</v>
      </c>
      <c r="BH130" s="35">
        <v>34.35</v>
      </c>
      <c r="BI130" s="35">
        <v>34.74</v>
      </c>
      <c r="BJ130" s="35">
        <v>34.6</v>
      </c>
      <c r="BL130" s="35">
        <v>70.290000000000006</v>
      </c>
      <c r="BM130" s="35">
        <v>70.28</v>
      </c>
      <c r="BN130" s="35">
        <v>70.34</v>
      </c>
      <c r="BP130" t="s">
        <v>51</v>
      </c>
      <c r="BQ130" t="s">
        <v>51</v>
      </c>
      <c r="BR130" t="s">
        <v>52</v>
      </c>
      <c r="BS130" t="s">
        <v>52</v>
      </c>
    </row>
    <row r="131" spans="1:78" x14ac:dyDescent="0.25">
      <c r="A131" s="97" t="s">
        <v>302</v>
      </c>
      <c r="B131" t="s">
        <v>1299</v>
      </c>
      <c r="C131" t="s">
        <v>207</v>
      </c>
      <c r="D131" t="s">
        <v>208</v>
      </c>
      <c r="E131">
        <v>1679</v>
      </c>
      <c r="F131" s="5" t="s">
        <v>202</v>
      </c>
      <c r="G131" s="100">
        <v>43664</v>
      </c>
      <c r="H131" t="s">
        <v>1302</v>
      </c>
      <c r="J131" s="147">
        <v>2</v>
      </c>
      <c r="K131" s="10" t="s">
        <v>64</v>
      </c>
      <c r="L131">
        <v>458</v>
      </c>
      <c r="M131">
        <v>93</v>
      </c>
      <c r="N131" s="9">
        <f t="shared" si="34"/>
        <v>365</v>
      </c>
      <c r="O131">
        <v>169</v>
      </c>
      <c r="P131">
        <v>168</v>
      </c>
      <c r="Q131">
        <v>168</v>
      </c>
      <c r="S131">
        <v>236</v>
      </c>
      <c r="T131">
        <v>237</v>
      </c>
      <c r="U131">
        <v>236</v>
      </c>
      <c r="W131" s="36">
        <v>12.63</v>
      </c>
      <c r="X131">
        <v>12.71</v>
      </c>
      <c r="Y131">
        <v>12.61</v>
      </c>
      <c r="AA131" s="37">
        <v>31.24</v>
      </c>
      <c r="AB131" s="37">
        <v>31.46</v>
      </c>
      <c r="AC131" s="37">
        <v>31.3</v>
      </c>
      <c r="AE131" s="42">
        <v>42.75</v>
      </c>
      <c r="AF131" s="42">
        <v>42.74</v>
      </c>
      <c r="AG131" s="42">
        <v>42.58</v>
      </c>
      <c r="AI131" s="37">
        <v>64.72</v>
      </c>
      <c r="AJ131" s="37">
        <v>64.650000000000006</v>
      </c>
      <c r="AK131" s="37">
        <v>64.44</v>
      </c>
      <c r="AX131" s="10" t="s">
        <v>65</v>
      </c>
      <c r="AY131" s="9">
        <v>8</v>
      </c>
      <c r="AZ131">
        <v>2</v>
      </c>
      <c r="BA131">
        <v>0</v>
      </c>
      <c r="BD131" s="35">
        <v>49.27</v>
      </c>
      <c r="BE131" s="35">
        <v>49.19</v>
      </c>
      <c r="BF131" s="35">
        <v>49.01</v>
      </c>
      <c r="BH131" s="35">
        <v>36.15</v>
      </c>
      <c r="BI131" s="35">
        <v>36.29</v>
      </c>
      <c r="BJ131" s="35">
        <v>36.44</v>
      </c>
      <c r="BL131" s="35">
        <v>64.599999999999994</v>
      </c>
      <c r="BM131" s="35">
        <v>64.91</v>
      </c>
      <c r="BN131" s="35">
        <v>64.739999999999995</v>
      </c>
      <c r="BP131" t="s">
        <v>52</v>
      </c>
      <c r="BQ131" t="s">
        <v>51</v>
      </c>
      <c r="BR131" t="s">
        <v>52</v>
      </c>
      <c r="BS131" t="s">
        <v>51</v>
      </c>
      <c r="BZ131" t="s">
        <v>1652</v>
      </c>
    </row>
    <row r="132" spans="1:78" x14ac:dyDescent="0.25">
      <c r="A132" s="97" t="s">
        <v>302</v>
      </c>
      <c r="B132" t="s">
        <v>1800</v>
      </c>
      <c r="C132" t="s">
        <v>49</v>
      </c>
      <c r="D132" t="s">
        <v>208</v>
      </c>
      <c r="E132">
        <v>1731</v>
      </c>
      <c r="F132" s="5" t="s">
        <v>202</v>
      </c>
      <c r="G132" s="100">
        <v>43667</v>
      </c>
      <c r="H132" t="s">
        <v>1615</v>
      </c>
      <c r="J132" s="147">
        <v>1</v>
      </c>
      <c r="K132" s="10" t="s">
        <v>50</v>
      </c>
      <c r="L132">
        <v>628</v>
      </c>
      <c r="M132">
        <v>93</v>
      </c>
      <c r="N132" s="9">
        <f t="shared" si="34"/>
        <v>535</v>
      </c>
      <c r="O132" s="35">
        <v>175</v>
      </c>
      <c r="P132" s="35">
        <v>175</v>
      </c>
      <c r="Q132" s="35">
        <v>176</v>
      </c>
      <c r="S132" s="35">
        <v>249</v>
      </c>
      <c r="T132" s="35">
        <v>248</v>
      </c>
      <c r="U132" s="35">
        <v>248</v>
      </c>
      <c r="W132" s="36">
        <v>13.59</v>
      </c>
      <c r="X132" s="35">
        <v>13.1</v>
      </c>
      <c r="Y132" s="35">
        <v>13.27</v>
      </c>
      <c r="AA132" s="37">
        <v>32.71</v>
      </c>
      <c r="AB132" s="37">
        <v>32.29</v>
      </c>
      <c r="AC132" s="37">
        <v>32.6</v>
      </c>
      <c r="AE132" s="42">
        <v>43</v>
      </c>
      <c r="AF132" s="42">
        <v>43.39</v>
      </c>
      <c r="AG132" s="42">
        <v>43.5</v>
      </c>
      <c r="AI132" s="37">
        <v>66.06</v>
      </c>
      <c r="AJ132" s="37">
        <v>66.12</v>
      </c>
      <c r="AK132" s="37">
        <v>66.25</v>
      </c>
      <c r="AM132" s="37">
        <v>18.48</v>
      </c>
      <c r="AN132" s="37">
        <v>18.920000000000002</v>
      </c>
      <c r="AO132" s="37">
        <v>18.28</v>
      </c>
      <c r="AQ132" s="37">
        <v>25.96</v>
      </c>
      <c r="AR132" s="37">
        <v>25.39</v>
      </c>
      <c r="AS132" s="37">
        <v>25.21</v>
      </c>
      <c r="AU132" s="10" t="s">
        <v>296</v>
      </c>
      <c r="AW132" s="9">
        <v>0</v>
      </c>
      <c r="BD132" s="35">
        <v>54.81</v>
      </c>
      <c r="BE132" s="35">
        <v>54.38</v>
      </c>
      <c r="BF132" s="35">
        <v>54.21</v>
      </c>
      <c r="BH132" s="35">
        <v>39.86</v>
      </c>
      <c r="BI132" s="35">
        <v>39.53</v>
      </c>
      <c r="BJ132" s="35">
        <v>39.89</v>
      </c>
      <c r="BL132" s="35">
        <v>68.77</v>
      </c>
      <c r="BM132" s="35">
        <v>68.94</v>
      </c>
      <c r="BN132" s="35">
        <v>68.78</v>
      </c>
      <c r="BP132" t="s">
        <v>51</v>
      </c>
      <c r="BQ132" t="s">
        <v>51</v>
      </c>
      <c r="BR132" t="s">
        <v>52</v>
      </c>
      <c r="BS132" t="s">
        <v>51</v>
      </c>
    </row>
    <row r="133" spans="1:78" x14ac:dyDescent="0.25">
      <c r="A133" s="97" t="s">
        <v>302</v>
      </c>
      <c r="B133" t="s">
        <v>1802</v>
      </c>
      <c r="C133" t="s">
        <v>49</v>
      </c>
      <c r="D133" t="s">
        <v>208</v>
      </c>
      <c r="E133">
        <v>1732</v>
      </c>
      <c r="F133" s="5" t="s">
        <v>202</v>
      </c>
      <c r="G133" s="100">
        <v>43668</v>
      </c>
      <c r="H133" t="s">
        <v>1801</v>
      </c>
      <c r="J133" s="147">
        <v>1</v>
      </c>
      <c r="K133" s="10" t="s">
        <v>50</v>
      </c>
      <c r="L133">
        <v>565</v>
      </c>
      <c r="M133">
        <v>94</v>
      </c>
      <c r="N133" s="9">
        <f t="shared" si="34"/>
        <v>471</v>
      </c>
      <c r="O133" s="35">
        <v>175</v>
      </c>
      <c r="P133" s="35">
        <v>176</v>
      </c>
      <c r="Q133" s="35">
        <v>176</v>
      </c>
      <c r="S133" s="35">
        <v>230</v>
      </c>
      <c r="T133" s="35">
        <v>229</v>
      </c>
      <c r="U133" s="35">
        <v>229</v>
      </c>
      <c r="W133" s="36">
        <v>15.2</v>
      </c>
      <c r="X133" s="35">
        <v>15.8</v>
      </c>
      <c r="Y133" s="35">
        <v>15.24</v>
      </c>
      <c r="AA133" s="37">
        <v>30.65</v>
      </c>
      <c r="AB133" s="37">
        <v>30.61</v>
      </c>
      <c r="AC133" s="37">
        <v>30.73</v>
      </c>
      <c r="AE133" s="42">
        <v>42.17</v>
      </c>
      <c r="AF133" s="42">
        <v>42.03</v>
      </c>
      <c r="AG133" s="42">
        <v>42.08</v>
      </c>
      <c r="AI133" s="37">
        <v>66.13</v>
      </c>
      <c r="AJ133" s="37">
        <v>66.22</v>
      </c>
      <c r="AK133" s="37">
        <v>66.08</v>
      </c>
      <c r="AM133" s="37">
        <v>18.95</v>
      </c>
      <c r="AN133" s="37">
        <v>18.52</v>
      </c>
      <c r="AO133" s="37">
        <v>18.239999999999998</v>
      </c>
      <c r="AQ133" s="37">
        <v>24.82</v>
      </c>
      <c r="AR133" s="37">
        <v>24.31</v>
      </c>
      <c r="AS133" s="37">
        <v>24.65</v>
      </c>
      <c r="AU133" s="10" t="s">
        <v>296</v>
      </c>
      <c r="AW133" s="9">
        <v>1</v>
      </c>
      <c r="BD133" s="35">
        <v>53.84</v>
      </c>
      <c r="BE133" s="35">
        <v>53.53</v>
      </c>
      <c r="BF133" s="35">
        <v>53.36</v>
      </c>
      <c r="BH133" s="35">
        <v>37.590000000000003</v>
      </c>
      <c r="BI133" s="35">
        <v>37.39</v>
      </c>
      <c r="BJ133" s="35">
        <v>37.130000000000003</v>
      </c>
      <c r="BL133" s="35">
        <v>64.87</v>
      </c>
      <c r="BM133" s="35">
        <v>64.63</v>
      </c>
      <c r="BN133" s="35">
        <v>64.45</v>
      </c>
      <c r="BP133" t="s">
        <v>51</v>
      </c>
      <c r="BQ133" t="s">
        <v>51</v>
      </c>
      <c r="BR133" t="s">
        <v>52</v>
      </c>
      <c r="BS133" t="s">
        <v>51</v>
      </c>
    </row>
    <row r="134" spans="1:78" x14ac:dyDescent="0.25">
      <c r="A134" s="97" t="s">
        <v>302</v>
      </c>
      <c r="B134" t="s">
        <v>1803</v>
      </c>
      <c r="C134" t="s">
        <v>49</v>
      </c>
      <c r="D134" t="s">
        <v>208</v>
      </c>
      <c r="E134">
        <v>1733</v>
      </c>
      <c r="F134" s="5" t="s">
        <v>202</v>
      </c>
      <c r="G134" s="100">
        <v>43669</v>
      </c>
      <c r="H134" t="s">
        <v>1648</v>
      </c>
      <c r="J134" s="147">
        <v>2</v>
      </c>
      <c r="K134" s="10" t="s">
        <v>64</v>
      </c>
      <c r="L134">
        <v>556</v>
      </c>
      <c r="M134">
        <v>93</v>
      </c>
      <c r="N134" s="9">
        <f t="shared" si="34"/>
        <v>463</v>
      </c>
      <c r="O134" s="35">
        <v>160</v>
      </c>
      <c r="P134" s="35">
        <v>161</v>
      </c>
      <c r="Q134" s="35">
        <v>160</v>
      </c>
      <c r="S134" s="35">
        <v>260</v>
      </c>
      <c r="T134" s="35">
        <v>261</v>
      </c>
      <c r="U134" s="35">
        <v>260</v>
      </c>
      <c r="W134" s="36">
        <v>14.57</v>
      </c>
      <c r="X134" s="35">
        <v>14.39</v>
      </c>
      <c r="Y134" s="35">
        <v>14.58</v>
      </c>
      <c r="AA134" s="37">
        <v>31.57</v>
      </c>
      <c r="AB134" s="37">
        <v>31.9</v>
      </c>
      <c r="AC134" s="37">
        <v>31.33</v>
      </c>
      <c r="AE134" s="42">
        <v>43.05</v>
      </c>
      <c r="AF134" s="42">
        <v>42.94</v>
      </c>
      <c r="AG134" s="42">
        <v>42.93</v>
      </c>
      <c r="AI134" s="37">
        <v>65.67</v>
      </c>
      <c r="AJ134" s="37">
        <v>65.48</v>
      </c>
      <c r="AK134" s="37">
        <v>65.430000000000007</v>
      </c>
      <c r="AX134" s="10" t="s">
        <v>65</v>
      </c>
      <c r="AY134" s="9">
        <v>8</v>
      </c>
      <c r="AZ134">
        <v>8</v>
      </c>
      <c r="BA134">
        <v>0</v>
      </c>
      <c r="BD134" s="35">
        <v>52.23</v>
      </c>
      <c r="BE134" s="35">
        <v>52.26</v>
      </c>
      <c r="BF134" s="35">
        <v>52.25</v>
      </c>
      <c r="BH134" s="35">
        <v>35.32</v>
      </c>
      <c r="BI134" s="35">
        <v>35.57</v>
      </c>
      <c r="BJ134" s="35">
        <v>35.5</v>
      </c>
      <c r="BL134" s="35">
        <v>62.83</v>
      </c>
      <c r="BM134" s="35">
        <v>62.28</v>
      </c>
      <c r="BN134" s="35">
        <v>62.35</v>
      </c>
      <c r="BP134" t="s">
        <v>51</v>
      </c>
      <c r="BQ134" t="s">
        <v>51</v>
      </c>
      <c r="BR134" t="s">
        <v>52</v>
      </c>
      <c r="BS134" t="s">
        <v>51</v>
      </c>
      <c r="BZ134" t="s">
        <v>1804</v>
      </c>
    </row>
    <row r="135" spans="1:78" x14ac:dyDescent="0.25">
      <c r="A135" s="97" t="s">
        <v>302</v>
      </c>
      <c r="B135" t="s">
        <v>1843</v>
      </c>
      <c r="C135" t="s">
        <v>49</v>
      </c>
      <c r="D135" t="s">
        <v>208</v>
      </c>
      <c r="E135">
        <v>1743</v>
      </c>
      <c r="F135" s="5" t="s">
        <v>202</v>
      </c>
      <c r="G135" s="100">
        <v>43671</v>
      </c>
      <c r="H135" t="s">
        <v>1842</v>
      </c>
      <c r="J135" s="147">
        <v>1</v>
      </c>
      <c r="K135" s="10" t="s">
        <v>50</v>
      </c>
      <c r="L135">
        <v>737</v>
      </c>
      <c r="M135">
        <v>90</v>
      </c>
      <c r="N135" s="9">
        <f t="shared" si="34"/>
        <v>647</v>
      </c>
      <c r="O135" s="35">
        <v>196</v>
      </c>
      <c r="P135" s="35">
        <v>195</v>
      </c>
      <c r="Q135" s="35">
        <v>195</v>
      </c>
      <c r="S135" s="35">
        <v>263</v>
      </c>
      <c r="T135" s="35">
        <v>263</v>
      </c>
      <c r="U135" s="35">
        <v>262</v>
      </c>
      <c r="W135" s="36">
        <v>14.48</v>
      </c>
      <c r="X135" s="35">
        <v>14.16</v>
      </c>
      <c r="Y135" s="24">
        <v>14.19</v>
      </c>
      <c r="AA135" s="37">
        <v>32.76</v>
      </c>
      <c r="AB135" s="37">
        <v>32.770000000000003</v>
      </c>
      <c r="AC135" s="37">
        <v>32.79</v>
      </c>
      <c r="AE135" s="42">
        <v>43.61</v>
      </c>
      <c r="AF135" s="42">
        <v>43.6</v>
      </c>
      <c r="AG135" s="42">
        <v>43.4</v>
      </c>
      <c r="AI135" s="37">
        <v>69.930000000000007</v>
      </c>
      <c r="AJ135" s="37">
        <v>69.89</v>
      </c>
      <c r="AK135" s="37">
        <v>69.739999999999995</v>
      </c>
      <c r="AM135" s="37">
        <v>17.59</v>
      </c>
      <c r="AN135" s="37">
        <v>17.04</v>
      </c>
      <c r="AO135" s="37">
        <v>17.16</v>
      </c>
      <c r="AQ135" s="37">
        <v>22.35</v>
      </c>
      <c r="AR135" s="37">
        <v>22.5</v>
      </c>
      <c r="AS135" s="37">
        <v>22.39</v>
      </c>
      <c r="AU135" s="10" t="s">
        <v>296</v>
      </c>
      <c r="AW135" s="9">
        <v>3</v>
      </c>
      <c r="BD135" s="35">
        <v>58.8</v>
      </c>
      <c r="BE135" s="35">
        <v>58.83</v>
      </c>
      <c r="BF135" s="35">
        <v>58.86</v>
      </c>
      <c r="BH135" s="35">
        <v>42.71</v>
      </c>
      <c r="BI135" s="35">
        <v>42.39</v>
      </c>
      <c r="BJ135" s="35">
        <v>42.8</v>
      </c>
      <c r="BL135" s="35">
        <v>68.400000000000006</v>
      </c>
      <c r="BM135" s="35">
        <v>68.78</v>
      </c>
      <c r="BN135" s="35">
        <v>68.64</v>
      </c>
      <c r="BP135" t="s">
        <v>51</v>
      </c>
      <c r="BQ135" t="s">
        <v>51</v>
      </c>
      <c r="BR135" t="s">
        <v>52</v>
      </c>
      <c r="BS135" t="s">
        <v>51</v>
      </c>
    </row>
    <row r="136" spans="1:78" x14ac:dyDescent="0.25">
      <c r="A136" s="97" t="s">
        <v>302</v>
      </c>
      <c r="B136" t="s">
        <v>1397</v>
      </c>
      <c r="C136" t="s">
        <v>49</v>
      </c>
      <c r="D136" t="s">
        <v>208</v>
      </c>
      <c r="E136">
        <v>1641</v>
      </c>
      <c r="F136" s="5" t="s">
        <v>202</v>
      </c>
      <c r="G136" s="100">
        <v>43672</v>
      </c>
      <c r="H136" t="s">
        <v>1848</v>
      </c>
      <c r="J136" s="147">
        <v>2</v>
      </c>
      <c r="K136" s="10" t="s">
        <v>64</v>
      </c>
      <c r="L136">
        <v>553</v>
      </c>
      <c r="M136">
        <v>93</v>
      </c>
      <c r="N136" s="9">
        <f t="shared" si="34"/>
        <v>460</v>
      </c>
      <c r="O136" s="35">
        <v>169</v>
      </c>
      <c r="P136" s="35">
        <v>170</v>
      </c>
      <c r="Q136" s="35">
        <v>170</v>
      </c>
      <c r="S136" s="35">
        <v>224</v>
      </c>
      <c r="T136" s="35">
        <v>223</v>
      </c>
      <c r="U136" s="35">
        <v>223</v>
      </c>
      <c r="W136" s="36">
        <v>13.94</v>
      </c>
      <c r="X136" s="35">
        <v>13.57</v>
      </c>
      <c r="Y136" s="35">
        <v>13.42</v>
      </c>
      <c r="AA136" s="37">
        <v>31.5</v>
      </c>
      <c r="AB136" s="37">
        <v>31.56</v>
      </c>
      <c r="AC136" s="37">
        <v>31.78</v>
      </c>
      <c r="AE136" s="42">
        <v>39.44</v>
      </c>
      <c r="AF136" s="42">
        <v>39.619999999999997</v>
      </c>
      <c r="AG136" s="42">
        <v>39.56</v>
      </c>
      <c r="AI136" s="37">
        <v>65.09</v>
      </c>
      <c r="AJ136" s="37">
        <v>65.19</v>
      </c>
      <c r="AK136" s="37">
        <v>65.12</v>
      </c>
      <c r="AX136" s="10" t="s">
        <v>65</v>
      </c>
      <c r="AY136" s="9">
        <v>8</v>
      </c>
      <c r="AZ136">
        <v>8</v>
      </c>
      <c r="BA136">
        <v>0</v>
      </c>
      <c r="BD136" s="35">
        <v>51.63</v>
      </c>
      <c r="BE136" s="35">
        <v>51.39</v>
      </c>
      <c r="BF136" s="35">
        <v>51.62</v>
      </c>
      <c r="BH136" s="35">
        <v>39.869999999999997</v>
      </c>
      <c r="BI136" s="35">
        <v>39.74</v>
      </c>
      <c r="BJ136" s="35">
        <v>39.549999999999997</v>
      </c>
      <c r="BL136" s="35">
        <v>61.52</v>
      </c>
      <c r="BM136" s="35">
        <v>61.68</v>
      </c>
      <c r="BN136" s="35">
        <v>61.75</v>
      </c>
      <c r="BP136" t="s">
        <v>52</v>
      </c>
      <c r="BQ136" t="s">
        <v>51</v>
      </c>
      <c r="BR136" t="s">
        <v>52</v>
      </c>
      <c r="BS136" t="s">
        <v>51</v>
      </c>
    </row>
    <row r="137" spans="1:78" x14ac:dyDescent="0.25">
      <c r="A137" s="97" t="s">
        <v>302</v>
      </c>
      <c r="B137" t="s">
        <v>1849</v>
      </c>
      <c r="C137" t="s">
        <v>49</v>
      </c>
      <c r="D137" t="s">
        <v>208</v>
      </c>
      <c r="E137">
        <v>1746</v>
      </c>
      <c r="F137" s="5" t="s">
        <v>202</v>
      </c>
      <c r="G137" s="100">
        <v>43672</v>
      </c>
      <c r="H137" t="s">
        <v>1850</v>
      </c>
      <c r="J137" s="147">
        <v>1</v>
      </c>
      <c r="K137" s="10" t="s">
        <v>64</v>
      </c>
      <c r="L137">
        <v>432</v>
      </c>
      <c r="M137">
        <v>95</v>
      </c>
      <c r="N137" s="9">
        <f t="shared" si="34"/>
        <v>337</v>
      </c>
      <c r="O137" s="35">
        <v>162</v>
      </c>
      <c r="P137" s="35">
        <v>162</v>
      </c>
      <c r="Q137" s="35">
        <v>163</v>
      </c>
      <c r="S137" s="35">
        <v>237</v>
      </c>
      <c r="T137" s="35">
        <v>235</v>
      </c>
      <c r="U137" s="35">
        <v>235</v>
      </c>
      <c r="W137" s="36">
        <v>14.12</v>
      </c>
      <c r="X137" s="35">
        <v>14.2</v>
      </c>
      <c r="Y137" s="35">
        <v>14.24</v>
      </c>
      <c r="AA137" s="37">
        <v>30.51</v>
      </c>
      <c r="AB137" s="37">
        <v>30.71</v>
      </c>
      <c r="AC137" s="37">
        <v>30.88</v>
      </c>
      <c r="AE137" s="42">
        <v>38.229999999999997</v>
      </c>
      <c r="AF137" s="42">
        <v>38.07</v>
      </c>
      <c r="AG137" s="42">
        <v>38.31</v>
      </c>
      <c r="AI137" s="37">
        <v>63.8</v>
      </c>
      <c r="AJ137" s="37">
        <v>63.6</v>
      </c>
      <c r="AK137" s="37">
        <v>63.29</v>
      </c>
      <c r="AX137" s="10" t="s">
        <v>65</v>
      </c>
      <c r="AY137" s="9">
        <v>8</v>
      </c>
      <c r="AZ137">
        <v>0</v>
      </c>
      <c r="BA137">
        <v>0</v>
      </c>
      <c r="BD137" s="35">
        <v>50.09</v>
      </c>
      <c r="BE137" s="35">
        <v>50.06</v>
      </c>
      <c r="BF137" s="35">
        <v>49.91</v>
      </c>
      <c r="BH137" s="35">
        <v>34.35</v>
      </c>
      <c r="BI137" s="35">
        <v>34.14</v>
      </c>
      <c r="BJ137" s="35">
        <v>34.450000000000003</v>
      </c>
      <c r="BL137" s="35">
        <v>65.069999999999993</v>
      </c>
      <c r="BM137" s="35">
        <v>65.349999999999994</v>
      </c>
      <c r="BN137" s="35">
        <v>65.19</v>
      </c>
      <c r="BP137" t="s">
        <v>51</v>
      </c>
      <c r="BQ137" t="s">
        <v>51</v>
      </c>
      <c r="BR137" t="s">
        <v>52</v>
      </c>
      <c r="BS137" t="s">
        <v>51</v>
      </c>
    </row>
    <row r="138" spans="1:78" x14ac:dyDescent="0.25">
      <c r="A138" s="97" t="s">
        <v>302</v>
      </c>
      <c r="B138" t="s">
        <v>1856</v>
      </c>
      <c r="C138" t="s">
        <v>49</v>
      </c>
      <c r="D138" t="s">
        <v>208</v>
      </c>
      <c r="E138">
        <v>1902</v>
      </c>
      <c r="F138" s="5" t="s">
        <v>202</v>
      </c>
      <c r="G138" s="100">
        <v>43673</v>
      </c>
      <c r="H138" t="s">
        <v>1855</v>
      </c>
      <c r="J138" s="147">
        <v>1</v>
      </c>
      <c r="K138" s="10" t="s">
        <v>50</v>
      </c>
      <c r="L138">
        <v>554</v>
      </c>
      <c r="M138">
        <v>95</v>
      </c>
      <c r="N138" s="9">
        <f t="shared" si="34"/>
        <v>459</v>
      </c>
      <c r="O138" s="35">
        <v>183</v>
      </c>
      <c r="P138" s="35">
        <v>183</v>
      </c>
      <c r="Q138" s="35">
        <v>182</v>
      </c>
      <c r="S138" s="35">
        <v>265</v>
      </c>
      <c r="T138" s="35">
        <v>265</v>
      </c>
      <c r="U138" s="35">
        <v>265</v>
      </c>
      <c r="W138" s="36">
        <v>14.65</v>
      </c>
      <c r="X138" s="35">
        <v>14.42</v>
      </c>
      <c r="Y138" s="35">
        <v>14.8</v>
      </c>
      <c r="AA138" s="37">
        <v>33.29</v>
      </c>
      <c r="AB138" s="37">
        <v>33.18</v>
      </c>
      <c r="AC138" s="37">
        <v>33.35</v>
      </c>
      <c r="AE138" s="42">
        <v>42.76</v>
      </c>
      <c r="AF138" s="42">
        <v>42.91</v>
      </c>
      <c r="AG138" s="42">
        <v>42.5</v>
      </c>
      <c r="AI138" s="37">
        <v>69.64</v>
      </c>
      <c r="AJ138" s="37">
        <v>69.59</v>
      </c>
      <c r="AK138" s="37">
        <v>69.650000000000006</v>
      </c>
      <c r="AM138" s="37">
        <v>13.03</v>
      </c>
      <c r="AN138" s="37">
        <v>13.78</v>
      </c>
      <c r="AO138" s="37">
        <v>13.62</v>
      </c>
      <c r="AQ138" s="37">
        <v>19.829999999999998</v>
      </c>
      <c r="AR138" s="37">
        <v>20.02</v>
      </c>
      <c r="AS138" s="37">
        <v>19.79</v>
      </c>
      <c r="AU138" s="10" t="s">
        <v>296</v>
      </c>
      <c r="AW138" s="9">
        <v>3</v>
      </c>
      <c r="BD138" s="35">
        <v>56.68</v>
      </c>
      <c r="BE138" s="35">
        <v>56.83</v>
      </c>
      <c r="BF138" s="35">
        <v>56.59</v>
      </c>
      <c r="BH138" s="35">
        <v>41.67</v>
      </c>
      <c r="BI138" s="35">
        <v>41.51</v>
      </c>
      <c r="BJ138" s="35">
        <v>41.19</v>
      </c>
      <c r="BL138" s="35">
        <v>60.61</v>
      </c>
      <c r="BM138" s="35">
        <v>60.83</v>
      </c>
      <c r="BN138" s="35">
        <v>60.56</v>
      </c>
      <c r="BP138" t="s">
        <v>51</v>
      </c>
      <c r="BQ138" t="s">
        <v>51</v>
      </c>
      <c r="BR138" t="s">
        <v>52</v>
      </c>
      <c r="BS138" t="s">
        <v>51</v>
      </c>
    </row>
    <row r="139" spans="1:78" x14ac:dyDescent="0.25">
      <c r="A139" s="97" t="s">
        <v>302</v>
      </c>
      <c r="B139" t="s">
        <v>1891</v>
      </c>
      <c r="C139" t="s">
        <v>49</v>
      </c>
      <c r="D139" t="s">
        <v>208</v>
      </c>
      <c r="E139">
        <v>1905</v>
      </c>
      <c r="F139" s="5" t="s">
        <v>202</v>
      </c>
      <c r="G139" s="100">
        <v>43675</v>
      </c>
      <c r="H139" t="s">
        <v>1890</v>
      </c>
      <c r="J139" s="147">
        <v>1</v>
      </c>
      <c r="K139" s="10" t="s">
        <v>50</v>
      </c>
      <c r="L139">
        <v>367</v>
      </c>
      <c r="M139">
        <v>97</v>
      </c>
      <c r="N139" s="9">
        <f t="shared" si="34"/>
        <v>270</v>
      </c>
      <c r="O139" s="35">
        <v>142</v>
      </c>
      <c r="P139" s="35">
        <v>142</v>
      </c>
      <c r="Q139" s="35">
        <v>143</v>
      </c>
      <c r="S139" s="35">
        <v>219</v>
      </c>
      <c r="T139" s="35">
        <v>220</v>
      </c>
      <c r="U139" s="35">
        <v>220</v>
      </c>
      <c r="W139" s="36">
        <v>10.61</v>
      </c>
      <c r="X139" s="35">
        <v>10.64</v>
      </c>
      <c r="Y139" s="35">
        <v>10.58</v>
      </c>
      <c r="AA139" s="37">
        <v>29.13</v>
      </c>
      <c r="AB139" s="37">
        <v>29.55</v>
      </c>
      <c r="AC139" s="37">
        <v>29.34</v>
      </c>
      <c r="AE139" s="42">
        <v>36.86</v>
      </c>
      <c r="AF139" s="42">
        <v>36.979999999999997</v>
      </c>
      <c r="AG139" s="42">
        <v>36.5</v>
      </c>
      <c r="AI139" s="37">
        <v>60.64</v>
      </c>
      <c r="AJ139" s="37">
        <v>60.3</v>
      </c>
      <c r="AK139" s="37">
        <v>60.61</v>
      </c>
      <c r="AM139" s="37">
        <v>17.68</v>
      </c>
      <c r="AN139" s="37">
        <v>17.190000000000001</v>
      </c>
      <c r="AO139" s="37">
        <v>17.420000000000002</v>
      </c>
      <c r="AQ139" s="37">
        <v>23.02</v>
      </c>
      <c r="AR139" s="12">
        <v>22.82</v>
      </c>
      <c r="AS139" s="37">
        <v>22.9</v>
      </c>
      <c r="AU139" s="10" t="s">
        <v>296</v>
      </c>
      <c r="AW139" s="9">
        <v>0</v>
      </c>
      <c r="BD139" s="35">
        <v>47.68</v>
      </c>
      <c r="BE139" s="35">
        <v>47.66</v>
      </c>
      <c r="BF139" s="35">
        <v>47.31</v>
      </c>
      <c r="BH139" s="35">
        <v>34.799999999999997</v>
      </c>
      <c r="BI139" s="35">
        <v>34.72</v>
      </c>
      <c r="BJ139" s="35">
        <v>34.979999999999997</v>
      </c>
      <c r="BL139" s="35">
        <v>64.45</v>
      </c>
      <c r="BM139" s="35">
        <v>64.56</v>
      </c>
      <c r="BN139" s="35">
        <v>64.89</v>
      </c>
      <c r="BP139" t="s">
        <v>51</v>
      </c>
      <c r="BQ139" t="s">
        <v>51</v>
      </c>
      <c r="BR139" t="s">
        <v>52</v>
      </c>
      <c r="BS139" t="s">
        <v>51</v>
      </c>
    </row>
    <row r="140" spans="1:78" x14ac:dyDescent="0.25">
      <c r="A140" s="97" t="s">
        <v>302</v>
      </c>
      <c r="B140" t="s">
        <v>1893</v>
      </c>
      <c r="C140" t="s">
        <v>49</v>
      </c>
      <c r="D140" t="s">
        <v>208</v>
      </c>
      <c r="E140">
        <v>1906</v>
      </c>
      <c r="F140" s="5" t="s">
        <v>202</v>
      </c>
      <c r="G140" s="100">
        <v>43675</v>
      </c>
      <c r="H140" t="s">
        <v>1894</v>
      </c>
      <c r="J140" s="147">
        <v>1</v>
      </c>
      <c r="K140" s="10" t="s">
        <v>50</v>
      </c>
      <c r="L140">
        <v>498</v>
      </c>
      <c r="M140">
        <v>93</v>
      </c>
      <c r="N140" s="9">
        <f t="shared" si="34"/>
        <v>405</v>
      </c>
      <c r="O140" s="35">
        <v>165</v>
      </c>
      <c r="P140" s="35">
        <v>166</v>
      </c>
      <c r="Q140" s="35">
        <v>166</v>
      </c>
      <c r="S140" s="35">
        <v>230</v>
      </c>
      <c r="T140" s="35">
        <v>230</v>
      </c>
      <c r="U140" s="35">
        <v>231</v>
      </c>
      <c r="W140" s="36">
        <v>12.86</v>
      </c>
      <c r="X140" s="35">
        <v>12.72</v>
      </c>
      <c r="Y140" s="35">
        <v>12.49</v>
      </c>
      <c r="AA140" s="37">
        <v>31.87</v>
      </c>
      <c r="AB140" s="37">
        <v>31.66</v>
      </c>
      <c r="AC140" s="37">
        <v>31.63</v>
      </c>
      <c r="AE140" s="42">
        <v>41.84</v>
      </c>
      <c r="AF140" s="42">
        <v>41.46</v>
      </c>
      <c r="AG140" s="42">
        <v>41.32</v>
      </c>
      <c r="AI140" s="37">
        <v>65.7</v>
      </c>
      <c r="AJ140" s="37">
        <v>65.67</v>
      </c>
      <c r="AK140" s="37">
        <v>65.38</v>
      </c>
      <c r="AM140" s="37">
        <v>16.47</v>
      </c>
      <c r="AN140" s="37">
        <v>16.03</v>
      </c>
      <c r="AO140" s="37">
        <v>16.32</v>
      </c>
      <c r="AQ140" s="37">
        <v>22.48</v>
      </c>
      <c r="AR140" s="37">
        <v>22.38</v>
      </c>
      <c r="AS140" s="37">
        <v>22.23</v>
      </c>
      <c r="AU140" s="10" t="s">
        <v>296</v>
      </c>
      <c r="AW140" s="9">
        <v>0</v>
      </c>
      <c r="BD140" s="35">
        <v>52.24</v>
      </c>
      <c r="BE140" s="35">
        <v>52.06</v>
      </c>
      <c r="BF140" s="35">
        <v>52.14</v>
      </c>
      <c r="BH140" s="35">
        <v>37.53</v>
      </c>
      <c r="BI140" s="35">
        <v>37.770000000000003</v>
      </c>
      <c r="BJ140" s="35">
        <v>37.5</v>
      </c>
      <c r="BL140" s="35">
        <v>68.66</v>
      </c>
      <c r="BM140" s="35">
        <v>68.55</v>
      </c>
      <c r="BN140" s="35">
        <v>68.260000000000005</v>
      </c>
      <c r="BP140" t="s">
        <v>51</v>
      </c>
      <c r="BQ140" t="s">
        <v>51</v>
      </c>
      <c r="BR140" t="s">
        <v>52</v>
      </c>
      <c r="BS140" t="s">
        <v>51</v>
      </c>
    </row>
    <row r="141" spans="1:78" x14ac:dyDescent="0.25">
      <c r="A141" s="97" t="s">
        <v>302</v>
      </c>
      <c r="B141" t="s">
        <v>1896</v>
      </c>
      <c r="C141" t="s">
        <v>49</v>
      </c>
      <c r="D141" t="s">
        <v>208</v>
      </c>
      <c r="E141">
        <v>1907</v>
      </c>
      <c r="F141" s="5" t="s">
        <v>202</v>
      </c>
      <c r="G141" s="100">
        <v>43675</v>
      </c>
      <c r="H141" t="s">
        <v>1148</v>
      </c>
      <c r="J141" s="147">
        <v>1</v>
      </c>
      <c r="K141" s="10" t="s">
        <v>64</v>
      </c>
      <c r="L141">
        <v>417</v>
      </c>
      <c r="M141">
        <v>92</v>
      </c>
      <c r="N141" s="9">
        <f t="shared" si="34"/>
        <v>325</v>
      </c>
      <c r="O141" s="35">
        <v>145</v>
      </c>
      <c r="P141" s="35">
        <v>145</v>
      </c>
      <c r="Q141" s="35">
        <v>145</v>
      </c>
      <c r="S141" s="35">
        <v>234</v>
      </c>
      <c r="T141" s="35">
        <v>235</v>
      </c>
      <c r="U141" s="35">
        <v>235</v>
      </c>
      <c r="W141" s="36">
        <v>12.35</v>
      </c>
      <c r="X141" s="35">
        <v>12.45</v>
      </c>
      <c r="Y141" s="35">
        <v>12.43</v>
      </c>
      <c r="AA141" s="37">
        <v>29.36</v>
      </c>
      <c r="AB141" s="37">
        <v>29.26</v>
      </c>
      <c r="AC141" s="37">
        <v>29.28</v>
      </c>
      <c r="AE141" s="42">
        <v>38.35</v>
      </c>
      <c r="AF141" s="42">
        <v>38.159999999999997</v>
      </c>
      <c r="AG141" s="42">
        <v>38.200000000000003</v>
      </c>
      <c r="AI141" s="37">
        <v>61.23</v>
      </c>
      <c r="AJ141" s="37">
        <v>61.53</v>
      </c>
      <c r="AK141" s="37">
        <v>61.6</v>
      </c>
      <c r="AX141" s="10" t="s">
        <v>65</v>
      </c>
      <c r="AY141" s="9">
        <v>8</v>
      </c>
      <c r="AZ141">
        <v>8</v>
      </c>
      <c r="BA141">
        <v>0</v>
      </c>
      <c r="BD141" s="35">
        <v>46.67</v>
      </c>
      <c r="BE141" s="35">
        <v>46.18</v>
      </c>
      <c r="BF141" s="35">
        <v>46.27</v>
      </c>
      <c r="BH141" s="35">
        <v>34.51</v>
      </c>
      <c r="BI141" s="35">
        <v>34.71</v>
      </c>
      <c r="BJ141" s="35">
        <v>34.86</v>
      </c>
      <c r="BL141" s="35">
        <v>62.93</v>
      </c>
      <c r="BM141" s="35">
        <v>92.96</v>
      </c>
      <c r="BN141" s="35">
        <v>62.95</v>
      </c>
      <c r="BP141" t="s">
        <v>51</v>
      </c>
      <c r="BQ141" t="s">
        <v>51</v>
      </c>
      <c r="BR141" t="s">
        <v>52</v>
      </c>
      <c r="BS141" t="s">
        <v>51</v>
      </c>
    </row>
    <row r="142" spans="1:78" x14ac:dyDescent="0.25">
      <c r="A142" s="97" t="s">
        <v>302</v>
      </c>
      <c r="B142" t="s">
        <v>1895</v>
      </c>
      <c r="C142" t="s">
        <v>49</v>
      </c>
      <c r="D142" t="s">
        <v>208</v>
      </c>
      <c r="E142">
        <v>1908</v>
      </c>
      <c r="F142" s="5" t="s">
        <v>202</v>
      </c>
      <c r="G142" s="100">
        <v>43675</v>
      </c>
      <c r="H142" t="s">
        <v>1492</v>
      </c>
      <c r="J142" s="147">
        <v>1</v>
      </c>
      <c r="K142" s="10" t="s">
        <v>64</v>
      </c>
      <c r="L142">
        <v>373</v>
      </c>
      <c r="M142">
        <v>95</v>
      </c>
      <c r="N142" s="9">
        <f t="shared" si="34"/>
        <v>278</v>
      </c>
      <c r="O142" s="35">
        <v>139</v>
      </c>
      <c r="P142" s="35">
        <v>140</v>
      </c>
      <c r="Q142" s="35">
        <v>140</v>
      </c>
      <c r="S142" s="35">
        <v>220</v>
      </c>
      <c r="T142" s="35">
        <v>219</v>
      </c>
      <c r="U142" s="35">
        <v>219</v>
      </c>
      <c r="W142" s="36">
        <v>11.2</v>
      </c>
      <c r="X142" s="35">
        <v>11.38</v>
      </c>
      <c r="Y142" s="35">
        <v>11.29</v>
      </c>
      <c r="AA142" s="37">
        <v>28.78</v>
      </c>
      <c r="AB142" s="37">
        <v>28.49</v>
      </c>
      <c r="AC142" s="37">
        <v>28.63</v>
      </c>
      <c r="AE142" s="42">
        <v>37.979999999999997</v>
      </c>
      <c r="AF142" s="42">
        <v>37.950000000000003</v>
      </c>
      <c r="AG142" s="42">
        <v>37.96</v>
      </c>
      <c r="AI142" s="37">
        <v>59.6</v>
      </c>
      <c r="AJ142" s="37">
        <v>59.59</v>
      </c>
      <c r="AK142" s="37">
        <v>59.83</v>
      </c>
      <c r="AX142" s="10" t="s">
        <v>65</v>
      </c>
      <c r="AY142" s="9">
        <v>8</v>
      </c>
      <c r="AZ142">
        <v>0</v>
      </c>
      <c r="BA142">
        <v>0</v>
      </c>
      <c r="BD142" s="37">
        <v>45.93</v>
      </c>
      <c r="BE142" s="37">
        <v>45.56</v>
      </c>
      <c r="BF142" s="37">
        <v>45.9</v>
      </c>
      <c r="BH142" s="37">
        <v>33.1</v>
      </c>
      <c r="BI142" s="37">
        <v>33.06</v>
      </c>
      <c r="BJ142" s="37">
        <v>33.21</v>
      </c>
      <c r="BL142" s="37">
        <v>63.8</v>
      </c>
      <c r="BM142" s="37">
        <v>63.82</v>
      </c>
      <c r="BN142" s="37">
        <v>63.74</v>
      </c>
      <c r="BP142" t="s">
        <v>51</v>
      </c>
      <c r="BQ142" t="s">
        <v>51</v>
      </c>
      <c r="BR142" t="s">
        <v>52</v>
      </c>
      <c r="BS142" t="s">
        <v>52</v>
      </c>
    </row>
    <row r="143" spans="1:78" x14ac:dyDescent="0.25">
      <c r="A143" s="97" t="s">
        <v>302</v>
      </c>
      <c r="B143" t="s">
        <v>1897</v>
      </c>
      <c r="C143" t="s">
        <v>49</v>
      </c>
      <c r="D143" t="s">
        <v>208</v>
      </c>
      <c r="E143">
        <v>1909</v>
      </c>
      <c r="F143" s="5" t="s">
        <v>202</v>
      </c>
      <c r="G143" s="100">
        <v>43675</v>
      </c>
      <c r="H143" t="s">
        <v>1892</v>
      </c>
      <c r="J143" s="147">
        <v>1</v>
      </c>
      <c r="K143" s="10" t="s">
        <v>50</v>
      </c>
      <c r="L143">
        <v>411</v>
      </c>
      <c r="M143">
        <v>90</v>
      </c>
      <c r="N143" s="9">
        <f t="shared" si="34"/>
        <v>321</v>
      </c>
      <c r="O143" s="35">
        <v>150</v>
      </c>
      <c r="P143" s="35">
        <v>150</v>
      </c>
      <c r="Q143" s="35">
        <v>151</v>
      </c>
      <c r="S143" s="35">
        <v>220</v>
      </c>
      <c r="T143" s="35">
        <v>221</v>
      </c>
      <c r="U143" s="35">
        <v>221</v>
      </c>
      <c r="W143" s="36">
        <v>11.58</v>
      </c>
      <c r="X143" s="35">
        <v>11.55</v>
      </c>
      <c r="Y143" s="35">
        <v>11.78</v>
      </c>
      <c r="AA143" s="37">
        <v>29.26</v>
      </c>
      <c r="AB143" s="37">
        <v>29.38</v>
      </c>
      <c r="AC143" s="37">
        <v>29.73</v>
      </c>
      <c r="AE143" s="42">
        <v>36.24</v>
      </c>
      <c r="AF143" s="42">
        <v>36.28</v>
      </c>
      <c r="AG143" s="42">
        <v>36.380000000000003</v>
      </c>
      <c r="AI143" s="37">
        <v>60.05</v>
      </c>
      <c r="AJ143" s="37">
        <v>60.03</v>
      </c>
      <c r="AK143" s="37">
        <v>60.05</v>
      </c>
      <c r="AM143" s="37">
        <v>17.68</v>
      </c>
      <c r="AN143" s="37">
        <v>17.649999999999999</v>
      </c>
      <c r="AO143" s="37">
        <v>17.14</v>
      </c>
      <c r="AQ143" s="37">
        <v>22.48</v>
      </c>
      <c r="AR143" s="37">
        <v>22.75</v>
      </c>
      <c r="AS143" s="37">
        <v>22.46</v>
      </c>
      <c r="AU143" s="10" t="s">
        <v>296</v>
      </c>
      <c r="AW143" s="9">
        <v>0</v>
      </c>
      <c r="BD143" s="35">
        <v>47.53</v>
      </c>
      <c r="BE143" s="35">
        <v>47.49</v>
      </c>
      <c r="BF143" s="35">
        <v>47.38</v>
      </c>
      <c r="BH143" s="35">
        <v>34.630000000000003</v>
      </c>
      <c r="BI143" s="35">
        <v>34.32</v>
      </c>
      <c r="BJ143" s="35">
        <v>34.549999999999997</v>
      </c>
      <c r="BL143" s="35">
        <v>65.349999999999994</v>
      </c>
      <c r="BM143" s="35">
        <v>65.56</v>
      </c>
      <c r="BN143" s="35">
        <v>65.5</v>
      </c>
      <c r="BP143" t="s">
        <v>51</v>
      </c>
      <c r="BQ143" t="s">
        <v>51</v>
      </c>
      <c r="BR143" t="s">
        <v>52</v>
      </c>
      <c r="BS143" t="s">
        <v>51</v>
      </c>
    </row>
    <row r="144" spans="1:78" x14ac:dyDescent="0.25">
      <c r="A144" s="97" t="s">
        <v>302</v>
      </c>
      <c r="B144" t="s">
        <v>1901</v>
      </c>
      <c r="C144" s="97" t="s">
        <v>49</v>
      </c>
      <c r="D144" s="97" t="s">
        <v>208</v>
      </c>
      <c r="E144" s="35">
        <v>1910</v>
      </c>
      <c r="F144" s="279" t="s">
        <v>1900</v>
      </c>
      <c r="G144" s="100">
        <v>43676</v>
      </c>
      <c r="H144" s="280" t="s">
        <v>1890</v>
      </c>
      <c r="I144" s="281"/>
      <c r="J144" s="97">
        <v>1</v>
      </c>
      <c r="K144" s="97" t="s">
        <v>50</v>
      </c>
      <c r="L144" s="97">
        <v>584</v>
      </c>
      <c r="M144" s="97">
        <v>93</v>
      </c>
      <c r="N144">
        <f t="shared" ref="N144:N146" si="35">L144-M144</f>
        <v>491</v>
      </c>
      <c r="O144">
        <v>183</v>
      </c>
      <c r="P144">
        <v>183</v>
      </c>
      <c r="Q144">
        <v>182</v>
      </c>
      <c r="R144"/>
      <c r="S144">
        <v>235</v>
      </c>
      <c r="T144">
        <v>235</v>
      </c>
      <c r="U144">
        <v>235</v>
      </c>
      <c r="V144" s="36"/>
      <c r="W144" s="36">
        <v>12.88</v>
      </c>
      <c r="X144" s="36">
        <v>12.91</v>
      </c>
      <c r="Y144" s="36">
        <v>13.06</v>
      </c>
      <c r="Z144" s="36"/>
      <c r="AA144" s="36">
        <v>31.4</v>
      </c>
      <c r="AB144" s="36">
        <v>31.92</v>
      </c>
      <c r="AC144" s="36">
        <v>31.79</v>
      </c>
      <c r="AD144" s="36"/>
      <c r="AE144" s="36">
        <v>42.07</v>
      </c>
      <c r="AF144" s="36">
        <v>42.17</v>
      </c>
      <c r="AG144" s="36">
        <v>42.29</v>
      </c>
      <c r="AH144" s="36"/>
      <c r="AI144" s="36">
        <v>67.58</v>
      </c>
      <c r="AJ144" s="36">
        <v>67.8</v>
      </c>
      <c r="AK144" s="36">
        <f t="shared" ref="AK144" si="36">AVERAGE(AH144:AJ144)</f>
        <v>67.69</v>
      </c>
      <c r="AM144" s="36">
        <v>16.5</v>
      </c>
      <c r="AN144" s="36">
        <v>16.73</v>
      </c>
      <c r="AO144" s="36">
        <v>16.7</v>
      </c>
      <c r="AP144"/>
      <c r="AQ144" s="36">
        <v>23.12</v>
      </c>
      <c r="AR144" s="36">
        <v>23.59</v>
      </c>
      <c r="AS144" s="36">
        <v>23.63</v>
      </c>
      <c r="AU144" s="10" t="s">
        <v>296</v>
      </c>
      <c r="AW144" s="9">
        <v>0</v>
      </c>
      <c r="BD144" s="36">
        <v>53.9</v>
      </c>
      <c r="BE144" s="36">
        <v>53.98</v>
      </c>
      <c r="BF144" s="36">
        <v>53.79</v>
      </c>
      <c r="BG144" s="36">
        <f>AVERAGE(BD144:BF144)</f>
        <v>53.889999999999993</v>
      </c>
      <c r="BH144" s="36">
        <v>39.520000000000003</v>
      </c>
      <c r="BI144" s="36">
        <v>39.49</v>
      </c>
      <c r="BJ144" s="36">
        <v>39.46</v>
      </c>
      <c r="BK144" s="36">
        <f>AVERAGE(BH144:BJ144)</f>
        <v>39.49</v>
      </c>
      <c r="BL144" s="36">
        <v>67.7</v>
      </c>
      <c r="BM144" s="36">
        <v>67.92</v>
      </c>
      <c r="BN144" s="36">
        <v>67.5</v>
      </c>
      <c r="BO144" s="36">
        <f t="shared" ref="BO144" si="37">AVERAGE(BL144:BN144)</f>
        <v>67.706666666666663</v>
      </c>
      <c r="BP144" t="s">
        <v>51</v>
      </c>
      <c r="BQ144" s="97" t="s">
        <v>51</v>
      </c>
      <c r="BR144" s="97" t="s">
        <v>52</v>
      </c>
      <c r="BS144" t="s">
        <v>51</v>
      </c>
    </row>
    <row r="145" spans="1:71" x14ac:dyDescent="0.25">
      <c r="A145" s="97" t="s">
        <v>302</v>
      </c>
      <c r="B145" t="s">
        <v>1465</v>
      </c>
      <c r="C145" t="s">
        <v>49</v>
      </c>
      <c r="D145" t="s">
        <v>208</v>
      </c>
      <c r="E145" s="35">
        <v>1652</v>
      </c>
      <c r="F145" s="5" t="s">
        <v>202</v>
      </c>
      <c r="G145" s="100">
        <v>43677</v>
      </c>
      <c r="H145" t="s">
        <v>1892</v>
      </c>
      <c r="J145" s="147">
        <v>2</v>
      </c>
      <c r="K145" s="10" t="s">
        <v>64</v>
      </c>
      <c r="L145">
        <v>444</v>
      </c>
      <c r="M145">
        <v>94</v>
      </c>
      <c r="N145" s="9">
        <f t="shared" si="35"/>
        <v>350</v>
      </c>
      <c r="O145">
        <v>171</v>
      </c>
      <c r="P145">
        <v>171</v>
      </c>
      <c r="Q145">
        <v>170</v>
      </c>
      <c r="S145">
        <v>215</v>
      </c>
      <c r="T145">
        <v>215</v>
      </c>
      <c r="U145">
        <v>214</v>
      </c>
      <c r="W145" s="36">
        <v>12.62</v>
      </c>
      <c r="X145" s="35">
        <v>12.67</v>
      </c>
      <c r="Y145" s="35">
        <v>12.23</v>
      </c>
      <c r="AA145" s="37">
        <v>28.6</v>
      </c>
      <c r="AB145" s="36">
        <v>28.8</v>
      </c>
      <c r="AC145" s="36">
        <v>28.75</v>
      </c>
      <c r="AE145" s="42">
        <v>37.229999999999997</v>
      </c>
      <c r="AF145" s="42">
        <v>37.74</v>
      </c>
      <c r="AG145" s="42">
        <v>37.79</v>
      </c>
      <c r="AI145" s="37">
        <v>58.74</v>
      </c>
      <c r="AJ145" s="36">
        <v>58.72</v>
      </c>
      <c r="AK145" s="36">
        <v>58.77</v>
      </c>
      <c r="AX145" s="10" t="s">
        <v>65</v>
      </c>
      <c r="AY145" s="9">
        <v>8</v>
      </c>
      <c r="AZ145">
        <v>8</v>
      </c>
      <c r="BA145">
        <v>0</v>
      </c>
      <c r="BD145" s="35">
        <v>47.28</v>
      </c>
      <c r="BE145" s="35">
        <v>47.11</v>
      </c>
      <c r="BF145" s="35">
        <v>47.09</v>
      </c>
      <c r="BH145" s="35">
        <v>35.18</v>
      </c>
      <c r="BI145" s="35">
        <v>35.549999999999997</v>
      </c>
      <c r="BJ145" s="35">
        <v>35.22</v>
      </c>
      <c r="BL145" s="35">
        <v>62.79</v>
      </c>
      <c r="BM145" s="35">
        <v>62.45</v>
      </c>
      <c r="BN145" s="35">
        <v>62.77</v>
      </c>
      <c r="BP145" t="s">
        <v>52</v>
      </c>
      <c r="BQ145" t="s">
        <v>51</v>
      </c>
      <c r="BR145" t="s">
        <v>52</v>
      </c>
      <c r="BS145" t="s">
        <v>52</v>
      </c>
    </row>
    <row r="146" spans="1:71" x14ac:dyDescent="0.25">
      <c r="A146" s="97" t="s">
        <v>302</v>
      </c>
      <c r="B146" t="s">
        <v>1904</v>
      </c>
      <c r="C146" t="s">
        <v>49</v>
      </c>
      <c r="D146" t="s">
        <v>208</v>
      </c>
      <c r="E146" s="35">
        <v>1919</v>
      </c>
      <c r="F146" s="5" t="s">
        <v>202</v>
      </c>
      <c r="G146" s="100">
        <v>43677</v>
      </c>
      <c r="H146" t="s">
        <v>1894</v>
      </c>
      <c r="J146" s="147">
        <v>1</v>
      </c>
      <c r="K146" s="10" t="s">
        <v>50</v>
      </c>
      <c r="L146">
        <v>554</v>
      </c>
      <c r="M146">
        <v>94</v>
      </c>
      <c r="N146" s="9">
        <f t="shared" si="35"/>
        <v>460</v>
      </c>
      <c r="O146">
        <v>176</v>
      </c>
      <c r="P146">
        <v>177</v>
      </c>
      <c r="Q146">
        <v>177</v>
      </c>
      <c r="S146">
        <v>246</v>
      </c>
      <c r="T146">
        <v>245</v>
      </c>
      <c r="U146">
        <v>245</v>
      </c>
      <c r="W146" s="36">
        <v>14.45</v>
      </c>
      <c r="X146" s="35">
        <v>14.08</v>
      </c>
      <c r="Y146" s="35">
        <v>14.49</v>
      </c>
      <c r="AA146" s="37">
        <v>32.86</v>
      </c>
      <c r="AB146" s="36">
        <v>32.72</v>
      </c>
      <c r="AC146" s="36">
        <v>32.659999999999997</v>
      </c>
      <c r="AE146" s="42">
        <v>41.57</v>
      </c>
      <c r="AF146" s="42">
        <v>41.47</v>
      </c>
      <c r="AG146" s="42">
        <v>41.34</v>
      </c>
      <c r="AI146" s="37">
        <v>65.63</v>
      </c>
      <c r="AJ146" s="36">
        <v>65.87</v>
      </c>
      <c r="AK146" s="36">
        <v>65.94</v>
      </c>
      <c r="AM146" s="37">
        <v>16.27</v>
      </c>
      <c r="AN146" s="37">
        <v>16.53</v>
      </c>
      <c r="AO146" s="37">
        <v>16.73</v>
      </c>
      <c r="AQ146" s="37">
        <v>24.52</v>
      </c>
      <c r="AR146" s="37">
        <v>24.11</v>
      </c>
      <c r="AS146" s="37">
        <v>24.08</v>
      </c>
      <c r="AU146" s="10" t="s">
        <v>296</v>
      </c>
      <c r="AW146" s="9">
        <v>0</v>
      </c>
      <c r="BD146" s="36">
        <v>52.77</v>
      </c>
      <c r="BE146" s="36">
        <v>52.7</v>
      </c>
      <c r="BF146" s="36">
        <v>52.67</v>
      </c>
      <c r="BH146" s="37">
        <v>40.44</v>
      </c>
      <c r="BI146" s="36">
        <v>40.31</v>
      </c>
      <c r="BJ146" s="36">
        <v>40.39</v>
      </c>
      <c r="BL146" s="37">
        <v>68.489999999999995</v>
      </c>
      <c r="BM146" s="36">
        <v>68.540000000000006</v>
      </c>
      <c r="BN146" s="36">
        <v>68.81</v>
      </c>
      <c r="BP146" t="s">
        <v>51</v>
      </c>
      <c r="BQ146" t="s">
        <v>51</v>
      </c>
      <c r="BR146" t="s">
        <v>52</v>
      </c>
    </row>
  </sheetData>
  <mergeCells count="13">
    <mergeCell ref="AI1:AL1"/>
    <mergeCell ref="L1:N1"/>
    <mergeCell ref="O1:R1"/>
    <mergeCell ref="S1:V1"/>
    <mergeCell ref="W1:Z1"/>
    <mergeCell ref="AA1:AD1"/>
    <mergeCell ref="BU1:BY1"/>
    <mergeCell ref="AM1:AT1"/>
    <mergeCell ref="AX1:BA1"/>
    <mergeCell ref="BD1:BG1"/>
    <mergeCell ref="BH1:BK1"/>
    <mergeCell ref="BL1:BO1"/>
    <mergeCell ref="BP1:BT1"/>
  </mergeCells>
  <phoneticPr fontId="15" type="noConversion"/>
  <pageMargins left="0.7" right="0.7" top="0.75" bottom="0.75" header="0.3" footer="0.3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tabSelected="1" workbookViewId="0">
      <selection activeCell="A18" sqref="A18"/>
    </sheetView>
  </sheetViews>
  <sheetFormatPr defaultRowHeight="15.75" x14ac:dyDescent="0.25"/>
  <cols>
    <col min="1" max="1" width="9.875" bestFit="1" customWidth="1"/>
    <col min="4" max="4" width="10.375" bestFit="1" customWidth="1"/>
    <col min="5" max="5" width="11" bestFit="1" customWidth="1"/>
    <col min="7" max="7" width="10.375" bestFit="1" customWidth="1"/>
    <col min="8" max="8" width="10" bestFit="1" customWidth="1"/>
    <col min="9" max="9" width="12.375" bestFit="1" customWidth="1"/>
    <col min="10" max="10" width="10.375" bestFit="1" customWidth="1"/>
    <col min="12" max="12" width="10.375" bestFit="1" customWidth="1"/>
    <col min="13" max="13" width="12.625" bestFit="1" customWidth="1"/>
    <col min="14" max="14" width="10" customWidth="1"/>
    <col min="15" max="15" width="10.375" bestFit="1" customWidth="1"/>
    <col min="16" max="16" width="12.625" customWidth="1"/>
    <col min="17" max="17" width="10.375" bestFit="1" customWidth="1"/>
    <col min="18" max="18" width="12" bestFit="1" customWidth="1"/>
    <col min="20" max="20" width="12" bestFit="1" customWidth="1"/>
    <col min="21" max="22" width="12" customWidth="1"/>
    <col min="23" max="23" width="53.875" customWidth="1"/>
  </cols>
  <sheetData>
    <row r="1" spans="1:23" x14ac:dyDescent="0.25">
      <c r="A1" s="30" t="s">
        <v>1656</v>
      </c>
      <c r="B1" s="30" t="s">
        <v>1657</v>
      </c>
      <c r="C1" s="30" t="s">
        <v>1922</v>
      </c>
      <c r="D1" s="30" t="s">
        <v>1919</v>
      </c>
      <c r="E1" s="30" t="s">
        <v>1822</v>
      </c>
      <c r="F1" s="30" t="s">
        <v>1819</v>
      </c>
      <c r="G1" s="30" t="s">
        <v>1815</v>
      </c>
      <c r="H1" s="30" t="s">
        <v>1827</v>
      </c>
      <c r="I1" s="30" t="s">
        <v>1920</v>
      </c>
      <c r="J1" s="30" t="s">
        <v>1823</v>
      </c>
      <c r="K1" s="30" t="s">
        <v>1820</v>
      </c>
      <c r="L1" s="30" t="s">
        <v>1814</v>
      </c>
      <c r="M1" s="30" t="s">
        <v>1816</v>
      </c>
      <c r="N1" s="30" t="s">
        <v>1921</v>
      </c>
      <c r="O1" s="30" t="s">
        <v>1824</v>
      </c>
      <c r="P1" s="30" t="s">
        <v>1821</v>
      </c>
      <c r="Q1" s="30" t="s">
        <v>1817</v>
      </c>
      <c r="R1" s="30" t="s">
        <v>1818</v>
      </c>
      <c r="S1" s="30" t="s">
        <v>1812</v>
      </c>
      <c r="T1" s="30" t="s">
        <v>1813</v>
      </c>
      <c r="U1" s="30" t="s">
        <v>1859</v>
      </c>
      <c r="V1" s="30" t="s">
        <v>1940</v>
      </c>
      <c r="W1" s="30" t="s">
        <v>1825</v>
      </c>
    </row>
    <row r="2" spans="1:23" x14ac:dyDescent="0.25">
      <c r="A2" t="s">
        <v>1629</v>
      </c>
      <c r="B2" t="s">
        <v>1611</v>
      </c>
      <c r="C2" t="s">
        <v>51</v>
      </c>
      <c r="D2" s="100">
        <v>43671</v>
      </c>
      <c r="E2" s="100">
        <v>43662</v>
      </c>
      <c r="F2" s="278">
        <v>0.70833333333333337</v>
      </c>
      <c r="G2" s="100">
        <v>43671</v>
      </c>
      <c r="H2" s="278">
        <v>0.28055555555555556</v>
      </c>
      <c r="I2" s="278" t="s">
        <v>1252</v>
      </c>
      <c r="J2" s="100"/>
      <c r="K2" s="278"/>
      <c r="N2" s="278"/>
      <c r="O2" s="100"/>
      <c r="S2">
        <v>384</v>
      </c>
      <c r="T2" t="s">
        <v>1913</v>
      </c>
      <c r="W2" t="s">
        <v>1836</v>
      </c>
    </row>
    <row r="3" spans="1:23" x14ac:dyDescent="0.25">
      <c r="A3" t="s">
        <v>1644</v>
      </c>
      <c r="B3" t="s">
        <v>1431</v>
      </c>
      <c r="C3" t="s">
        <v>52</v>
      </c>
      <c r="E3" s="100">
        <v>43663</v>
      </c>
      <c r="F3" s="278">
        <v>0.73888888888888893</v>
      </c>
      <c r="J3" s="100"/>
      <c r="K3" s="278"/>
      <c r="O3" s="100"/>
      <c r="S3">
        <v>542</v>
      </c>
      <c r="T3" t="s">
        <v>1913</v>
      </c>
    </row>
    <row r="4" spans="1:23" x14ac:dyDescent="0.25">
      <c r="A4" t="s">
        <v>1299</v>
      </c>
      <c r="B4" t="s">
        <v>1302</v>
      </c>
      <c r="C4" t="s">
        <v>52</v>
      </c>
      <c r="D4" s="100">
        <v>43664</v>
      </c>
      <c r="E4" s="100">
        <v>43664</v>
      </c>
      <c r="F4" s="278">
        <v>0.70763888888888893</v>
      </c>
      <c r="G4" s="100">
        <v>43669</v>
      </c>
      <c r="H4" t="s">
        <v>202</v>
      </c>
      <c r="I4" t="s">
        <v>1264</v>
      </c>
      <c r="J4" s="100">
        <v>43669</v>
      </c>
      <c r="K4" t="s">
        <v>202</v>
      </c>
      <c r="O4" s="100"/>
      <c r="S4">
        <v>365</v>
      </c>
      <c r="T4">
        <v>348</v>
      </c>
      <c r="W4" t="s">
        <v>1865</v>
      </c>
    </row>
    <row r="5" spans="1:23" x14ac:dyDescent="0.25">
      <c r="A5" t="s">
        <v>1294</v>
      </c>
      <c r="B5" t="s">
        <v>1649</v>
      </c>
      <c r="C5" t="s">
        <v>52</v>
      </c>
      <c r="D5" s="100">
        <v>43664</v>
      </c>
      <c r="E5" s="100">
        <v>43664</v>
      </c>
      <c r="F5" s="278">
        <v>0.70972222222222225</v>
      </c>
      <c r="G5" s="100">
        <v>43669</v>
      </c>
      <c r="H5" t="s">
        <v>202</v>
      </c>
      <c r="I5" t="s">
        <v>1264</v>
      </c>
      <c r="J5" s="100">
        <v>43669</v>
      </c>
      <c r="K5" t="s">
        <v>202</v>
      </c>
      <c r="N5" t="s">
        <v>1264</v>
      </c>
      <c r="O5" s="100"/>
      <c r="S5">
        <v>388</v>
      </c>
      <c r="T5">
        <v>348</v>
      </c>
      <c r="W5" t="s">
        <v>1865</v>
      </c>
    </row>
    <row r="6" spans="1:23" x14ac:dyDescent="0.25">
      <c r="A6" t="s">
        <v>1651</v>
      </c>
      <c r="B6" t="s">
        <v>1650</v>
      </c>
      <c r="C6" t="s">
        <v>52</v>
      </c>
      <c r="D6" s="100">
        <v>43664</v>
      </c>
      <c r="E6" s="100">
        <v>43664</v>
      </c>
      <c r="F6" s="278">
        <v>0.70416666666666661</v>
      </c>
      <c r="G6" s="100">
        <v>43669</v>
      </c>
      <c r="H6" t="s">
        <v>202</v>
      </c>
      <c r="I6" t="s">
        <v>1264</v>
      </c>
      <c r="J6" s="100">
        <v>43669</v>
      </c>
      <c r="K6" t="s">
        <v>202</v>
      </c>
      <c r="N6" t="s">
        <v>1264</v>
      </c>
      <c r="O6" s="100"/>
      <c r="S6">
        <v>424</v>
      </c>
      <c r="T6">
        <v>383</v>
      </c>
      <c r="W6" t="s">
        <v>1866</v>
      </c>
    </row>
    <row r="7" spans="1:23" x14ac:dyDescent="0.25">
      <c r="A7" t="s">
        <v>1653</v>
      </c>
      <c r="B7" t="s">
        <v>1648</v>
      </c>
      <c r="C7" t="s">
        <v>52</v>
      </c>
      <c r="D7" s="100">
        <v>43664</v>
      </c>
      <c r="E7" s="100">
        <v>43664</v>
      </c>
      <c r="F7" s="278">
        <v>0.70138888888888884</v>
      </c>
      <c r="G7" s="100">
        <v>43669</v>
      </c>
      <c r="H7" t="s">
        <v>202</v>
      </c>
      <c r="I7" t="s">
        <v>1264</v>
      </c>
      <c r="J7" s="100">
        <v>43669</v>
      </c>
      <c r="K7" t="s">
        <v>202</v>
      </c>
      <c r="N7" t="s">
        <v>1264</v>
      </c>
      <c r="O7" s="100"/>
      <c r="S7">
        <v>626</v>
      </c>
      <c r="T7">
        <v>577</v>
      </c>
      <c r="U7">
        <v>545</v>
      </c>
      <c r="W7" t="s">
        <v>1858</v>
      </c>
    </row>
    <row r="8" spans="1:23" x14ac:dyDescent="0.25">
      <c r="A8" t="s">
        <v>1800</v>
      </c>
      <c r="B8" t="s">
        <v>1615</v>
      </c>
      <c r="C8" t="s">
        <v>52</v>
      </c>
      <c r="D8" s="100">
        <v>43667</v>
      </c>
      <c r="E8" s="100">
        <v>43667</v>
      </c>
      <c r="F8" s="278">
        <v>0.50555555555555554</v>
      </c>
      <c r="G8" s="100">
        <v>43668</v>
      </c>
      <c r="I8" t="s">
        <v>1252</v>
      </c>
      <c r="J8" s="100">
        <v>43668</v>
      </c>
      <c r="K8" s="278">
        <v>0.70833333333333337</v>
      </c>
      <c r="L8" s="100">
        <v>43669</v>
      </c>
      <c r="M8" s="278">
        <v>0.3298611111111111</v>
      </c>
      <c r="N8" t="s">
        <v>1264</v>
      </c>
      <c r="O8" s="100">
        <v>43669</v>
      </c>
      <c r="P8" s="278" t="s">
        <v>202</v>
      </c>
      <c r="Q8" s="100"/>
      <c r="S8">
        <v>535</v>
      </c>
      <c r="T8">
        <v>509</v>
      </c>
    </row>
    <row r="9" spans="1:23" x14ac:dyDescent="0.25">
      <c r="A9" t="s">
        <v>1802</v>
      </c>
      <c r="B9" t="s">
        <v>1801</v>
      </c>
      <c r="C9" t="s">
        <v>51</v>
      </c>
      <c r="D9" s="100">
        <v>43668</v>
      </c>
      <c r="E9" s="100">
        <v>43668</v>
      </c>
      <c r="F9" s="278">
        <v>0.72152777777777777</v>
      </c>
      <c r="G9" s="100">
        <v>43669</v>
      </c>
      <c r="J9" s="100">
        <v>43669</v>
      </c>
      <c r="K9" s="278"/>
      <c r="O9" s="100"/>
      <c r="S9">
        <v>471</v>
      </c>
      <c r="T9">
        <v>430</v>
      </c>
    </row>
    <row r="10" spans="1:23" x14ac:dyDescent="0.25">
      <c r="A10" t="s">
        <v>1803</v>
      </c>
      <c r="B10" t="s">
        <v>1648</v>
      </c>
      <c r="C10" t="s">
        <v>52</v>
      </c>
      <c r="D10" s="100">
        <v>43669</v>
      </c>
      <c r="E10" s="100">
        <v>43669</v>
      </c>
      <c r="F10" t="s">
        <v>1913</v>
      </c>
      <c r="G10" s="100" t="s">
        <v>1913</v>
      </c>
      <c r="S10">
        <v>463</v>
      </c>
      <c r="T10" t="s">
        <v>1913</v>
      </c>
      <c r="W10" t="s">
        <v>1826</v>
      </c>
    </row>
    <row r="11" spans="1:23" x14ac:dyDescent="0.25">
      <c r="A11" t="s">
        <v>1397</v>
      </c>
      <c r="B11" t="s">
        <v>1857</v>
      </c>
      <c r="C11" t="s">
        <v>51</v>
      </c>
      <c r="D11" s="100">
        <v>43672</v>
      </c>
      <c r="E11" s="100">
        <v>43672</v>
      </c>
      <c r="F11" s="278">
        <v>0.76111111111111107</v>
      </c>
      <c r="G11" s="100">
        <v>43673</v>
      </c>
      <c r="H11" s="278">
        <v>0.33333333333333331</v>
      </c>
      <c r="I11" s="278" t="s">
        <v>1252</v>
      </c>
      <c r="J11" s="100">
        <v>43673</v>
      </c>
      <c r="N11" s="278" t="s">
        <v>1252</v>
      </c>
      <c r="S11">
        <v>460</v>
      </c>
      <c r="T11">
        <v>424</v>
      </c>
    </row>
    <row r="12" spans="1:23" x14ac:dyDescent="0.25">
      <c r="A12" t="s">
        <v>1843</v>
      </c>
      <c r="B12" t="s">
        <v>1842</v>
      </c>
      <c r="C12" t="s">
        <v>51</v>
      </c>
      <c r="D12" s="100">
        <v>43671</v>
      </c>
      <c r="E12" s="100">
        <v>43671</v>
      </c>
      <c r="G12" s="100">
        <v>43672</v>
      </c>
      <c r="I12" t="s">
        <v>1252</v>
      </c>
      <c r="J12" s="100">
        <v>43673</v>
      </c>
      <c r="K12" s="278">
        <v>0.74375000000000002</v>
      </c>
      <c r="N12" t="s">
        <v>1252</v>
      </c>
      <c r="S12">
        <v>647</v>
      </c>
      <c r="T12" t="s">
        <v>1913</v>
      </c>
      <c r="U12">
        <v>574</v>
      </c>
    </row>
    <row r="13" spans="1:23" x14ac:dyDescent="0.25">
      <c r="A13" t="s">
        <v>1893</v>
      </c>
      <c r="B13" t="s">
        <v>1894</v>
      </c>
      <c r="C13" t="s">
        <v>51</v>
      </c>
      <c r="D13" s="100">
        <v>43675</v>
      </c>
      <c r="E13" s="100">
        <v>43675</v>
      </c>
      <c r="G13" s="100">
        <v>43678</v>
      </c>
      <c r="I13" t="s">
        <v>1264</v>
      </c>
      <c r="N13" t="s">
        <v>1264</v>
      </c>
      <c r="S13" s="9">
        <v>405</v>
      </c>
      <c r="T13">
        <v>353</v>
      </c>
    </row>
    <row r="14" spans="1:23" x14ac:dyDescent="0.25">
      <c r="A14" t="s">
        <v>1902</v>
      </c>
      <c r="B14" t="s">
        <v>227</v>
      </c>
      <c r="C14" t="s">
        <v>51</v>
      </c>
      <c r="D14" s="100">
        <v>43676</v>
      </c>
      <c r="E14" s="100">
        <v>43676</v>
      </c>
      <c r="F14" s="278">
        <v>0.76041666666666663</v>
      </c>
      <c r="G14" s="100">
        <v>43679</v>
      </c>
      <c r="I14" t="s">
        <v>1264</v>
      </c>
      <c r="N14" t="s">
        <v>1264</v>
      </c>
      <c r="S14">
        <v>605</v>
      </c>
    </row>
    <row r="15" spans="1:23" x14ac:dyDescent="0.25">
      <c r="A15" t="s">
        <v>1903</v>
      </c>
      <c r="B15" t="s">
        <v>219</v>
      </c>
      <c r="C15" t="s">
        <v>51</v>
      </c>
      <c r="D15" s="100">
        <v>43676</v>
      </c>
      <c r="E15" s="100">
        <v>43676</v>
      </c>
      <c r="F15" s="278">
        <v>0.76458333333333339</v>
      </c>
      <c r="G15" s="100">
        <v>43678</v>
      </c>
      <c r="I15" t="s">
        <v>1252</v>
      </c>
      <c r="J15" s="100">
        <v>43678</v>
      </c>
      <c r="N15" t="s">
        <v>1252</v>
      </c>
      <c r="S15">
        <v>617</v>
      </c>
      <c r="T15">
        <v>537</v>
      </c>
    </row>
    <row r="16" spans="1:23" x14ac:dyDescent="0.25">
      <c r="A16" t="s">
        <v>1901</v>
      </c>
      <c r="B16" t="s">
        <v>1890</v>
      </c>
      <c r="C16" t="s">
        <v>51</v>
      </c>
      <c r="D16" s="100">
        <v>43676</v>
      </c>
      <c r="E16" s="100">
        <v>43676</v>
      </c>
      <c r="F16" s="278">
        <v>0.72986111111111107</v>
      </c>
      <c r="G16" s="100">
        <v>43682</v>
      </c>
      <c r="H16" s="278">
        <v>0.29930555555555555</v>
      </c>
      <c r="I16" t="s">
        <v>1264</v>
      </c>
      <c r="S16">
        <v>491</v>
      </c>
      <c r="T16">
        <v>423</v>
      </c>
    </row>
    <row r="17" spans="1:22" x14ac:dyDescent="0.25">
      <c r="A17" t="s">
        <v>1911</v>
      </c>
      <c r="B17" t="s">
        <v>80</v>
      </c>
      <c r="C17" t="s">
        <v>51</v>
      </c>
      <c r="D17" s="100">
        <v>43677</v>
      </c>
      <c r="E17" s="100">
        <v>43677</v>
      </c>
      <c r="F17" s="278">
        <v>0.67638888888888893</v>
      </c>
      <c r="G17" s="100">
        <v>43680</v>
      </c>
      <c r="I17" t="s">
        <v>1252</v>
      </c>
      <c r="S17">
        <v>390</v>
      </c>
    </row>
    <row r="18" spans="1:22" x14ac:dyDescent="0.25">
      <c r="A18" t="s">
        <v>1465</v>
      </c>
      <c r="B18" t="s">
        <v>1892</v>
      </c>
      <c r="C18" t="s">
        <v>51</v>
      </c>
      <c r="D18" s="100">
        <v>43677</v>
      </c>
      <c r="E18" s="100">
        <v>43677</v>
      </c>
      <c r="F18" t="s">
        <v>1913</v>
      </c>
      <c r="G18" s="100" t="s">
        <v>1913</v>
      </c>
      <c r="S18" s="9">
        <v>350</v>
      </c>
    </row>
    <row r="19" spans="1:22" x14ac:dyDescent="0.25">
      <c r="A19" t="s">
        <v>1917</v>
      </c>
      <c r="B19" t="s">
        <v>55</v>
      </c>
      <c r="C19" t="s">
        <v>51</v>
      </c>
      <c r="D19" s="100">
        <v>43678</v>
      </c>
      <c r="E19" s="100">
        <v>43678</v>
      </c>
      <c r="F19" s="278">
        <v>0.7416666666666667</v>
      </c>
      <c r="G19" s="100">
        <v>43679</v>
      </c>
      <c r="H19" s="278">
        <v>0.34375</v>
      </c>
      <c r="I19" t="s">
        <v>1252</v>
      </c>
      <c r="J19" s="100">
        <v>43679</v>
      </c>
      <c r="K19" s="278">
        <v>0.65902777777777777</v>
      </c>
      <c r="L19" s="100">
        <v>43682</v>
      </c>
      <c r="M19" s="278">
        <v>0.3263888888888889</v>
      </c>
      <c r="N19" t="s">
        <v>1252</v>
      </c>
      <c r="O19" s="100">
        <v>43682</v>
      </c>
      <c r="P19" s="278">
        <v>0.67569444444444438</v>
      </c>
      <c r="Q19" s="100">
        <v>43684</v>
      </c>
      <c r="R19" s="278">
        <v>0.29166666666666669</v>
      </c>
      <c r="S19" s="35">
        <v>662</v>
      </c>
      <c r="T19">
        <v>640</v>
      </c>
      <c r="U19">
        <f>735-93-17</f>
        <v>625</v>
      </c>
      <c r="V19">
        <v>603</v>
      </c>
    </row>
    <row r="20" spans="1:22" x14ac:dyDescent="0.25">
      <c r="A20" t="s">
        <v>1918</v>
      </c>
      <c r="B20" t="s">
        <v>606</v>
      </c>
      <c r="C20" t="s">
        <v>51</v>
      </c>
      <c r="D20" s="100">
        <v>43678</v>
      </c>
      <c r="E20" s="100">
        <v>43678</v>
      </c>
      <c r="F20" s="278">
        <v>0.74722222222222223</v>
      </c>
      <c r="G20" s="100">
        <v>43680</v>
      </c>
      <c r="H20" s="278">
        <v>0.3520833333333333</v>
      </c>
      <c r="I20" t="s">
        <v>1252</v>
      </c>
      <c r="J20" s="100">
        <v>43680</v>
      </c>
      <c r="K20" s="278">
        <v>0.74305555555555547</v>
      </c>
      <c r="L20" s="100">
        <v>43682</v>
      </c>
      <c r="M20" s="278">
        <v>0.34027777777777773</v>
      </c>
      <c r="N20" t="s">
        <v>1252</v>
      </c>
      <c r="O20" s="100">
        <v>43682</v>
      </c>
      <c r="P20" s="278">
        <v>0.67638888888888893</v>
      </c>
      <c r="Q20" s="100">
        <v>43685</v>
      </c>
      <c r="R20" s="278">
        <v>0.3125</v>
      </c>
      <c r="S20" s="35">
        <v>428</v>
      </c>
      <c r="T20">
        <v>399</v>
      </c>
      <c r="U20">
        <f>499-95-15</f>
        <v>389</v>
      </c>
      <c r="V20">
        <v>370</v>
      </c>
    </row>
    <row r="21" spans="1:22" x14ac:dyDescent="0.25">
      <c r="A21" t="s">
        <v>1935</v>
      </c>
      <c r="B21" t="s">
        <v>90</v>
      </c>
      <c r="C21" t="s">
        <v>51</v>
      </c>
      <c r="D21" s="100">
        <v>43680</v>
      </c>
      <c r="E21" s="100">
        <v>43680</v>
      </c>
      <c r="F21" s="278">
        <v>0.65208333333333335</v>
      </c>
      <c r="S21">
        <v>517</v>
      </c>
    </row>
    <row r="22" spans="1:22" x14ac:dyDescent="0.25">
      <c r="A22" t="s">
        <v>1936</v>
      </c>
      <c r="B22" t="s">
        <v>630</v>
      </c>
      <c r="C22" t="s">
        <v>51</v>
      </c>
      <c r="D22" s="100">
        <v>43682</v>
      </c>
      <c r="E22" s="100">
        <v>43682</v>
      </c>
      <c r="F22" s="278">
        <v>0.6777777777777777</v>
      </c>
      <c r="G22" s="100">
        <v>43685</v>
      </c>
      <c r="H22" s="278">
        <v>0.33333333333333331</v>
      </c>
      <c r="I22" t="s">
        <v>1252</v>
      </c>
      <c r="S22">
        <v>342</v>
      </c>
      <c r="T22">
        <v>324</v>
      </c>
    </row>
    <row r="23" spans="1:22" x14ac:dyDescent="0.25">
      <c r="A23" t="s">
        <v>1937</v>
      </c>
      <c r="B23" t="s">
        <v>1939</v>
      </c>
      <c r="C23" t="s">
        <v>51</v>
      </c>
      <c r="D23" s="100">
        <v>43682</v>
      </c>
      <c r="E23" s="100">
        <v>43682</v>
      </c>
      <c r="F23" s="278">
        <v>0.68194444444444446</v>
      </c>
      <c r="G23" s="100">
        <v>43684</v>
      </c>
      <c r="H23" s="278">
        <v>0.28680555555555554</v>
      </c>
      <c r="I23" t="s">
        <v>1252</v>
      </c>
      <c r="J23" s="100">
        <v>43684</v>
      </c>
      <c r="L23" s="100">
        <v>43685</v>
      </c>
      <c r="M23" s="278">
        <v>0.33333333333333331</v>
      </c>
      <c r="N23" t="s">
        <v>1252</v>
      </c>
      <c r="S23">
        <v>411</v>
      </c>
      <c r="T23">
        <v>436</v>
      </c>
      <c r="U23">
        <v>419</v>
      </c>
    </row>
    <row r="24" spans="1:22" x14ac:dyDescent="0.25">
      <c r="A24" t="s">
        <v>1938</v>
      </c>
      <c r="B24" t="s">
        <v>589</v>
      </c>
      <c r="C24" t="s">
        <v>51</v>
      </c>
      <c r="D24" s="100">
        <v>43682</v>
      </c>
      <c r="E24" s="100">
        <v>43682</v>
      </c>
      <c r="F24" s="278">
        <v>0.67986111111111114</v>
      </c>
      <c r="G24" s="100">
        <v>43684</v>
      </c>
      <c r="H24" s="278">
        <v>0.2986111111111111</v>
      </c>
      <c r="I24" t="s">
        <v>1252</v>
      </c>
      <c r="J24" s="100">
        <v>43684</v>
      </c>
      <c r="L24" s="100">
        <v>43685</v>
      </c>
      <c r="M24" s="278">
        <v>0.33333333333333331</v>
      </c>
      <c r="N24" t="s">
        <v>1252</v>
      </c>
      <c r="S24">
        <v>566</v>
      </c>
      <c r="T24">
        <v>546</v>
      </c>
      <c r="U24">
        <v>544</v>
      </c>
    </row>
    <row r="25" spans="1:22" x14ac:dyDescent="0.25">
      <c r="A25" t="s">
        <v>1947</v>
      </c>
      <c r="C25" t="s">
        <v>51</v>
      </c>
      <c r="D25" s="100">
        <v>43684</v>
      </c>
      <c r="E25" s="100">
        <v>43684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24" sqref="E24"/>
    </sheetView>
  </sheetViews>
  <sheetFormatPr defaultColWidth="10.125" defaultRowHeight="15.75" x14ac:dyDescent="0.25"/>
  <cols>
    <col min="1" max="1" width="12" customWidth="1"/>
    <col min="2" max="2" width="10.125" customWidth="1"/>
    <col min="3" max="3" width="8.875" customWidth="1"/>
    <col min="4" max="4" width="10.375" bestFit="1" customWidth="1"/>
    <col min="5" max="5" width="9.375" bestFit="1" customWidth="1"/>
    <col min="6" max="6" width="6.625" bestFit="1" customWidth="1"/>
    <col min="7" max="7" width="11.375" bestFit="1" customWidth="1"/>
    <col min="8" max="8" width="6.5" bestFit="1" customWidth="1"/>
    <col min="9" max="9" width="8.375" bestFit="1" customWidth="1"/>
    <col min="10" max="10" width="8" bestFit="1" customWidth="1"/>
    <col min="11" max="11" width="7.125" style="9" bestFit="1" customWidth="1"/>
    <col min="12" max="12" width="8.125" style="33" bestFit="1" customWidth="1"/>
    <col min="13" max="13" width="6.875" style="10" bestFit="1" customWidth="1"/>
    <col min="14" max="14" width="13.125" bestFit="1" customWidth="1"/>
    <col min="15" max="15" width="4.375" bestFit="1" customWidth="1"/>
    <col min="16" max="16" width="5.5" style="9" bestFit="1" customWidth="1"/>
    <col min="17" max="18" width="11.625" bestFit="1" customWidth="1"/>
    <col min="19" max="19" width="11.625" customWidth="1"/>
    <col min="20" max="20" width="13.625" style="24" bestFit="1" customWidth="1"/>
    <col min="24" max="24" width="12.125" style="24" bestFit="1" customWidth="1"/>
    <col min="25" max="25" width="9.125" style="36" bestFit="1" customWidth="1"/>
    <col min="26" max="27" width="9.125" bestFit="1" customWidth="1"/>
    <col min="28" max="28" width="12.125" style="24" bestFit="1" customWidth="1"/>
    <col min="29" max="31" width="7" bestFit="1" customWidth="1"/>
    <col min="32" max="32" width="12.125" style="24" bestFit="1" customWidth="1"/>
    <col min="33" max="35" width="12.125" style="42" customWidth="1"/>
    <col min="36" max="36" width="12.125" style="24" customWidth="1"/>
    <col min="37" max="39" width="11" bestFit="1" customWidth="1"/>
    <col min="40" max="40" width="13" style="24" bestFit="1" customWidth="1"/>
    <col min="41" max="43" width="8" style="12" customWidth="1"/>
    <col min="44" max="44" width="8" style="9" customWidth="1"/>
    <col min="45" max="47" width="8" style="12" customWidth="1"/>
    <col min="48" max="48" width="8" style="9" customWidth="1"/>
    <col min="49" max="50" width="8" style="10" bestFit="1" customWidth="1"/>
    <col min="51" max="52" width="6.375" bestFit="1" customWidth="1"/>
    <col min="53" max="53" width="13.375" bestFit="1" customWidth="1"/>
    <col min="54" max="54" width="13" bestFit="1" customWidth="1"/>
    <col min="55" max="55" width="9.5" bestFit="1" customWidth="1"/>
    <col min="56" max="56" width="9.5" customWidth="1"/>
    <col min="57" max="57" width="9.375" style="9" bestFit="1" customWidth="1"/>
    <col min="58" max="60" width="10.375" bestFit="1" customWidth="1"/>
    <col min="61" max="61" width="12.375" style="24" bestFit="1" customWidth="1"/>
    <col min="62" max="64" width="11.125" bestFit="1" customWidth="1"/>
    <col min="65" max="65" width="13.125" style="24" bestFit="1" customWidth="1"/>
    <col min="66" max="68" width="11.625" bestFit="1" customWidth="1"/>
    <col min="69" max="69" width="13.625" style="24" bestFit="1" customWidth="1"/>
    <col min="70" max="73" width="8.125" customWidth="1"/>
    <col min="74" max="74" width="8.125" style="9" customWidth="1"/>
    <col min="75" max="78" width="7.375" style="12" customWidth="1"/>
    <col min="79" max="79" width="7.375" style="9" customWidth="1"/>
    <col min="80" max="80" width="67.625" bestFit="1" customWidth="1"/>
  </cols>
  <sheetData>
    <row r="1" spans="1:80" s="1" customFormat="1" x14ac:dyDescent="0.25">
      <c r="A1" s="43"/>
      <c r="B1" s="43"/>
      <c r="C1" s="43"/>
      <c r="D1" s="43"/>
      <c r="E1" s="43"/>
      <c r="F1" s="43"/>
      <c r="G1" s="43"/>
      <c r="H1" s="43"/>
      <c r="I1" s="43"/>
      <c r="J1" s="43"/>
      <c r="K1" s="44"/>
      <c r="L1" s="45" t="s">
        <v>107</v>
      </c>
      <c r="M1" s="46"/>
      <c r="N1" s="294" t="s">
        <v>119</v>
      </c>
      <c r="O1" s="295"/>
      <c r="P1" s="296"/>
      <c r="Q1" s="294" t="s">
        <v>120</v>
      </c>
      <c r="R1" s="295"/>
      <c r="S1" s="295"/>
      <c r="T1" s="296"/>
      <c r="U1" s="294" t="s">
        <v>121</v>
      </c>
      <c r="V1" s="295"/>
      <c r="W1" s="295"/>
      <c r="X1" s="296"/>
      <c r="Y1" s="294" t="s">
        <v>122</v>
      </c>
      <c r="Z1" s="295"/>
      <c r="AA1" s="295"/>
      <c r="AB1" s="296"/>
      <c r="AC1" s="294" t="s">
        <v>124</v>
      </c>
      <c r="AD1" s="295"/>
      <c r="AE1" s="295"/>
      <c r="AF1" s="296"/>
      <c r="AG1" s="47" t="s">
        <v>291</v>
      </c>
      <c r="AH1" s="48"/>
      <c r="AI1" s="48"/>
      <c r="AJ1" s="50"/>
      <c r="AK1" s="294" t="s">
        <v>123</v>
      </c>
      <c r="AL1" s="295"/>
      <c r="AM1" s="295"/>
      <c r="AN1" s="296"/>
      <c r="AO1" s="294" t="s">
        <v>272</v>
      </c>
      <c r="AP1" s="295"/>
      <c r="AQ1" s="295"/>
      <c r="AR1" s="295"/>
      <c r="AS1" s="295"/>
      <c r="AT1" s="295"/>
      <c r="AU1" s="295"/>
      <c r="AV1" s="296"/>
      <c r="AW1" s="49" t="s">
        <v>295</v>
      </c>
      <c r="AX1" s="49" t="s">
        <v>294</v>
      </c>
      <c r="AY1" s="294" t="s">
        <v>1</v>
      </c>
      <c r="AZ1" s="295"/>
      <c r="BA1" s="295"/>
      <c r="BB1" s="295"/>
      <c r="BC1" s="96"/>
      <c r="BD1" s="96"/>
      <c r="BE1" s="50"/>
      <c r="BF1" s="294" t="s">
        <v>125</v>
      </c>
      <c r="BG1" s="295"/>
      <c r="BH1" s="295"/>
      <c r="BI1" s="296"/>
      <c r="BJ1" s="294" t="s">
        <v>126</v>
      </c>
      <c r="BK1" s="295"/>
      <c r="BL1" s="295"/>
      <c r="BM1" s="296"/>
      <c r="BN1" s="294" t="s">
        <v>127</v>
      </c>
      <c r="BO1" s="295"/>
      <c r="BP1" s="295"/>
      <c r="BQ1" s="296"/>
      <c r="BR1" s="295" t="s">
        <v>108</v>
      </c>
      <c r="BS1" s="295"/>
      <c r="BT1" s="295"/>
      <c r="BU1" s="295"/>
      <c r="BV1" s="296"/>
      <c r="BW1" s="291" t="s">
        <v>109</v>
      </c>
      <c r="BX1" s="292"/>
      <c r="BY1" s="292"/>
      <c r="BZ1" s="292"/>
      <c r="CA1" s="293"/>
      <c r="CB1" s="43"/>
    </row>
    <row r="2" spans="1:80" s="22" customFormat="1" ht="16.5" thickBot="1" x14ac:dyDescent="0.3">
      <c r="A2" s="51" t="s">
        <v>56</v>
      </c>
      <c r="B2" s="51" t="s">
        <v>2</v>
      </c>
      <c r="C2" s="51" t="s">
        <v>612</v>
      </c>
      <c r="D2" s="51" t="s">
        <v>3</v>
      </c>
      <c r="E2" s="51" t="s">
        <v>4</v>
      </c>
      <c r="F2" s="51" t="s">
        <v>5</v>
      </c>
      <c r="G2" s="51" t="s">
        <v>104</v>
      </c>
      <c r="H2" s="51" t="s">
        <v>103</v>
      </c>
      <c r="I2" s="51" t="s">
        <v>6</v>
      </c>
      <c r="J2" s="51" t="s">
        <v>7</v>
      </c>
      <c r="K2" s="52" t="s">
        <v>8</v>
      </c>
      <c r="L2" s="53" t="s">
        <v>40</v>
      </c>
      <c r="M2" s="54" t="s">
        <v>41</v>
      </c>
      <c r="N2" s="51" t="s">
        <v>9</v>
      </c>
      <c r="O2" s="51" t="s">
        <v>10</v>
      </c>
      <c r="P2" s="52" t="s">
        <v>11</v>
      </c>
      <c r="Q2" s="51" t="s">
        <v>12</v>
      </c>
      <c r="R2" s="51" t="s">
        <v>13</v>
      </c>
      <c r="S2" s="51" t="s">
        <v>14</v>
      </c>
      <c r="T2" s="52" t="s">
        <v>15</v>
      </c>
      <c r="U2" s="51" t="s">
        <v>16</v>
      </c>
      <c r="V2" s="51" t="s">
        <v>17</v>
      </c>
      <c r="W2" s="51" t="s">
        <v>18</v>
      </c>
      <c r="X2" s="52" t="s">
        <v>19</v>
      </c>
      <c r="Y2" s="51" t="s">
        <v>20</v>
      </c>
      <c r="Z2" s="51" t="s">
        <v>21</v>
      </c>
      <c r="AA2" s="51" t="s">
        <v>22</v>
      </c>
      <c r="AB2" s="52" t="s">
        <v>23</v>
      </c>
      <c r="AC2" s="51" t="s">
        <v>28</v>
      </c>
      <c r="AD2" s="51" t="s">
        <v>29</v>
      </c>
      <c r="AE2" s="51" t="s">
        <v>30</v>
      </c>
      <c r="AF2" s="52" t="s">
        <v>31</v>
      </c>
      <c r="AG2" s="55"/>
      <c r="AH2" s="55"/>
      <c r="AI2" s="55"/>
      <c r="AJ2" s="73"/>
      <c r="AK2" s="51" t="s">
        <v>24</v>
      </c>
      <c r="AL2" s="51" t="s">
        <v>25</v>
      </c>
      <c r="AM2" s="51" t="s">
        <v>26</v>
      </c>
      <c r="AN2" s="52" t="s">
        <v>27</v>
      </c>
      <c r="AO2" s="51" t="s">
        <v>273</v>
      </c>
      <c r="AP2" s="51" t="s">
        <v>274</v>
      </c>
      <c r="AQ2" s="51" t="s">
        <v>275</v>
      </c>
      <c r="AR2" s="52" t="s">
        <v>276</v>
      </c>
      <c r="AS2" s="51" t="s">
        <v>277</v>
      </c>
      <c r="AT2" s="51" t="s">
        <v>278</v>
      </c>
      <c r="AU2" s="51" t="s">
        <v>279</v>
      </c>
      <c r="AV2" s="52" t="s">
        <v>276</v>
      </c>
      <c r="AW2" s="54" t="s">
        <v>128</v>
      </c>
      <c r="AX2" s="54" t="s">
        <v>128</v>
      </c>
      <c r="AY2" s="51" t="s">
        <v>42</v>
      </c>
      <c r="AZ2" s="51" t="s">
        <v>43</v>
      </c>
      <c r="BA2" s="51" t="s">
        <v>44</v>
      </c>
      <c r="BB2" s="51" t="s">
        <v>45</v>
      </c>
      <c r="BC2" s="51" t="s">
        <v>484</v>
      </c>
      <c r="BD2" s="51" t="s">
        <v>574</v>
      </c>
      <c r="BE2" s="52" t="s">
        <v>573</v>
      </c>
      <c r="BF2" s="51" t="s">
        <v>115</v>
      </c>
      <c r="BG2" s="51" t="s">
        <v>116</v>
      </c>
      <c r="BH2" s="51" t="s">
        <v>117</v>
      </c>
      <c r="BI2" s="52" t="s">
        <v>118</v>
      </c>
      <c r="BJ2" s="51" t="s">
        <v>32</v>
      </c>
      <c r="BK2" s="51" t="s">
        <v>33</v>
      </c>
      <c r="BL2" s="51" t="s">
        <v>34</v>
      </c>
      <c r="BM2" s="52" t="s">
        <v>35</v>
      </c>
      <c r="BN2" s="51" t="s">
        <v>36</v>
      </c>
      <c r="BO2" s="51" t="s">
        <v>37</v>
      </c>
      <c r="BP2" s="51" t="s">
        <v>38</v>
      </c>
      <c r="BQ2" s="52" t="s">
        <v>39</v>
      </c>
      <c r="BR2" s="51" t="s">
        <v>105</v>
      </c>
      <c r="BS2" s="51" t="s">
        <v>110</v>
      </c>
      <c r="BT2" s="51" t="s">
        <v>106</v>
      </c>
      <c r="BU2" s="51" t="s">
        <v>46</v>
      </c>
      <c r="BV2" s="52" t="s">
        <v>47</v>
      </c>
      <c r="BW2" s="51" t="s">
        <v>110</v>
      </c>
      <c r="BX2" s="51" t="s">
        <v>111</v>
      </c>
      <c r="BY2" s="51" t="s">
        <v>112</v>
      </c>
      <c r="BZ2" s="51" t="s">
        <v>113</v>
      </c>
      <c r="CA2" s="52" t="s">
        <v>114</v>
      </c>
      <c r="CB2" s="51" t="s">
        <v>48</v>
      </c>
    </row>
    <row r="3" spans="1:80" x14ac:dyDescent="0.25">
      <c r="A3" s="4" t="s">
        <v>288</v>
      </c>
      <c r="B3" s="4" t="s">
        <v>293</v>
      </c>
      <c r="C3" s="4" t="s">
        <v>238</v>
      </c>
      <c r="D3" s="4" t="s">
        <v>49</v>
      </c>
      <c r="E3" s="4" t="s">
        <v>289</v>
      </c>
      <c r="F3" s="4"/>
      <c r="G3" s="65" t="s">
        <v>290</v>
      </c>
      <c r="H3" s="4"/>
      <c r="I3" s="4" t="s">
        <v>292</v>
      </c>
      <c r="J3" s="4" t="s">
        <v>300</v>
      </c>
      <c r="K3" s="56"/>
      <c r="L3" s="57">
        <v>1</v>
      </c>
      <c r="M3" s="58" t="s">
        <v>50</v>
      </c>
      <c r="N3" s="4">
        <v>183</v>
      </c>
      <c r="O3" s="4">
        <v>90</v>
      </c>
      <c r="P3" s="56">
        <f t="shared" ref="P3:P16" si="0">N3-O3</f>
        <v>93</v>
      </c>
      <c r="Q3" s="4">
        <v>105</v>
      </c>
      <c r="R3" s="4">
        <v>104</v>
      </c>
      <c r="S3" s="4">
        <v>104</v>
      </c>
      <c r="T3" s="56"/>
      <c r="U3" s="4">
        <v>185</v>
      </c>
      <c r="V3" s="4">
        <v>185</v>
      </c>
      <c r="W3" s="4">
        <v>185</v>
      </c>
      <c r="X3" s="56"/>
      <c r="Y3" s="4">
        <v>5.59</v>
      </c>
      <c r="Z3" s="4">
        <v>5</v>
      </c>
      <c r="AA3" s="4">
        <v>4.7</v>
      </c>
      <c r="AB3" s="56"/>
      <c r="AC3" s="66">
        <v>15.83</v>
      </c>
      <c r="AD3" s="66">
        <v>15.9</v>
      </c>
      <c r="AE3" s="66">
        <v>15.4</v>
      </c>
      <c r="AF3" s="67"/>
      <c r="AG3" s="68">
        <v>23.32</v>
      </c>
      <c r="AH3" s="68">
        <v>23.32</v>
      </c>
      <c r="AI3" s="93">
        <v>23.34</v>
      </c>
      <c r="AJ3" s="93"/>
      <c r="AK3" s="69">
        <v>49.71</v>
      </c>
      <c r="AL3" s="69">
        <v>49.37</v>
      </c>
      <c r="AM3" s="69">
        <v>49.85</v>
      </c>
      <c r="AN3" s="67"/>
      <c r="AO3" s="69">
        <v>7.67</v>
      </c>
      <c r="AP3" s="69">
        <v>7.6</v>
      </c>
      <c r="AQ3" s="69">
        <v>6.9</v>
      </c>
      <c r="AR3" s="56"/>
      <c r="AS3" s="60"/>
      <c r="AT3" s="60"/>
      <c r="AU3" s="60"/>
      <c r="AV3" s="56"/>
      <c r="AW3" s="58" t="s">
        <v>296</v>
      </c>
      <c r="AX3" s="58" t="s">
        <v>296</v>
      </c>
      <c r="AY3" s="4"/>
      <c r="AZ3" s="4"/>
      <c r="BA3" s="4"/>
      <c r="BB3" s="4"/>
      <c r="BC3" s="4"/>
      <c r="BD3" s="4"/>
      <c r="BE3" s="56"/>
      <c r="BF3" s="4">
        <v>44.27</v>
      </c>
      <c r="BG3" s="4">
        <v>44.6</v>
      </c>
      <c r="BH3" s="4">
        <v>44.42</v>
      </c>
      <c r="BI3" s="56"/>
      <c r="BJ3" s="4">
        <v>28.23</v>
      </c>
      <c r="BK3" s="4">
        <v>28.11</v>
      </c>
      <c r="BL3" s="4">
        <v>28.11</v>
      </c>
      <c r="BM3" s="56"/>
      <c r="BN3" s="4">
        <v>39.53</v>
      </c>
      <c r="BO3" s="4">
        <v>39.409999999999997</v>
      </c>
      <c r="BP3" s="4">
        <v>39.200000000000003</v>
      </c>
      <c r="BQ3" s="56"/>
      <c r="BR3" s="63" t="s">
        <v>51</v>
      </c>
      <c r="BS3" s="63" t="s">
        <v>51</v>
      </c>
      <c r="BT3" s="63" t="s">
        <v>52</v>
      </c>
      <c r="BU3" s="63" t="s">
        <v>52</v>
      </c>
      <c r="BV3" s="62" t="s">
        <v>52</v>
      </c>
      <c r="BW3" s="64" t="s">
        <v>51</v>
      </c>
      <c r="BX3" s="64" t="s">
        <v>52</v>
      </c>
      <c r="BY3" s="64" t="s">
        <v>52</v>
      </c>
      <c r="BZ3" s="64" t="s">
        <v>52</v>
      </c>
      <c r="CA3" s="62" t="s">
        <v>51</v>
      </c>
      <c r="CB3" s="4"/>
    </row>
    <row r="4" spans="1:80" x14ac:dyDescent="0.25">
      <c r="A4" s="4" t="s">
        <v>288</v>
      </c>
      <c r="B4" s="4" t="s">
        <v>297</v>
      </c>
      <c r="C4" s="4" t="s">
        <v>238</v>
      </c>
      <c r="D4" s="4" t="s">
        <v>49</v>
      </c>
      <c r="E4" s="4" t="s">
        <v>289</v>
      </c>
      <c r="F4" s="4"/>
      <c r="G4" s="65">
        <v>7354820</v>
      </c>
      <c r="H4" s="4"/>
      <c r="I4" s="4" t="s">
        <v>292</v>
      </c>
      <c r="J4" s="4" t="s">
        <v>301</v>
      </c>
      <c r="K4" s="56"/>
      <c r="L4" s="57" t="s">
        <v>299</v>
      </c>
      <c r="M4" s="58" t="s">
        <v>64</v>
      </c>
      <c r="N4" s="4">
        <v>177</v>
      </c>
      <c r="O4" s="4">
        <v>98</v>
      </c>
      <c r="P4" s="56">
        <f t="shared" si="0"/>
        <v>79</v>
      </c>
      <c r="Q4" s="4">
        <v>113</v>
      </c>
      <c r="R4" s="4">
        <v>112</v>
      </c>
      <c r="S4" s="4">
        <v>113</v>
      </c>
      <c r="T4" s="56"/>
      <c r="U4" s="4">
        <v>195</v>
      </c>
      <c r="V4" s="4">
        <v>194</v>
      </c>
      <c r="W4" s="4">
        <v>194</v>
      </c>
      <c r="X4" s="56"/>
      <c r="Y4" s="59">
        <v>5.8</v>
      </c>
      <c r="Z4" s="59">
        <v>5.63</v>
      </c>
      <c r="AA4" s="59">
        <v>5.46</v>
      </c>
      <c r="AB4" s="56"/>
      <c r="AC4" s="70">
        <v>16.05</v>
      </c>
      <c r="AD4" s="70">
        <v>16.100000000000001</v>
      </c>
      <c r="AE4" s="70">
        <v>16.05</v>
      </c>
      <c r="AF4" s="71"/>
      <c r="AG4" s="72">
        <v>24.51</v>
      </c>
      <c r="AH4" s="71">
        <v>24.68</v>
      </c>
      <c r="AI4" s="67">
        <v>24.04</v>
      </c>
      <c r="AJ4" s="67"/>
      <c r="AK4" s="66">
        <v>49.99</v>
      </c>
      <c r="AL4" s="66">
        <v>49.35</v>
      </c>
      <c r="AM4" s="66">
        <v>50</v>
      </c>
      <c r="AN4" s="67"/>
      <c r="AO4" s="71"/>
      <c r="AP4" s="71"/>
      <c r="AQ4" s="71"/>
      <c r="AR4" s="56"/>
      <c r="AS4" s="60"/>
      <c r="AT4" s="60"/>
      <c r="AU4" s="60"/>
      <c r="AV4" s="56"/>
      <c r="AW4" s="58"/>
      <c r="AX4" s="58"/>
      <c r="AY4" s="4" t="s">
        <v>65</v>
      </c>
      <c r="AZ4" s="4">
        <v>4</v>
      </c>
      <c r="BA4" s="4">
        <v>2</v>
      </c>
      <c r="BB4" s="4">
        <v>0</v>
      </c>
      <c r="BC4" s="4"/>
      <c r="BD4" s="4"/>
      <c r="BE4" s="56"/>
      <c r="BF4" s="4">
        <v>44.91</v>
      </c>
      <c r="BG4" s="59">
        <v>44.36</v>
      </c>
      <c r="BH4" s="59">
        <v>44.65</v>
      </c>
      <c r="BI4" s="56"/>
      <c r="BJ4" s="59">
        <v>26.01</v>
      </c>
      <c r="BK4" s="59">
        <v>26.97</v>
      </c>
      <c r="BL4" s="59">
        <v>27.06</v>
      </c>
      <c r="BM4" s="56"/>
      <c r="BN4" s="59">
        <v>38.799999999999997</v>
      </c>
      <c r="BO4" s="59">
        <v>38.71</v>
      </c>
      <c r="BP4" s="59">
        <v>37.5</v>
      </c>
      <c r="BQ4" s="56"/>
      <c r="BR4" s="63" t="s">
        <v>51</v>
      </c>
      <c r="BS4" s="63" t="s">
        <v>51</v>
      </c>
      <c r="BT4" s="63" t="s">
        <v>51</v>
      </c>
      <c r="BU4" s="63" t="s">
        <v>52</v>
      </c>
      <c r="BV4" s="62" t="s">
        <v>52</v>
      </c>
      <c r="BW4" s="61" t="s">
        <v>51</v>
      </c>
      <c r="BX4" s="61" t="s">
        <v>52</v>
      </c>
      <c r="BY4" s="61" t="s">
        <v>52</v>
      </c>
      <c r="BZ4" s="61" t="s">
        <v>52</v>
      </c>
      <c r="CA4" s="62" t="s">
        <v>51</v>
      </c>
      <c r="CB4" s="4" t="s">
        <v>488</v>
      </c>
    </row>
    <row r="5" spans="1:80" x14ac:dyDescent="0.25">
      <c r="A5" t="s">
        <v>288</v>
      </c>
      <c r="B5" t="s">
        <v>345</v>
      </c>
      <c r="C5" t="s">
        <v>238</v>
      </c>
      <c r="D5" s="4" t="s">
        <v>49</v>
      </c>
      <c r="E5" s="4" t="s">
        <v>289</v>
      </c>
      <c r="G5" s="65" t="s">
        <v>346</v>
      </c>
      <c r="H5" s="4"/>
      <c r="I5" t="s">
        <v>344</v>
      </c>
      <c r="J5" t="s">
        <v>336</v>
      </c>
      <c r="L5" s="33">
        <v>2</v>
      </c>
      <c r="M5" s="10" t="s">
        <v>50</v>
      </c>
      <c r="N5">
        <v>192</v>
      </c>
      <c r="O5">
        <v>96</v>
      </c>
      <c r="P5" s="56">
        <f t="shared" si="0"/>
        <v>96</v>
      </c>
      <c r="Q5">
        <v>123</v>
      </c>
      <c r="R5">
        <v>122</v>
      </c>
      <c r="S5">
        <v>123</v>
      </c>
      <c r="U5">
        <v>182</v>
      </c>
      <c r="V5">
        <v>182</v>
      </c>
      <c r="W5">
        <v>181</v>
      </c>
      <c r="Y5" s="36">
        <v>4.53</v>
      </c>
      <c r="Z5">
        <v>4.67</v>
      </c>
      <c r="AA5">
        <v>4.87</v>
      </c>
      <c r="AC5" s="37">
        <v>16.79</v>
      </c>
      <c r="AD5" s="37">
        <v>16.39</v>
      </c>
      <c r="AE5" s="37">
        <v>16.57</v>
      </c>
      <c r="AG5" s="42">
        <v>25.46</v>
      </c>
      <c r="AH5" s="42">
        <v>25.79</v>
      </c>
      <c r="AI5" s="24">
        <v>25.38</v>
      </c>
      <c r="AK5" s="37">
        <v>49.56</v>
      </c>
      <c r="AL5" s="37">
        <v>49.9</v>
      </c>
      <c r="AM5" s="37">
        <v>50.18</v>
      </c>
      <c r="AO5" s="37">
        <v>7.46</v>
      </c>
      <c r="AP5" s="37">
        <v>8.01</v>
      </c>
      <c r="AQ5" s="37">
        <v>7.94</v>
      </c>
      <c r="AW5" s="10" t="s">
        <v>296</v>
      </c>
      <c r="AX5" s="10" t="s">
        <v>296</v>
      </c>
      <c r="BF5">
        <v>45.23</v>
      </c>
      <c r="BG5">
        <v>44.98</v>
      </c>
      <c r="BH5">
        <v>45.17</v>
      </c>
      <c r="BJ5">
        <v>28.64</v>
      </c>
      <c r="BK5">
        <v>28.23</v>
      </c>
      <c r="BL5">
        <v>28.54</v>
      </c>
      <c r="BN5">
        <v>39.93</v>
      </c>
      <c r="BO5">
        <v>39.96</v>
      </c>
      <c r="BP5">
        <v>39.86</v>
      </c>
      <c r="BR5" t="s">
        <v>51</v>
      </c>
      <c r="BS5" t="s">
        <v>51</v>
      </c>
      <c r="BT5" t="s">
        <v>51</v>
      </c>
      <c r="BU5" t="s">
        <v>52</v>
      </c>
      <c r="BV5" s="9" t="s">
        <v>52</v>
      </c>
      <c r="BW5" s="35" t="s">
        <v>51</v>
      </c>
      <c r="BX5" s="35" t="s">
        <v>52</v>
      </c>
      <c r="BY5" s="35" t="s">
        <v>52</v>
      </c>
      <c r="BZ5" s="35" t="s">
        <v>52</v>
      </c>
      <c r="CA5" s="9" t="s">
        <v>51</v>
      </c>
    </row>
    <row r="6" spans="1:80" x14ac:dyDescent="0.25">
      <c r="A6" t="s">
        <v>288</v>
      </c>
      <c r="B6" t="s">
        <v>293</v>
      </c>
      <c r="D6" s="4" t="s">
        <v>207</v>
      </c>
      <c r="E6" s="4" t="s">
        <v>410</v>
      </c>
      <c r="G6" s="98" t="s">
        <v>290</v>
      </c>
      <c r="H6" s="4"/>
      <c r="I6" s="4" t="s">
        <v>397</v>
      </c>
      <c r="J6" t="s">
        <v>403</v>
      </c>
      <c r="L6" s="33">
        <v>2</v>
      </c>
      <c r="M6" s="10" t="s">
        <v>50</v>
      </c>
      <c r="N6">
        <v>190</v>
      </c>
      <c r="O6">
        <v>98</v>
      </c>
      <c r="P6" s="56">
        <f t="shared" si="0"/>
        <v>92</v>
      </c>
      <c r="Q6">
        <v>113</v>
      </c>
      <c r="R6">
        <v>115</v>
      </c>
      <c r="S6">
        <v>115</v>
      </c>
      <c r="U6">
        <v>188</v>
      </c>
      <c r="V6">
        <v>187</v>
      </c>
      <c r="W6">
        <v>188</v>
      </c>
      <c r="Y6" s="36">
        <v>4.92</v>
      </c>
      <c r="Z6">
        <v>5.3</v>
      </c>
      <c r="AA6">
        <v>5.16</v>
      </c>
      <c r="AC6" s="37">
        <v>16.329999999999998</v>
      </c>
      <c r="AD6" s="37">
        <v>16.2</v>
      </c>
      <c r="AE6" s="37">
        <v>16.16</v>
      </c>
      <c r="AG6" s="42">
        <v>23.29</v>
      </c>
      <c r="AH6" s="42">
        <v>23.08</v>
      </c>
      <c r="AI6" s="42">
        <v>23.06</v>
      </c>
      <c r="AK6" s="37">
        <v>50.18</v>
      </c>
      <c r="AL6" s="37">
        <v>50.07</v>
      </c>
      <c r="AM6" s="37">
        <v>50.2</v>
      </c>
      <c r="AO6" s="37">
        <v>9.18</v>
      </c>
      <c r="AP6" s="37">
        <v>10.38</v>
      </c>
      <c r="AQ6" s="37">
        <v>8.58</v>
      </c>
      <c r="AW6" s="10" t="s">
        <v>296</v>
      </c>
      <c r="AX6" s="10" t="s">
        <v>296</v>
      </c>
      <c r="BF6">
        <v>45.1</v>
      </c>
      <c r="BG6">
        <v>44.54</v>
      </c>
      <c r="BH6">
        <v>44.53</v>
      </c>
      <c r="BJ6">
        <v>26.86</v>
      </c>
      <c r="BK6">
        <v>27.28</v>
      </c>
      <c r="BL6">
        <v>26.67</v>
      </c>
      <c r="BN6">
        <v>41.05</v>
      </c>
      <c r="BO6">
        <v>40.72</v>
      </c>
      <c r="BP6">
        <v>40.29</v>
      </c>
      <c r="BR6" t="s">
        <v>52</v>
      </c>
      <c r="BS6" t="s">
        <v>51</v>
      </c>
      <c r="BT6" t="s">
        <v>51</v>
      </c>
      <c r="BU6" t="s">
        <v>52</v>
      </c>
      <c r="BV6" s="9" t="s">
        <v>52</v>
      </c>
    </row>
    <row r="7" spans="1:80" x14ac:dyDescent="0.25">
      <c r="A7" t="s">
        <v>288</v>
      </c>
      <c r="B7" t="s">
        <v>482</v>
      </c>
      <c r="D7" s="4" t="s">
        <v>49</v>
      </c>
      <c r="E7" s="4" t="s">
        <v>393</v>
      </c>
      <c r="G7" s="4">
        <v>7359321</v>
      </c>
      <c r="H7" s="4"/>
      <c r="I7" s="4" t="s">
        <v>479</v>
      </c>
      <c r="J7" t="s">
        <v>300</v>
      </c>
      <c r="L7" s="33">
        <v>1</v>
      </c>
      <c r="M7" s="10" t="s">
        <v>50</v>
      </c>
      <c r="N7">
        <v>184</v>
      </c>
      <c r="O7">
        <v>96</v>
      </c>
      <c r="P7" s="9">
        <f t="shared" si="0"/>
        <v>88</v>
      </c>
      <c r="Q7">
        <v>113</v>
      </c>
      <c r="R7">
        <v>114</v>
      </c>
      <c r="S7">
        <v>113</v>
      </c>
      <c r="U7">
        <v>176</v>
      </c>
      <c r="V7">
        <v>175</v>
      </c>
      <c r="W7">
        <v>176</v>
      </c>
      <c r="Y7" s="36">
        <v>5.34</v>
      </c>
      <c r="Z7">
        <v>5.39</v>
      </c>
      <c r="AA7">
        <v>5.5</v>
      </c>
      <c r="AC7">
        <v>15.98</v>
      </c>
      <c r="AD7">
        <v>16.13</v>
      </c>
      <c r="AE7">
        <v>15.93</v>
      </c>
      <c r="AG7" s="42">
        <v>24.51</v>
      </c>
      <c r="AH7" s="42">
        <v>23.97</v>
      </c>
      <c r="AI7" s="42">
        <v>24.03</v>
      </c>
      <c r="AK7" s="37">
        <v>50.31</v>
      </c>
      <c r="AL7" s="37">
        <v>50.38</v>
      </c>
      <c r="AM7" s="37">
        <v>50.09</v>
      </c>
      <c r="AO7" s="37">
        <v>8.4700000000000006</v>
      </c>
      <c r="AP7" s="37">
        <v>8.26</v>
      </c>
      <c r="AQ7" s="37">
        <v>7.62</v>
      </c>
      <c r="AW7" s="10" t="s">
        <v>296</v>
      </c>
      <c r="AX7" s="10" t="s">
        <v>296</v>
      </c>
      <c r="BF7">
        <v>45.57</v>
      </c>
      <c r="BG7">
        <v>45.5</v>
      </c>
      <c r="BH7">
        <v>45.13</v>
      </c>
      <c r="BJ7">
        <v>26.48</v>
      </c>
      <c r="BK7">
        <v>27.18</v>
      </c>
      <c r="BL7">
        <v>26.84</v>
      </c>
      <c r="BN7">
        <v>40.43</v>
      </c>
      <c r="BO7">
        <v>40.450000000000003</v>
      </c>
      <c r="BP7">
        <v>46.6</v>
      </c>
      <c r="BR7" t="s">
        <v>51</v>
      </c>
      <c r="BS7" t="s">
        <v>51</v>
      </c>
      <c r="BT7" t="s">
        <v>51</v>
      </c>
      <c r="BU7" t="s">
        <v>52</v>
      </c>
      <c r="BV7" s="9" t="s">
        <v>52</v>
      </c>
    </row>
    <row r="8" spans="1:80" x14ac:dyDescent="0.25">
      <c r="A8" s="4" t="s">
        <v>288</v>
      </c>
      <c r="B8" s="4" t="s">
        <v>297</v>
      </c>
      <c r="C8" s="4"/>
      <c r="D8" s="4" t="s">
        <v>207</v>
      </c>
      <c r="E8" s="4" t="s">
        <v>393</v>
      </c>
      <c r="F8" s="4"/>
      <c r="G8" s="65">
        <v>7354820</v>
      </c>
      <c r="H8" s="4"/>
      <c r="I8" t="s">
        <v>479</v>
      </c>
      <c r="J8" t="s">
        <v>403</v>
      </c>
      <c r="L8" s="33">
        <v>3</v>
      </c>
      <c r="M8" s="10" t="s">
        <v>64</v>
      </c>
      <c r="N8">
        <v>180</v>
      </c>
      <c r="O8">
        <v>97</v>
      </c>
      <c r="P8" s="9">
        <f t="shared" si="0"/>
        <v>83</v>
      </c>
      <c r="Q8">
        <v>104</v>
      </c>
      <c r="R8">
        <v>105</v>
      </c>
      <c r="S8">
        <v>105</v>
      </c>
      <c r="U8">
        <v>200</v>
      </c>
      <c r="V8">
        <v>201</v>
      </c>
      <c r="W8">
        <v>200</v>
      </c>
      <c r="Y8" s="36">
        <v>4.46</v>
      </c>
      <c r="Z8">
        <v>4.46</v>
      </c>
      <c r="AA8">
        <v>4.54</v>
      </c>
      <c r="AC8" s="37">
        <v>17.55</v>
      </c>
      <c r="AD8" s="37">
        <v>17.84</v>
      </c>
      <c r="AE8" s="37">
        <v>18.059999999999999</v>
      </c>
      <c r="AG8" s="42">
        <v>26.81</v>
      </c>
      <c r="AH8" s="42">
        <v>26.8</v>
      </c>
      <c r="AI8" s="42">
        <v>26.79</v>
      </c>
      <c r="AK8" s="37">
        <v>49.36</v>
      </c>
      <c r="AL8" s="37">
        <v>48.83</v>
      </c>
      <c r="AM8" s="37">
        <v>49.25</v>
      </c>
      <c r="BB8">
        <v>2</v>
      </c>
      <c r="BC8" t="s">
        <v>485</v>
      </c>
      <c r="BD8">
        <v>16.38</v>
      </c>
      <c r="BE8" s="9">
        <v>9.3000000000000007</v>
      </c>
      <c r="BF8">
        <v>43.72</v>
      </c>
      <c r="BG8">
        <v>43.82</v>
      </c>
      <c r="BH8">
        <v>43.39</v>
      </c>
      <c r="BJ8">
        <v>25.73</v>
      </c>
      <c r="BK8">
        <v>25.77</v>
      </c>
      <c r="BL8">
        <v>25.93</v>
      </c>
      <c r="BN8">
        <v>39.32</v>
      </c>
      <c r="BO8">
        <v>39.020000000000003</v>
      </c>
      <c r="BP8">
        <v>39.07</v>
      </c>
      <c r="BR8" t="s">
        <v>52</v>
      </c>
      <c r="BS8" t="s">
        <v>51</v>
      </c>
      <c r="BT8" t="s">
        <v>51</v>
      </c>
      <c r="BU8" t="s">
        <v>52</v>
      </c>
      <c r="BV8" s="9" t="s">
        <v>52</v>
      </c>
      <c r="CB8" t="s">
        <v>298</v>
      </c>
    </row>
    <row r="9" spans="1:80" x14ac:dyDescent="0.25">
      <c r="A9" s="4" t="s">
        <v>288</v>
      </c>
      <c r="B9" s="4" t="s">
        <v>552</v>
      </c>
      <c r="C9" s="4"/>
      <c r="D9" s="4" t="s">
        <v>49</v>
      </c>
      <c r="E9" s="4" t="s">
        <v>393</v>
      </c>
      <c r="G9" s="110" t="s">
        <v>553</v>
      </c>
      <c r="H9" s="4"/>
      <c r="I9" s="4" t="s">
        <v>554</v>
      </c>
      <c r="J9" s="4" t="s">
        <v>555</v>
      </c>
      <c r="L9" s="33">
        <v>2</v>
      </c>
      <c r="M9" s="10" t="s">
        <v>64</v>
      </c>
      <c r="N9">
        <v>194</v>
      </c>
      <c r="O9">
        <v>95</v>
      </c>
      <c r="P9" s="9">
        <f t="shared" si="0"/>
        <v>99</v>
      </c>
      <c r="Q9">
        <v>108</v>
      </c>
      <c r="R9">
        <v>108</v>
      </c>
      <c r="S9">
        <v>109</v>
      </c>
      <c r="U9">
        <v>192</v>
      </c>
      <c r="V9">
        <v>192</v>
      </c>
      <c r="W9">
        <v>192</v>
      </c>
      <c r="Y9" s="36">
        <v>4.87</v>
      </c>
      <c r="Z9">
        <v>5.18</v>
      </c>
      <c r="AA9">
        <v>5.07</v>
      </c>
      <c r="AC9" s="37">
        <v>16.27</v>
      </c>
      <c r="AD9" s="37">
        <v>16.88</v>
      </c>
      <c r="AE9" s="37">
        <v>16.809999999999999</v>
      </c>
      <c r="AG9" s="42">
        <v>26.34</v>
      </c>
      <c r="AH9" s="42">
        <v>26.49</v>
      </c>
      <c r="AI9" s="42">
        <v>26.51</v>
      </c>
      <c r="AK9" s="37">
        <v>50.96</v>
      </c>
      <c r="AL9" s="37">
        <v>51.21</v>
      </c>
      <c r="AM9" s="37">
        <v>51.27</v>
      </c>
      <c r="AY9" t="s">
        <v>65</v>
      </c>
      <c r="AZ9">
        <v>4</v>
      </c>
      <c r="BA9">
        <v>1</v>
      </c>
      <c r="BB9">
        <v>0</v>
      </c>
      <c r="BC9" t="s">
        <v>379</v>
      </c>
      <c r="BD9" t="s">
        <v>379</v>
      </c>
      <c r="BE9" s="9" t="s">
        <v>379</v>
      </c>
      <c r="BF9">
        <v>44.93</v>
      </c>
      <c r="BG9">
        <v>44.72</v>
      </c>
      <c r="BH9">
        <v>44.78</v>
      </c>
      <c r="BJ9">
        <v>25.56</v>
      </c>
      <c r="BK9">
        <v>24.95</v>
      </c>
      <c r="BL9">
        <v>24.94</v>
      </c>
      <c r="BN9">
        <v>40.299999999999997</v>
      </c>
      <c r="BO9">
        <v>40.229999999999997</v>
      </c>
      <c r="BP9">
        <v>47.1</v>
      </c>
      <c r="BR9" t="s">
        <v>51</v>
      </c>
      <c r="BS9" t="s">
        <v>51</v>
      </c>
      <c r="BT9" t="s">
        <v>51</v>
      </c>
      <c r="BU9" t="s">
        <v>52</v>
      </c>
      <c r="BV9" s="9" t="s">
        <v>52</v>
      </c>
      <c r="CB9" t="s">
        <v>559</v>
      </c>
    </row>
    <row r="10" spans="1:80" x14ac:dyDescent="0.25">
      <c r="A10" s="4" t="s">
        <v>288</v>
      </c>
      <c r="B10" s="4" t="s">
        <v>557</v>
      </c>
      <c r="C10" s="4"/>
      <c r="D10" s="4" t="s">
        <v>49</v>
      </c>
      <c r="E10" s="4" t="s">
        <v>393</v>
      </c>
      <c r="G10" s="110" t="s">
        <v>558</v>
      </c>
      <c r="H10" s="4"/>
      <c r="I10" s="4" t="s">
        <v>554</v>
      </c>
      <c r="J10" s="4" t="s">
        <v>556</v>
      </c>
      <c r="L10" s="33">
        <v>3</v>
      </c>
      <c r="M10" s="10" t="s">
        <v>50</v>
      </c>
      <c r="N10">
        <v>218</v>
      </c>
      <c r="O10">
        <v>97</v>
      </c>
      <c r="P10" s="9">
        <f t="shared" si="0"/>
        <v>121</v>
      </c>
      <c r="Q10">
        <v>124</v>
      </c>
      <c r="R10">
        <v>124</v>
      </c>
      <c r="S10">
        <v>125</v>
      </c>
      <c r="U10">
        <v>183</v>
      </c>
      <c r="V10">
        <v>185</v>
      </c>
      <c r="W10">
        <v>185</v>
      </c>
      <c r="Y10" s="36">
        <v>4.97</v>
      </c>
      <c r="Z10">
        <v>5.0199999999999996</v>
      </c>
      <c r="AA10">
        <v>5.0199999999999996</v>
      </c>
      <c r="AC10" s="37">
        <v>16.72</v>
      </c>
      <c r="AD10" s="37">
        <v>16.47</v>
      </c>
      <c r="AE10" s="37">
        <v>16.420000000000002</v>
      </c>
      <c r="AG10" s="42">
        <v>26.67</v>
      </c>
      <c r="AH10" s="42">
        <v>26.53</v>
      </c>
      <c r="AI10" s="42">
        <v>26.49</v>
      </c>
      <c r="AK10" s="37">
        <v>52.56</v>
      </c>
      <c r="AL10" s="37">
        <v>52.41</v>
      </c>
      <c r="AM10" s="37">
        <v>52.4</v>
      </c>
      <c r="AO10" s="37">
        <v>9.6999999999999993</v>
      </c>
      <c r="AP10" s="37">
        <v>9.6300000000000008</v>
      </c>
      <c r="AQ10" s="37">
        <v>9.6999999999999993</v>
      </c>
      <c r="AW10" s="10">
        <v>3</v>
      </c>
      <c r="AX10" s="10">
        <v>3</v>
      </c>
      <c r="BF10">
        <v>46.02</v>
      </c>
      <c r="BG10">
        <v>46.04</v>
      </c>
      <c r="BH10">
        <v>46.27</v>
      </c>
      <c r="BJ10">
        <v>29.72</v>
      </c>
      <c r="BK10">
        <v>29.34</v>
      </c>
      <c r="BL10">
        <v>29.89</v>
      </c>
      <c r="BN10">
        <v>41.04</v>
      </c>
      <c r="BO10">
        <v>41.53</v>
      </c>
      <c r="BP10">
        <v>41.5</v>
      </c>
      <c r="BR10" t="s">
        <v>51</v>
      </c>
      <c r="BS10" t="s">
        <v>51</v>
      </c>
      <c r="BT10" t="s">
        <v>51</v>
      </c>
      <c r="BU10" t="s">
        <v>52</v>
      </c>
      <c r="BV10" s="9" t="s">
        <v>52</v>
      </c>
      <c r="CB10" t="s">
        <v>560</v>
      </c>
    </row>
    <row r="11" spans="1:80" x14ac:dyDescent="0.25">
      <c r="A11" s="4" t="s">
        <v>288</v>
      </c>
      <c r="B11" s="4" t="s">
        <v>563</v>
      </c>
      <c r="C11" s="4"/>
      <c r="D11" s="4" t="s">
        <v>49</v>
      </c>
      <c r="E11" s="4" t="s">
        <v>393</v>
      </c>
      <c r="G11" s="4" t="s">
        <v>564</v>
      </c>
      <c r="H11" s="4"/>
      <c r="I11" s="4" t="s">
        <v>562</v>
      </c>
      <c r="J11" s="4" t="s">
        <v>556</v>
      </c>
      <c r="L11" s="33">
        <v>1</v>
      </c>
      <c r="M11" s="10" t="s">
        <v>50</v>
      </c>
      <c r="N11">
        <v>218</v>
      </c>
      <c r="O11">
        <v>95</v>
      </c>
      <c r="P11" s="9">
        <f t="shared" si="0"/>
        <v>123</v>
      </c>
      <c r="Q11">
        <v>126</v>
      </c>
      <c r="R11">
        <v>126</v>
      </c>
      <c r="S11">
        <v>127</v>
      </c>
      <c r="U11">
        <v>186</v>
      </c>
      <c r="V11">
        <v>186</v>
      </c>
      <c r="W11">
        <v>186</v>
      </c>
      <c r="Y11" s="36">
        <v>4.97</v>
      </c>
      <c r="Z11">
        <v>4.96</v>
      </c>
      <c r="AA11">
        <v>4.88</v>
      </c>
      <c r="AC11" s="37">
        <v>17.68</v>
      </c>
      <c r="AD11" s="37">
        <v>17.149999999999999</v>
      </c>
      <c r="AE11" s="37">
        <v>17.29</v>
      </c>
      <c r="AG11" s="42">
        <v>25.06</v>
      </c>
      <c r="AH11" s="42">
        <v>24.57</v>
      </c>
      <c r="AI11" s="42">
        <v>24.83</v>
      </c>
      <c r="AK11" s="37">
        <v>50.33</v>
      </c>
      <c r="AL11" s="37">
        <v>50.88</v>
      </c>
      <c r="AM11" s="37">
        <v>50.44</v>
      </c>
      <c r="AO11" s="37">
        <v>9.65</v>
      </c>
      <c r="AP11" s="37">
        <v>9.26</v>
      </c>
      <c r="AQ11" s="37">
        <v>9.92</v>
      </c>
      <c r="AW11" s="10">
        <v>2</v>
      </c>
      <c r="AX11" s="10">
        <v>1</v>
      </c>
      <c r="BF11">
        <v>45.45</v>
      </c>
      <c r="BG11">
        <v>45.68</v>
      </c>
      <c r="BH11">
        <v>45.79</v>
      </c>
      <c r="BJ11">
        <v>26.44</v>
      </c>
      <c r="BK11">
        <v>26.75</v>
      </c>
      <c r="BL11">
        <v>26.44</v>
      </c>
      <c r="BN11">
        <v>41.26</v>
      </c>
      <c r="BO11">
        <v>40.96</v>
      </c>
      <c r="BP11">
        <v>41.3</v>
      </c>
      <c r="BR11" t="s">
        <v>51</v>
      </c>
      <c r="BS11" t="s">
        <v>51</v>
      </c>
      <c r="BT11" t="s">
        <v>52</v>
      </c>
      <c r="BU11" t="s">
        <v>52</v>
      </c>
      <c r="BV11" s="9" t="s">
        <v>52</v>
      </c>
    </row>
    <row r="12" spans="1:80" x14ac:dyDescent="0.25">
      <c r="A12" s="4" t="s">
        <v>288</v>
      </c>
      <c r="B12" s="4" t="s">
        <v>566</v>
      </c>
      <c r="C12" s="4"/>
      <c r="D12" s="4" t="s">
        <v>49</v>
      </c>
      <c r="E12" s="4" t="s">
        <v>393</v>
      </c>
      <c r="G12" s="4" t="s">
        <v>567</v>
      </c>
      <c r="H12" s="4"/>
      <c r="I12" s="4" t="s">
        <v>562</v>
      </c>
      <c r="J12" s="4" t="s">
        <v>565</v>
      </c>
      <c r="L12" s="33">
        <v>2</v>
      </c>
      <c r="M12" s="10" t="s">
        <v>50</v>
      </c>
      <c r="N12">
        <v>216</v>
      </c>
      <c r="O12">
        <v>93</v>
      </c>
      <c r="P12" s="9">
        <f t="shared" si="0"/>
        <v>123</v>
      </c>
      <c r="Q12">
        <v>120</v>
      </c>
      <c r="R12">
        <v>120</v>
      </c>
      <c r="S12">
        <v>120</v>
      </c>
      <c r="U12">
        <v>195</v>
      </c>
      <c r="V12">
        <v>195</v>
      </c>
      <c r="W12">
        <v>195</v>
      </c>
      <c r="Y12" s="36">
        <v>6.26</v>
      </c>
      <c r="Z12">
        <v>5.75</v>
      </c>
      <c r="AA12">
        <v>5.64</v>
      </c>
      <c r="AC12" s="37">
        <v>15.64</v>
      </c>
      <c r="AD12" s="37">
        <v>15.56</v>
      </c>
      <c r="AE12" s="37">
        <v>15.56</v>
      </c>
      <c r="AG12" s="42">
        <v>27.14</v>
      </c>
      <c r="AH12" s="42">
        <v>27.04</v>
      </c>
      <c r="AI12" s="42">
        <v>27.02</v>
      </c>
      <c r="AK12" s="37">
        <v>45.71</v>
      </c>
      <c r="AL12" s="37">
        <v>45.88</v>
      </c>
      <c r="AM12" s="37">
        <v>45.47</v>
      </c>
      <c r="AO12" s="37">
        <v>8.89</v>
      </c>
      <c r="AP12" s="37">
        <v>8.6999999999999993</v>
      </c>
      <c r="AQ12" s="37">
        <v>8.7100000000000009</v>
      </c>
      <c r="AW12" s="10">
        <v>3</v>
      </c>
      <c r="AX12" s="10">
        <v>3</v>
      </c>
      <c r="BF12">
        <v>45.77</v>
      </c>
      <c r="BG12">
        <v>45.55</v>
      </c>
      <c r="BH12">
        <v>45.83</v>
      </c>
      <c r="BJ12">
        <v>26.87</v>
      </c>
      <c r="BK12">
        <v>26.11</v>
      </c>
      <c r="BL12">
        <v>26.36</v>
      </c>
      <c r="BN12">
        <v>41.96</v>
      </c>
      <c r="BO12">
        <v>41.94</v>
      </c>
      <c r="BP12">
        <v>41.46</v>
      </c>
      <c r="BR12" t="s">
        <v>51</v>
      </c>
      <c r="BS12" t="s">
        <v>51</v>
      </c>
      <c r="BT12" t="s">
        <v>51</v>
      </c>
      <c r="BU12" t="s">
        <v>52</v>
      </c>
      <c r="BV12" s="9" t="s">
        <v>52</v>
      </c>
    </row>
    <row r="13" spans="1:80" x14ac:dyDescent="0.25">
      <c r="A13" s="4" t="s">
        <v>288</v>
      </c>
      <c r="B13" s="4" t="s">
        <v>571</v>
      </c>
      <c r="C13" s="4" t="s">
        <v>238</v>
      </c>
      <c r="D13" s="4" t="s">
        <v>49</v>
      </c>
      <c r="E13" s="4" t="s">
        <v>393</v>
      </c>
      <c r="G13" s="4">
        <v>7356024</v>
      </c>
      <c r="H13" s="4"/>
      <c r="I13" s="4" t="s">
        <v>568</v>
      </c>
      <c r="J13" s="4" t="s">
        <v>572</v>
      </c>
      <c r="L13" s="33">
        <v>1</v>
      </c>
      <c r="M13" s="10" t="s">
        <v>64</v>
      </c>
      <c r="N13">
        <v>193</v>
      </c>
      <c r="O13">
        <v>98</v>
      </c>
      <c r="P13" s="9">
        <f t="shared" si="0"/>
        <v>95</v>
      </c>
      <c r="Q13">
        <v>110</v>
      </c>
      <c r="R13">
        <v>110</v>
      </c>
      <c r="S13">
        <v>111</v>
      </c>
      <c r="U13">
        <v>193</v>
      </c>
      <c r="V13">
        <v>192</v>
      </c>
      <c r="W13">
        <v>191</v>
      </c>
      <c r="Y13" s="36">
        <v>4.5999999999999996</v>
      </c>
      <c r="Z13">
        <v>4.49</v>
      </c>
      <c r="AA13">
        <v>4.9000000000000004</v>
      </c>
      <c r="AC13" s="37">
        <v>15.76</v>
      </c>
      <c r="AD13" s="37">
        <v>15.23</v>
      </c>
      <c r="AE13" s="37">
        <v>15.75</v>
      </c>
      <c r="AG13" s="42">
        <v>23.92</v>
      </c>
      <c r="AH13" s="42">
        <v>24.38</v>
      </c>
      <c r="AI13" s="42">
        <v>24.19</v>
      </c>
      <c r="AK13" s="37">
        <v>49.07</v>
      </c>
      <c r="AL13" s="37">
        <v>49.28</v>
      </c>
      <c r="AM13" s="37">
        <v>49.42</v>
      </c>
      <c r="AY13" t="s">
        <v>65</v>
      </c>
      <c r="AZ13">
        <v>4</v>
      </c>
      <c r="BA13">
        <v>2</v>
      </c>
      <c r="BB13">
        <v>0</v>
      </c>
      <c r="BF13">
        <v>44.62</v>
      </c>
      <c r="BG13">
        <v>44.67</v>
      </c>
      <c r="BH13">
        <v>44.5</v>
      </c>
      <c r="BJ13">
        <v>25.59</v>
      </c>
      <c r="BK13">
        <v>25.57</v>
      </c>
      <c r="BL13">
        <v>25.57</v>
      </c>
      <c r="BN13">
        <v>39.01</v>
      </c>
      <c r="BO13">
        <v>39.03</v>
      </c>
      <c r="BP13">
        <v>39.369999999999997</v>
      </c>
      <c r="BR13" t="s">
        <v>51</v>
      </c>
      <c r="BS13" t="s">
        <v>51</v>
      </c>
      <c r="BT13" t="s">
        <v>51</v>
      </c>
      <c r="BU13" t="s">
        <v>52</v>
      </c>
      <c r="BV13" s="9" t="s">
        <v>52</v>
      </c>
    </row>
    <row r="14" spans="1:80" x14ac:dyDescent="0.25">
      <c r="A14" s="4" t="s">
        <v>288</v>
      </c>
      <c r="B14" s="4" t="s">
        <v>576</v>
      </c>
      <c r="C14" s="4"/>
      <c r="D14" s="4" t="s">
        <v>49</v>
      </c>
      <c r="E14" s="4" t="s">
        <v>393</v>
      </c>
      <c r="G14" s="4" t="s">
        <v>575</v>
      </c>
      <c r="I14" s="4" t="s">
        <v>568</v>
      </c>
      <c r="J14" s="4" t="s">
        <v>556</v>
      </c>
      <c r="L14" s="33">
        <v>2</v>
      </c>
      <c r="M14" s="10" t="s">
        <v>64</v>
      </c>
      <c r="N14">
        <v>180</v>
      </c>
      <c r="O14">
        <v>95</v>
      </c>
      <c r="P14" s="9">
        <f t="shared" si="0"/>
        <v>85</v>
      </c>
      <c r="Q14">
        <v>113</v>
      </c>
      <c r="R14">
        <v>113</v>
      </c>
      <c r="S14">
        <v>112</v>
      </c>
      <c r="U14">
        <v>21</v>
      </c>
      <c r="V14">
        <v>21</v>
      </c>
      <c r="W14">
        <v>21</v>
      </c>
      <c r="Y14" s="36">
        <v>5.68</v>
      </c>
      <c r="Z14">
        <v>5.59</v>
      </c>
      <c r="AA14">
        <v>5.88</v>
      </c>
      <c r="AC14" s="37">
        <v>15.85</v>
      </c>
      <c r="AD14" s="37">
        <v>15.65</v>
      </c>
      <c r="AE14" s="37">
        <v>15.78</v>
      </c>
      <c r="AG14" s="42">
        <v>24.83</v>
      </c>
      <c r="AH14" s="42">
        <v>24.64</v>
      </c>
      <c r="AI14" s="42">
        <v>24.6</v>
      </c>
      <c r="AK14" s="37">
        <v>48.5</v>
      </c>
      <c r="AL14" s="37">
        <v>48.75</v>
      </c>
      <c r="AM14" s="37">
        <v>48.55</v>
      </c>
      <c r="AY14" t="s">
        <v>65</v>
      </c>
      <c r="AZ14">
        <v>4</v>
      </c>
      <c r="BA14">
        <v>2</v>
      </c>
      <c r="BB14">
        <v>0</v>
      </c>
      <c r="BF14">
        <v>44.81</v>
      </c>
      <c r="BG14">
        <v>44.4</v>
      </c>
      <c r="BH14">
        <v>44.45</v>
      </c>
      <c r="BJ14">
        <v>24.44</v>
      </c>
      <c r="BK14">
        <v>24.65</v>
      </c>
      <c r="BL14">
        <v>24.2</v>
      </c>
      <c r="BN14">
        <v>37.67</v>
      </c>
      <c r="BO14">
        <v>37.54</v>
      </c>
      <c r="BP14">
        <v>37.880000000000003</v>
      </c>
      <c r="BR14" t="s">
        <v>51</v>
      </c>
      <c r="BS14" t="s">
        <v>51</v>
      </c>
      <c r="BT14" t="s">
        <v>51</v>
      </c>
      <c r="BU14" t="s">
        <v>52</v>
      </c>
      <c r="BV14" s="9" t="s">
        <v>52</v>
      </c>
      <c r="CB14" t="s">
        <v>577</v>
      </c>
    </row>
    <row r="15" spans="1:80" x14ac:dyDescent="0.25">
      <c r="A15" s="4" t="s">
        <v>288</v>
      </c>
      <c r="B15" s="4" t="s">
        <v>581</v>
      </c>
      <c r="C15" s="4"/>
      <c r="D15" s="4" t="s">
        <v>49</v>
      </c>
      <c r="E15" s="4" t="s">
        <v>393</v>
      </c>
      <c r="G15" s="4" t="s">
        <v>583</v>
      </c>
      <c r="I15" s="4" t="s">
        <v>582</v>
      </c>
      <c r="J15" s="4" t="s">
        <v>555</v>
      </c>
      <c r="L15" s="33">
        <v>1</v>
      </c>
      <c r="M15" s="10" t="s">
        <v>50</v>
      </c>
      <c r="N15">
        <v>210</v>
      </c>
      <c r="O15">
        <v>95</v>
      </c>
      <c r="P15" s="9">
        <f t="shared" si="0"/>
        <v>115</v>
      </c>
      <c r="Q15">
        <v>113</v>
      </c>
      <c r="R15">
        <v>113</v>
      </c>
      <c r="S15">
        <v>113</v>
      </c>
      <c r="U15">
        <v>185</v>
      </c>
      <c r="V15">
        <v>186</v>
      </c>
      <c r="W15">
        <v>186</v>
      </c>
      <c r="Y15" s="36">
        <v>5.83</v>
      </c>
      <c r="Z15">
        <v>5.63</v>
      </c>
      <c r="AA15">
        <v>5.42</v>
      </c>
      <c r="AC15" s="37">
        <v>16.89</v>
      </c>
      <c r="AD15" s="37">
        <v>16.78</v>
      </c>
      <c r="AE15" s="37">
        <v>16.28</v>
      </c>
      <c r="AG15" s="42">
        <v>25.78</v>
      </c>
      <c r="AH15" s="42">
        <v>25.72</v>
      </c>
      <c r="AI15" s="42">
        <v>25.81</v>
      </c>
      <c r="AK15" s="37">
        <v>50.48</v>
      </c>
      <c r="AL15" s="37">
        <v>50.8</v>
      </c>
      <c r="AM15" s="37">
        <v>50.4</v>
      </c>
      <c r="AO15" s="37">
        <v>7</v>
      </c>
      <c r="AP15" s="37">
        <v>7.67</v>
      </c>
      <c r="AQ15" s="37">
        <v>6.37</v>
      </c>
      <c r="AW15" s="10">
        <v>2</v>
      </c>
      <c r="AX15" s="10">
        <v>1</v>
      </c>
      <c r="BF15">
        <v>45.68</v>
      </c>
      <c r="BG15">
        <v>45.77</v>
      </c>
      <c r="BH15">
        <v>45.92</v>
      </c>
      <c r="BJ15">
        <v>25.53</v>
      </c>
      <c r="BK15">
        <v>25.63</v>
      </c>
      <c r="BL15">
        <v>25.36</v>
      </c>
      <c r="BN15">
        <v>40.4</v>
      </c>
      <c r="BO15">
        <v>40.56</v>
      </c>
      <c r="BP15">
        <v>40.520000000000003</v>
      </c>
      <c r="BR15" t="s">
        <v>51</v>
      </c>
      <c r="BS15" t="s">
        <v>51</v>
      </c>
      <c r="BT15" t="s">
        <v>52</v>
      </c>
      <c r="BU15" t="s">
        <v>52</v>
      </c>
      <c r="BV15" s="9" t="s">
        <v>52</v>
      </c>
    </row>
    <row r="16" spans="1:80" x14ac:dyDescent="0.25">
      <c r="A16" s="4" t="s">
        <v>288</v>
      </c>
      <c r="B16" s="4" t="s">
        <v>586</v>
      </c>
      <c r="C16" s="4"/>
      <c r="D16" s="4" t="s">
        <v>49</v>
      </c>
      <c r="E16" s="4" t="s">
        <v>393</v>
      </c>
      <c r="G16" s="4" t="s">
        <v>585</v>
      </c>
      <c r="I16" s="4" t="s">
        <v>582</v>
      </c>
      <c r="J16" s="4" t="s">
        <v>556</v>
      </c>
      <c r="L16" s="33">
        <v>1</v>
      </c>
      <c r="M16" s="10" t="s">
        <v>50</v>
      </c>
      <c r="N16">
        <v>195</v>
      </c>
      <c r="O16">
        <v>93</v>
      </c>
      <c r="P16" s="9">
        <f t="shared" si="0"/>
        <v>102</v>
      </c>
      <c r="Q16">
        <v>112</v>
      </c>
      <c r="R16">
        <v>113</v>
      </c>
      <c r="S16">
        <v>113</v>
      </c>
      <c r="U16">
        <v>191</v>
      </c>
      <c r="V16">
        <v>192</v>
      </c>
      <c r="W16">
        <v>192</v>
      </c>
      <c r="Y16" s="36">
        <v>6.27</v>
      </c>
      <c r="Z16">
        <v>6.84</v>
      </c>
      <c r="AA16">
        <v>7.04</v>
      </c>
      <c r="AC16" s="37">
        <v>16.28</v>
      </c>
      <c r="AD16" s="37">
        <v>15.95</v>
      </c>
      <c r="AE16" s="37">
        <v>16.12</v>
      </c>
      <c r="AG16" s="42">
        <v>25.38</v>
      </c>
      <c r="AH16" s="42">
        <v>25.63</v>
      </c>
      <c r="AI16" s="42">
        <v>25.65</v>
      </c>
      <c r="AK16" s="37">
        <v>50.78</v>
      </c>
      <c r="AL16" s="37">
        <v>50.81</v>
      </c>
      <c r="AM16" s="37">
        <v>50.83</v>
      </c>
      <c r="AO16" s="37">
        <v>7.71</v>
      </c>
      <c r="AP16" s="37">
        <v>7.78</v>
      </c>
      <c r="AQ16" s="37">
        <v>7.5</v>
      </c>
      <c r="AW16" s="10">
        <v>2</v>
      </c>
      <c r="AX16" s="10">
        <v>2</v>
      </c>
      <c r="BF16">
        <v>45.96</v>
      </c>
      <c r="BG16">
        <v>45.4</v>
      </c>
      <c r="BH16">
        <v>45.68</v>
      </c>
      <c r="BJ16">
        <v>25.67</v>
      </c>
      <c r="BK16">
        <v>25.67</v>
      </c>
      <c r="BL16">
        <v>25.67</v>
      </c>
      <c r="BN16">
        <v>40.58</v>
      </c>
      <c r="BO16">
        <v>40.51</v>
      </c>
      <c r="BP16">
        <v>40.51</v>
      </c>
      <c r="BR16" t="s">
        <v>51</v>
      </c>
      <c r="BS16" t="s">
        <v>51</v>
      </c>
      <c r="BT16" t="s">
        <v>51</v>
      </c>
      <c r="BU16" t="s">
        <v>52</v>
      </c>
      <c r="BV16" s="9" t="s">
        <v>52</v>
      </c>
    </row>
    <row r="30" spans="1:79" x14ac:dyDescent="0.25">
      <c r="A30" s="7"/>
      <c r="B30" s="7"/>
      <c r="C30" s="7"/>
      <c r="K30"/>
      <c r="L30"/>
      <c r="M30"/>
      <c r="P30"/>
      <c r="T30"/>
      <c r="X30"/>
      <c r="Y30"/>
      <c r="AB30"/>
      <c r="AF30"/>
      <c r="AG30"/>
      <c r="AH30"/>
      <c r="AI30"/>
      <c r="AJ30" s="9"/>
      <c r="AN30"/>
      <c r="AO30"/>
      <c r="AP30"/>
      <c r="AQ30"/>
      <c r="AR30"/>
      <c r="AS30"/>
      <c r="AT30"/>
      <c r="AU30"/>
      <c r="AV30"/>
      <c r="AW30"/>
      <c r="AX30"/>
      <c r="BE30"/>
      <c r="BI30"/>
      <c r="BM30"/>
      <c r="BQ30"/>
      <c r="BV30"/>
      <c r="BW30"/>
      <c r="BX30"/>
      <c r="BY30"/>
      <c r="BZ30"/>
      <c r="CA30"/>
    </row>
    <row r="31" spans="1:79" x14ac:dyDescent="0.25">
      <c r="A31" s="7"/>
      <c r="B31" s="7"/>
      <c r="C31" s="7"/>
      <c r="K31"/>
      <c r="L31"/>
      <c r="M31"/>
      <c r="P31"/>
      <c r="T31"/>
      <c r="X31"/>
      <c r="Y31"/>
      <c r="AB31"/>
      <c r="AF31"/>
      <c r="AG31"/>
      <c r="AH31"/>
      <c r="AI31"/>
      <c r="AJ31" s="9"/>
      <c r="AN31"/>
      <c r="AO31"/>
      <c r="AP31"/>
      <c r="AQ31"/>
      <c r="AR31"/>
      <c r="AS31"/>
      <c r="AT31"/>
      <c r="AU31"/>
      <c r="AV31"/>
      <c r="AW31"/>
      <c r="AX31"/>
      <c r="BE31"/>
      <c r="BI31"/>
      <c r="BM31"/>
      <c r="BQ31"/>
      <c r="BV31"/>
      <c r="BW31"/>
      <c r="BX31"/>
      <c r="BY31"/>
      <c r="BZ31"/>
      <c r="CA31"/>
    </row>
    <row r="32" spans="1:79" x14ac:dyDescent="0.25">
      <c r="A32" s="7"/>
      <c r="B32" s="7"/>
      <c r="C32" s="7"/>
      <c r="K32"/>
      <c r="L32"/>
      <c r="M32"/>
      <c r="P32"/>
      <c r="T32"/>
      <c r="X32"/>
      <c r="Y32"/>
      <c r="AB32"/>
      <c r="AF32"/>
      <c r="AG32"/>
      <c r="AH32"/>
      <c r="AI32"/>
      <c r="AJ32" s="9"/>
      <c r="AN32"/>
      <c r="AO32"/>
      <c r="AP32"/>
      <c r="AQ32"/>
      <c r="AR32"/>
      <c r="AS32"/>
      <c r="AT32"/>
      <c r="AU32"/>
      <c r="AV32"/>
      <c r="AW32"/>
      <c r="AX32"/>
      <c r="BE32"/>
      <c r="BI32"/>
      <c r="BM32"/>
      <c r="BQ32"/>
      <c r="BV32"/>
      <c r="BW32"/>
      <c r="BX32"/>
      <c r="BY32"/>
      <c r="BZ32"/>
      <c r="CA32"/>
    </row>
    <row r="33" spans="1:79" x14ac:dyDescent="0.25">
      <c r="A33" s="7"/>
      <c r="B33" s="7"/>
      <c r="C33" s="7"/>
      <c r="BX33"/>
      <c r="BY33"/>
      <c r="BZ33"/>
      <c r="CA33"/>
    </row>
    <row r="34" spans="1:79" x14ac:dyDescent="0.25">
      <c r="A34" s="7"/>
      <c r="B34" s="7"/>
      <c r="C34" s="7"/>
      <c r="BX34"/>
      <c r="BY34"/>
      <c r="BZ34"/>
      <c r="CA34"/>
    </row>
    <row r="36" spans="1:79" x14ac:dyDescent="0.25">
      <c r="BW36" s="35"/>
      <c r="BX36"/>
      <c r="BY36"/>
      <c r="BZ36"/>
      <c r="CA36"/>
    </row>
    <row r="39" spans="1:79" x14ac:dyDescent="0.25">
      <c r="BW39" s="35"/>
      <c r="BX39"/>
      <c r="BY39"/>
      <c r="BZ39"/>
      <c r="CA39"/>
    </row>
    <row r="42" spans="1:79" x14ac:dyDescent="0.25">
      <c r="L42" s="34"/>
      <c r="BX42"/>
      <c r="BY42"/>
      <c r="BZ42"/>
      <c r="CA42"/>
    </row>
    <row r="44" spans="1:79" x14ac:dyDescent="0.25">
      <c r="BW44" s="35"/>
      <c r="BX44"/>
      <c r="BY44"/>
      <c r="BZ44"/>
      <c r="CA44"/>
    </row>
    <row r="45" spans="1:79" x14ac:dyDescent="0.25">
      <c r="BW45" s="35"/>
      <c r="BX45"/>
      <c r="BY45"/>
      <c r="BZ45"/>
      <c r="CA45"/>
    </row>
    <row r="53" spans="11:79" x14ac:dyDescent="0.25">
      <c r="K53"/>
      <c r="L53"/>
      <c r="M53"/>
      <c r="P53"/>
      <c r="T53"/>
      <c r="X53"/>
      <c r="Y53"/>
      <c r="AB53"/>
      <c r="AF53"/>
      <c r="AG53"/>
      <c r="AH53"/>
      <c r="AI53"/>
      <c r="AJ53" s="9"/>
      <c r="AK53" s="37"/>
      <c r="AL53" s="37"/>
      <c r="AM53" s="37"/>
      <c r="AN53"/>
      <c r="AO53"/>
      <c r="AP53"/>
      <c r="AQ53"/>
      <c r="AR53"/>
      <c r="AS53"/>
      <c r="AT53"/>
      <c r="AU53"/>
      <c r="AV53"/>
      <c r="AW53"/>
      <c r="AX53"/>
      <c r="BE53"/>
      <c r="BI53"/>
      <c r="BM53"/>
      <c r="BQ53"/>
      <c r="BV53"/>
      <c r="BW53"/>
      <c r="BX53"/>
      <c r="BY53"/>
      <c r="BZ53"/>
      <c r="CA53"/>
    </row>
    <row r="54" spans="11:79" x14ac:dyDescent="0.25">
      <c r="K54"/>
      <c r="L54"/>
      <c r="M54"/>
      <c r="P54"/>
      <c r="T54"/>
      <c r="X54"/>
      <c r="Y54"/>
      <c r="AB54"/>
      <c r="AF54"/>
      <c r="AG54"/>
      <c r="AH54"/>
      <c r="AI54"/>
      <c r="AJ54" s="9"/>
      <c r="AK54" s="37"/>
      <c r="AL54" s="37"/>
      <c r="AM54" s="37"/>
      <c r="AN54"/>
      <c r="AO54"/>
      <c r="AP54"/>
      <c r="AQ54"/>
      <c r="AR54"/>
      <c r="AS54"/>
      <c r="AT54"/>
      <c r="AU54"/>
      <c r="AV54"/>
      <c r="AW54"/>
      <c r="AX54"/>
      <c r="BE54"/>
      <c r="BI54"/>
      <c r="BM54"/>
      <c r="BQ54"/>
      <c r="BV54"/>
      <c r="BW54"/>
      <c r="BX54"/>
      <c r="BY54"/>
      <c r="BZ54"/>
      <c r="CA54"/>
    </row>
    <row r="55" spans="11:79" x14ac:dyDescent="0.25">
      <c r="K55"/>
      <c r="L55"/>
      <c r="M55"/>
      <c r="P55"/>
      <c r="T55"/>
      <c r="X55"/>
      <c r="Y55"/>
      <c r="AB55"/>
      <c r="AF55"/>
      <c r="AG55"/>
      <c r="AH55"/>
      <c r="AI55"/>
      <c r="AJ55" s="9"/>
      <c r="AK55" s="37"/>
      <c r="AL55" s="37"/>
      <c r="AM55" s="37"/>
      <c r="AN55"/>
      <c r="AO55"/>
      <c r="AP55"/>
      <c r="AQ55"/>
      <c r="AR55"/>
      <c r="AS55"/>
      <c r="AT55"/>
      <c r="AU55"/>
      <c r="AV55"/>
      <c r="AW55"/>
      <c r="AX55"/>
      <c r="BE55"/>
      <c r="BI55"/>
      <c r="BM55"/>
      <c r="BQ55"/>
      <c r="BV55"/>
      <c r="BW55"/>
      <c r="BX55"/>
      <c r="BY55"/>
      <c r="BZ55"/>
      <c r="CA55"/>
    </row>
    <row r="56" spans="11:79" x14ac:dyDescent="0.25">
      <c r="K56"/>
      <c r="L56"/>
      <c r="M56"/>
      <c r="P56"/>
      <c r="T56"/>
      <c r="X56"/>
      <c r="Y56"/>
      <c r="AB56"/>
      <c r="AF56"/>
      <c r="AG56"/>
      <c r="AH56"/>
      <c r="AI56"/>
      <c r="AJ56" s="9"/>
      <c r="AK56" s="37"/>
      <c r="AL56" s="37"/>
      <c r="AM56" s="37"/>
      <c r="AN56"/>
      <c r="AO56"/>
      <c r="AP56"/>
      <c r="AQ56"/>
      <c r="AR56"/>
      <c r="AS56"/>
      <c r="AT56"/>
      <c r="AU56"/>
      <c r="AV56"/>
      <c r="AW56"/>
      <c r="AX56"/>
      <c r="BE56"/>
      <c r="BI56"/>
      <c r="BM56"/>
      <c r="BQ56"/>
      <c r="BV56"/>
      <c r="BW56"/>
      <c r="BX56"/>
      <c r="BY56"/>
      <c r="BZ56"/>
      <c r="CA56"/>
    </row>
    <row r="57" spans="11:79" x14ac:dyDescent="0.25">
      <c r="K57"/>
      <c r="L57"/>
      <c r="M57"/>
      <c r="P57"/>
      <c r="T57"/>
      <c r="X57"/>
      <c r="Y57"/>
      <c r="AB57"/>
      <c r="AF57"/>
      <c r="AG57"/>
      <c r="AH57"/>
      <c r="AI57"/>
      <c r="AJ57" s="9"/>
      <c r="AK57" s="37"/>
      <c r="AL57" s="37"/>
      <c r="AM57" s="37"/>
      <c r="AN57"/>
      <c r="AO57"/>
      <c r="AP57"/>
      <c r="AQ57"/>
      <c r="AR57"/>
      <c r="AS57"/>
      <c r="AT57"/>
      <c r="AU57"/>
      <c r="AV57"/>
      <c r="AW57"/>
      <c r="AX57"/>
      <c r="BE57"/>
      <c r="BI57"/>
      <c r="BM57"/>
      <c r="BQ57"/>
      <c r="BV57"/>
      <c r="BW57"/>
      <c r="BX57"/>
      <c r="BY57"/>
      <c r="BZ57"/>
      <c r="CA57"/>
    </row>
    <row r="58" spans="11:79" x14ac:dyDescent="0.25">
      <c r="K58"/>
      <c r="L58"/>
      <c r="M58"/>
      <c r="P58"/>
      <c r="T58"/>
      <c r="X58"/>
      <c r="Y58"/>
      <c r="AB58"/>
      <c r="AF58"/>
      <c r="AG58"/>
      <c r="AH58"/>
      <c r="AI58"/>
      <c r="AJ58" s="9"/>
      <c r="AK58" s="37"/>
      <c r="AL58" s="37"/>
      <c r="AM58" s="37"/>
      <c r="AN58"/>
      <c r="AO58"/>
      <c r="AP58"/>
      <c r="AQ58"/>
      <c r="AR58"/>
      <c r="AS58"/>
      <c r="AT58"/>
      <c r="AU58"/>
      <c r="AV58"/>
      <c r="AW58"/>
      <c r="AX58"/>
      <c r="BE58"/>
      <c r="BI58"/>
      <c r="BM58"/>
      <c r="BQ58"/>
      <c r="BV58"/>
      <c r="BW58"/>
      <c r="BX58"/>
      <c r="BY58"/>
      <c r="BZ58"/>
      <c r="CA58"/>
    </row>
    <row r="59" spans="11:79" x14ac:dyDescent="0.25">
      <c r="K59"/>
      <c r="L59"/>
      <c r="M59"/>
      <c r="P59"/>
      <c r="T59"/>
      <c r="X59"/>
      <c r="Y59"/>
      <c r="AB59"/>
      <c r="AF59"/>
      <c r="AG59"/>
      <c r="AH59"/>
      <c r="AI59"/>
      <c r="AJ59" s="9"/>
      <c r="AK59" s="37"/>
      <c r="AL59" s="37"/>
      <c r="AM59" s="37"/>
      <c r="AN59"/>
      <c r="AO59"/>
      <c r="AP59"/>
      <c r="AQ59"/>
      <c r="AR59"/>
      <c r="AS59"/>
      <c r="AT59"/>
      <c r="AU59"/>
      <c r="AV59"/>
      <c r="AW59"/>
      <c r="AX59"/>
      <c r="BE59"/>
      <c r="BI59"/>
      <c r="BM59"/>
      <c r="BQ59"/>
      <c r="BV59"/>
      <c r="BW59"/>
      <c r="BX59"/>
      <c r="BY59"/>
      <c r="BZ59"/>
      <c r="CA59"/>
    </row>
    <row r="60" spans="11:79" x14ac:dyDescent="0.25">
      <c r="K60"/>
      <c r="L60"/>
      <c r="M60"/>
      <c r="P60"/>
      <c r="T60"/>
      <c r="X60"/>
      <c r="Y60"/>
      <c r="AB60"/>
      <c r="AF60"/>
      <c r="AG60"/>
      <c r="AH60"/>
      <c r="AI60"/>
      <c r="AJ60" s="9"/>
      <c r="AK60" s="37"/>
      <c r="AL60" s="37"/>
      <c r="AM60" s="37"/>
      <c r="AN60"/>
      <c r="AO60"/>
      <c r="AP60"/>
      <c r="AQ60"/>
      <c r="AR60"/>
      <c r="AS60"/>
      <c r="AT60"/>
      <c r="AU60"/>
      <c r="AV60"/>
      <c r="AW60"/>
      <c r="AX60"/>
      <c r="BE60"/>
      <c r="BI60"/>
      <c r="BM60"/>
      <c r="BQ60"/>
      <c r="BV60"/>
      <c r="BW60"/>
      <c r="BX60"/>
      <c r="BY60"/>
      <c r="BZ60"/>
      <c r="CA60"/>
    </row>
    <row r="61" spans="11:79" x14ac:dyDescent="0.25">
      <c r="K61"/>
      <c r="L61"/>
      <c r="M61"/>
      <c r="P61"/>
      <c r="T61"/>
      <c r="X61"/>
      <c r="Y61"/>
      <c r="AB61"/>
      <c r="AF61"/>
      <c r="AG61"/>
      <c r="AH61"/>
      <c r="AI61"/>
      <c r="AJ61" s="9"/>
      <c r="AK61" s="37"/>
      <c r="AL61" s="37"/>
      <c r="AM61" s="37"/>
      <c r="AN61"/>
      <c r="AO61"/>
      <c r="AP61"/>
      <c r="AQ61"/>
      <c r="AR61"/>
      <c r="AS61"/>
      <c r="AT61"/>
      <c r="AU61"/>
      <c r="AV61"/>
      <c r="AW61"/>
      <c r="AX61"/>
      <c r="BE61"/>
      <c r="BI61"/>
      <c r="BM61"/>
      <c r="BQ61"/>
      <c r="BV61"/>
      <c r="BW61"/>
      <c r="BX61"/>
      <c r="BY61"/>
      <c r="BZ61"/>
      <c r="CA61"/>
    </row>
    <row r="62" spans="11:79" x14ac:dyDescent="0.25">
      <c r="K62"/>
      <c r="L62"/>
      <c r="M62"/>
      <c r="P62"/>
      <c r="T62"/>
      <c r="X62"/>
      <c r="Y62"/>
      <c r="AB62"/>
      <c r="AF62"/>
      <c r="AG62"/>
      <c r="AH62"/>
      <c r="AI62"/>
      <c r="AJ62" s="9"/>
      <c r="AK62" s="37"/>
      <c r="AL62" s="37"/>
      <c r="AM62" s="37"/>
      <c r="AN62"/>
      <c r="AO62"/>
      <c r="AP62"/>
      <c r="AQ62"/>
      <c r="AR62"/>
      <c r="AS62"/>
      <c r="AT62"/>
      <c r="AU62"/>
      <c r="AV62"/>
      <c r="AW62"/>
      <c r="AX62"/>
      <c r="BE62"/>
      <c r="BI62"/>
      <c r="BM62"/>
      <c r="BQ62"/>
      <c r="BV62"/>
      <c r="BW62"/>
      <c r="BX62"/>
      <c r="BY62"/>
      <c r="BZ62"/>
      <c r="CA62"/>
    </row>
    <row r="63" spans="11:79" x14ac:dyDescent="0.25">
      <c r="K63"/>
      <c r="L63"/>
      <c r="M63"/>
      <c r="P63"/>
      <c r="T63"/>
      <c r="X63"/>
      <c r="Y63"/>
      <c r="AB63"/>
      <c r="AF63"/>
      <c r="AG63"/>
      <c r="AH63"/>
      <c r="AI63"/>
      <c r="AJ63" s="9"/>
      <c r="AK63" s="37"/>
      <c r="AL63" s="37"/>
      <c r="AM63" s="37"/>
      <c r="AN63"/>
      <c r="AO63"/>
      <c r="AP63"/>
      <c r="AQ63"/>
      <c r="AR63"/>
      <c r="AS63"/>
      <c r="AT63"/>
      <c r="AU63"/>
      <c r="AV63"/>
      <c r="AW63"/>
      <c r="AX63"/>
      <c r="BE63"/>
      <c r="BI63"/>
      <c r="BM63"/>
      <c r="BQ63"/>
      <c r="BV63"/>
      <c r="BW63"/>
      <c r="BX63"/>
      <c r="BY63"/>
      <c r="BZ63"/>
      <c r="CA63"/>
    </row>
    <row r="64" spans="11:79" x14ac:dyDescent="0.25">
      <c r="K64"/>
      <c r="L64"/>
      <c r="M64"/>
      <c r="P64"/>
      <c r="T64"/>
      <c r="X64"/>
      <c r="Y64"/>
      <c r="AB64"/>
      <c r="AF64"/>
      <c r="AG64"/>
      <c r="AH64"/>
      <c r="AI64"/>
      <c r="AJ64" s="9"/>
      <c r="AK64" s="37"/>
      <c r="AL64" s="37"/>
      <c r="AM64" s="37"/>
      <c r="AN64"/>
      <c r="AO64"/>
      <c r="AP64"/>
      <c r="AQ64"/>
      <c r="AR64"/>
      <c r="AS64"/>
      <c r="AT64"/>
      <c r="AU64"/>
      <c r="AV64"/>
      <c r="AW64"/>
      <c r="AX64"/>
      <c r="BE64"/>
      <c r="BI64"/>
      <c r="BM64"/>
      <c r="BQ64"/>
      <c r="BV64"/>
      <c r="BW64"/>
      <c r="BX64"/>
      <c r="BY64"/>
      <c r="BZ64"/>
      <c r="CA64"/>
    </row>
    <row r="65" spans="11:79" x14ac:dyDescent="0.25">
      <c r="K65"/>
      <c r="L65"/>
      <c r="M65"/>
      <c r="P65"/>
      <c r="T65"/>
      <c r="X65"/>
      <c r="Y65"/>
      <c r="AB65"/>
      <c r="AK65" s="37"/>
      <c r="AL65" s="37"/>
      <c r="AM65" s="37"/>
      <c r="BV65"/>
      <c r="BW65"/>
      <c r="BX65"/>
      <c r="BY65"/>
      <c r="BZ65"/>
      <c r="CA65"/>
    </row>
    <row r="66" spans="11:79" x14ac:dyDescent="0.25">
      <c r="K66"/>
      <c r="L66"/>
      <c r="M66"/>
      <c r="P66"/>
      <c r="T66"/>
      <c r="X66"/>
      <c r="Y66"/>
      <c r="AB66"/>
      <c r="AK66" s="37"/>
      <c r="AL66" s="37"/>
      <c r="AM66" s="37"/>
      <c r="BV66"/>
      <c r="BW66"/>
      <c r="BX66"/>
      <c r="BY66"/>
      <c r="BZ66"/>
      <c r="CA66"/>
    </row>
    <row r="67" spans="11:79" x14ac:dyDescent="0.25">
      <c r="K67"/>
      <c r="L67"/>
      <c r="M67"/>
      <c r="P67"/>
      <c r="T67"/>
      <c r="X67"/>
      <c r="Y67"/>
      <c r="AB67"/>
      <c r="AK67" s="37"/>
      <c r="AL67" s="37"/>
      <c r="AM67" s="37"/>
      <c r="BV67"/>
      <c r="BW67"/>
      <c r="BX67"/>
      <c r="BY67"/>
      <c r="BZ67"/>
      <c r="CA67"/>
    </row>
    <row r="68" spans="11:79" x14ac:dyDescent="0.25">
      <c r="K68"/>
      <c r="L68"/>
      <c r="M68"/>
      <c r="P68"/>
      <c r="T68"/>
      <c r="X68"/>
      <c r="Y68"/>
      <c r="AB68"/>
      <c r="AK68" s="37"/>
      <c r="AM68" s="37"/>
      <c r="BV68"/>
      <c r="BW68"/>
      <c r="BX68"/>
      <c r="BY68"/>
      <c r="BZ68"/>
      <c r="CA68"/>
    </row>
    <row r="69" spans="11:79" x14ac:dyDescent="0.25">
      <c r="K69"/>
      <c r="L69"/>
      <c r="M69"/>
      <c r="P69"/>
      <c r="T69"/>
      <c r="X69"/>
      <c r="Y69"/>
      <c r="AB69"/>
      <c r="AK69" s="37"/>
      <c r="AL69" s="37"/>
      <c r="AM69" s="37"/>
      <c r="BV69"/>
      <c r="BW69"/>
      <c r="BX69"/>
      <c r="BY69"/>
      <c r="BZ69"/>
      <c r="CA69"/>
    </row>
    <row r="70" spans="11:79" x14ac:dyDescent="0.25">
      <c r="K70"/>
      <c r="L70"/>
      <c r="M70"/>
      <c r="P70"/>
      <c r="T70"/>
      <c r="X70"/>
      <c r="Y70"/>
      <c r="AB70"/>
      <c r="AK70" s="37"/>
      <c r="AL70" s="37"/>
      <c r="AM70" s="37"/>
      <c r="BV70"/>
      <c r="BW70"/>
      <c r="BX70"/>
      <c r="BY70"/>
      <c r="BZ70"/>
      <c r="CA70"/>
    </row>
    <row r="71" spans="11:79" x14ac:dyDescent="0.25">
      <c r="K71"/>
      <c r="L71"/>
      <c r="M71"/>
      <c r="P71"/>
      <c r="T71"/>
      <c r="X71"/>
      <c r="Y71"/>
      <c r="AB71"/>
      <c r="AK71" s="37"/>
      <c r="AL71" s="37"/>
      <c r="AM71" s="37"/>
      <c r="BV71"/>
      <c r="BW71"/>
      <c r="BX71"/>
      <c r="BY71"/>
      <c r="BZ71"/>
      <c r="CA71"/>
    </row>
    <row r="72" spans="11:79" x14ac:dyDescent="0.25">
      <c r="K72"/>
      <c r="L72"/>
      <c r="M72"/>
      <c r="P72"/>
      <c r="T72"/>
      <c r="X72"/>
      <c r="Y72"/>
      <c r="AB72"/>
      <c r="AK72" s="37"/>
      <c r="AL72" s="37"/>
      <c r="AM72" s="37"/>
      <c r="BV72"/>
      <c r="BW72"/>
      <c r="BX72"/>
      <c r="BY72"/>
      <c r="BZ72"/>
      <c r="CA72"/>
    </row>
    <row r="73" spans="11:79" x14ac:dyDescent="0.25">
      <c r="K73"/>
      <c r="L73"/>
      <c r="M73"/>
      <c r="P73"/>
      <c r="T73"/>
      <c r="X73"/>
      <c r="Y73"/>
      <c r="AB73"/>
      <c r="AC73" s="37"/>
      <c r="AD73" s="37"/>
      <c r="AE73" s="37"/>
      <c r="AK73" s="37"/>
      <c r="AL73" s="37"/>
      <c r="AM73" s="37"/>
      <c r="AS73" s="35"/>
      <c r="AT73" s="35"/>
      <c r="AU73" s="35"/>
      <c r="BF73" s="37"/>
      <c r="BG73" s="37"/>
      <c r="BH73" s="37"/>
      <c r="BJ73" s="37"/>
      <c r="BK73" s="37"/>
      <c r="BL73" s="37"/>
      <c r="BN73" s="37"/>
      <c r="BO73" s="37"/>
      <c r="BP73" s="37"/>
      <c r="BV73"/>
      <c r="BW73"/>
      <c r="BX73"/>
      <c r="BY73"/>
      <c r="BZ73"/>
      <c r="CA73"/>
    </row>
    <row r="74" spans="11:79" x14ac:dyDescent="0.25">
      <c r="K74"/>
      <c r="L74"/>
      <c r="M74"/>
      <c r="P74"/>
      <c r="T74"/>
      <c r="X74"/>
      <c r="Y74"/>
      <c r="AB74"/>
      <c r="AK74" s="37"/>
      <c r="AL74" s="37"/>
      <c r="AM74" s="37"/>
      <c r="BV74"/>
      <c r="BW74"/>
      <c r="BX74"/>
      <c r="BY74"/>
      <c r="BZ74"/>
      <c r="CA74"/>
    </row>
    <row r="75" spans="11:79" x14ac:dyDescent="0.25">
      <c r="K75"/>
      <c r="L75"/>
      <c r="M75"/>
      <c r="P75"/>
      <c r="T75"/>
      <c r="X75"/>
      <c r="Y75"/>
      <c r="AB75"/>
      <c r="AK75" s="37"/>
      <c r="AL75" s="37"/>
      <c r="AM75" s="37"/>
      <c r="AS75" s="35"/>
      <c r="AT75" s="35"/>
      <c r="AU75" s="35"/>
      <c r="BV75"/>
      <c r="BW75"/>
      <c r="BX75"/>
      <c r="BY75"/>
      <c r="BZ75"/>
      <c r="CA75"/>
    </row>
    <row r="76" spans="11:79" x14ac:dyDescent="0.25">
      <c r="K76"/>
      <c r="L76"/>
      <c r="M76"/>
      <c r="P76"/>
      <c r="T76"/>
      <c r="X76"/>
      <c r="Y76"/>
      <c r="AB76"/>
      <c r="AK76" s="37"/>
      <c r="AL76" s="37"/>
      <c r="AM76" s="37"/>
      <c r="BV76"/>
      <c r="BW76"/>
      <c r="BX76"/>
      <c r="BY76"/>
      <c r="BZ76"/>
      <c r="CA76"/>
    </row>
    <row r="77" spans="11:79" x14ac:dyDescent="0.25">
      <c r="K77"/>
      <c r="L77"/>
      <c r="M77"/>
      <c r="P77"/>
      <c r="T77"/>
      <c r="X77"/>
      <c r="Y77"/>
      <c r="AB77"/>
      <c r="AK77" s="37"/>
      <c r="AL77" s="37"/>
      <c r="AM77" s="37"/>
      <c r="AS77" s="35"/>
      <c r="AT77" s="35"/>
      <c r="AU77" s="35"/>
      <c r="BV77"/>
      <c r="BW77"/>
      <c r="BX77"/>
      <c r="BY77"/>
      <c r="BZ77"/>
      <c r="CA77"/>
    </row>
  </sheetData>
  <mergeCells count="13">
    <mergeCell ref="BW1:CA1"/>
    <mergeCell ref="AO1:AV1"/>
    <mergeCell ref="AY1:BB1"/>
    <mergeCell ref="BF1:BI1"/>
    <mergeCell ref="BJ1:BM1"/>
    <mergeCell ref="BN1:BQ1"/>
    <mergeCell ref="BR1:BV1"/>
    <mergeCell ref="AK1:AN1"/>
    <mergeCell ref="N1:P1"/>
    <mergeCell ref="Q1:T1"/>
    <mergeCell ref="U1:X1"/>
    <mergeCell ref="Y1:AB1"/>
    <mergeCell ref="AC1:AF1"/>
  </mergeCells>
  <pageMargins left="0.7" right="0.7" top="0.75" bottom="0.75" header="0.3" footer="0.3"/>
  <pageSetup paperSize="9" orientation="portrait" horizontalDpi="4294967292" verticalDpi="429496729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"/>
  <sheetViews>
    <sheetView workbookViewId="0">
      <selection activeCell="C4" sqref="C4"/>
    </sheetView>
  </sheetViews>
  <sheetFormatPr defaultColWidth="8.875" defaultRowHeight="15.75" x14ac:dyDescent="0.25"/>
  <cols>
    <col min="1" max="1" width="17.875" customWidth="1"/>
    <col min="2" max="3" width="13.125" customWidth="1"/>
  </cols>
  <sheetData>
    <row r="1" spans="1:77" s="77" customFormat="1" x14ac:dyDescent="0.25">
      <c r="G1" s="78"/>
      <c r="H1" s="78"/>
      <c r="K1" s="79"/>
      <c r="L1" s="80" t="s">
        <v>107</v>
      </c>
      <c r="M1" s="81"/>
      <c r="N1" s="300" t="s">
        <v>119</v>
      </c>
      <c r="O1" s="301"/>
      <c r="P1" s="302"/>
      <c r="Q1" s="300" t="s">
        <v>330</v>
      </c>
      <c r="R1" s="301"/>
      <c r="S1" s="301"/>
      <c r="T1" s="302"/>
      <c r="U1" s="300" t="s">
        <v>121</v>
      </c>
      <c r="V1" s="301"/>
      <c r="W1" s="301"/>
      <c r="X1" s="302"/>
      <c r="Y1" s="300" t="s">
        <v>122</v>
      </c>
      <c r="Z1" s="301"/>
      <c r="AA1" s="301"/>
      <c r="AB1" s="302"/>
      <c r="AC1" s="300" t="s">
        <v>124</v>
      </c>
      <c r="AD1" s="301"/>
      <c r="AE1" s="301"/>
      <c r="AF1" s="301"/>
      <c r="AG1" s="300" t="s">
        <v>329</v>
      </c>
      <c r="AH1" s="301"/>
      <c r="AI1" s="301"/>
      <c r="AJ1" s="302"/>
      <c r="AK1" s="300" t="s">
        <v>123</v>
      </c>
      <c r="AL1" s="301"/>
      <c r="AM1" s="301"/>
      <c r="AN1" s="302"/>
      <c r="AO1" s="303" t="s">
        <v>272</v>
      </c>
      <c r="AP1" s="304"/>
      <c r="AQ1" s="304"/>
      <c r="AR1" s="304"/>
      <c r="AS1" s="304"/>
      <c r="AT1" s="304"/>
      <c r="AU1" s="304"/>
      <c r="AV1" s="305"/>
      <c r="AW1" s="82" t="s">
        <v>0</v>
      </c>
      <c r="AX1" s="300" t="s">
        <v>1</v>
      </c>
      <c r="AY1" s="301"/>
      <c r="AZ1" s="301"/>
      <c r="BA1" s="301"/>
      <c r="BB1" s="83"/>
      <c r="BC1" s="300" t="s">
        <v>125</v>
      </c>
      <c r="BD1" s="301"/>
      <c r="BE1" s="301"/>
      <c r="BF1" s="302"/>
      <c r="BG1" s="300" t="s">
        <v>126</v>
      </c>
      <c r="BH1" s="301"/>
      <c r="BI1" s="301"/>
      <c r="BJ1" s="302"/>
      <c r="BK1" s="300" t="s">
        <v>127</v>
      </c>
      <c r="BL1" s="301"/>
      <c r="BM1" s="301"/>
      <c r="BN1" s="302"/>
      <c r="BO1" s="301" t="s">
        <v>108</v>
      </c>
      <c r="BP1" s="301"/>
      <c r="BQ1" s="301"/>
      <c r="BR1" s="301"/>
      <c r="BS1" s="302"/>
      <c r="BT1" s="297" t="s">
        <v>109</v>
      </c>
      <c r="BU1" s="298"/>
      <c r="BV1" s="298"/>
      <c r="BW1" s="298"/>
      <c r="BX1" s="299"/>
    </row>
    <row r="2" spans="1:77" s="92" customFormat="1" ht="16.5" thickBot="1" x14ac:dyDescent="0.3">
      <c r="A2" s="84" t="s">
        <v>56</v>
      </c>
      <c r="B2" s="84" t="s">
        <v>2</v>
      </c>
      <c r="C2" s="84" t="s">
        <v>612</v>
      </c>
      <c r="D2" s="84" t="s">
        <v>3</v>
      </c>
      <c r="E2" s="84" t="s">
        <v>4</v>
      </c>
      <c r="F2" s="84" t="s">
        <v>5</v>
      </c>
      <c r="G2" s="85" t="s">
        <v>104</v>
      </c>
      <c r="H2" s="85" t="s">
        <v>103</v>
      </c>
      <c r="I2" s="84" t="s">
        <v>6</v>
      </c>
      <c r="J2" s="84" t="s">
        <v>7</v>
      </c>
      <c r="K2" s="86" t="s">
        <v>8</v>
      </c>
      <c r="L2" s="87" t="s">
        <v>40</v>
      </c>
      <c r="M2" s="88" t="s">
        <v>41</v>
      </c>
      <c r="N2" s="84" t="s">
        <v>9</v>
      </c>
      <c r="O2" s="84" t="s">
        <v>10</v>
      </c>
      <c r="P2" s="86" t="s">
        <v>11</v>
      </c>
      <c r="Q2" s="84" t="s">
        <v>12</v>
      </c>
      <c r="R2" s="84" t="s">
        <v>13</v>
      </c>
      <c r="S2" s="84" t="s">
        <v>14</v>
      </c>
      <c r="T2" s="89" t="s">
        <v>15</v>
      </c>
      <c r="U2" s="84" t="s">
        <v>16</v>
      </c>
      <c r="V2" s="84" t="s">
        <v>17</v>
      </c>
      <c r="W2" s="84" t="s">
        <v>18</v>
      </c>
      <c r="X2" s="89" t="s">
        <v>19</v>
      </c>
      <c r="Y2" s="90" t="s">
        <v>20</v>
      </c>
      <c r="Z2" s="84" t="s">
        <v>21</v>
      </c>
      <c r="AA2" s="84" t="s">
        <v>22</v>
      </c>
      <c r="AB2" s="89" t="s">
        <v>23</v>
      </c>
      <c r="AC2" s="90" t="s">
        <v>28</v>
      </c>
      <c r="AD2" s="90" t="s">
        <v>29</v>
      </c>
      <c r="AE2" s="90"/>
      <c r="AF2" s="89" t="s">
        <v>31</v>
      </c>
      <c r="AG2" s="90" t="s">
        <v>28</v>
      </c>
      <c r="AH2" s="90" t="s">
        <v>29</v>
      </c>
      <c r="AI2" s="90" t="s">
        <v>30</v>
      </c>
      <c r="AJ2" s="89" t="s">
        <v>31</v>
      </c>
      <c r="AK2" s="84" t="s">
        <v>24</v>
      </c>
      <c r="AL2" s="84" t="s">
        <v>25</v>
      </c>
      <c r="AM2" s="84" t="s">
        <v>26</v>
      </c>
      <c r="AN2" s="89" t="s">
        <v>27</v>
      </c>
      <c r="AO2" s="90" t="s">
        <v>273</v>
      </c>
      <c r="AP2" s="90" t="s">
        <v>274</v>
      </c>
      <c r="AQ2" s="90" t="s">
        <v>275</v>
      </c>
      <c r="AR2" s="89" t="s">
        <v>276</v>
      </c>
      <c r="AS2" s="90" t="s">
        <v>277</v>
      </c>
      <c r="AT2" s="90" t="s">
        <v>278</v>
      </c>
      <c r="AU2" s="90" t="s">
        <v>279</v>
      </c>
      <c r="AV2" s="89" t="s">
        <v>276</v>
      </c>
      <c r="AW2" s="91" t="s">
        <v>128</v>
      </c>
      <c r="AX2" s="84" t="s">
        <v>42</v>
      </c>
      <c r="AY2" s="84" t="s">
        <v>43</v>
      </c>
      <c r="AZ2" s="84" t="s">
        <v>44</v>
      </c>
      <c r="BA2" s="84" t="s">
        <v>45</v>
      </c>
      <c r="BB2" s="86" t="s">
        <v>91</v>
      </c>
      <c r="BC2" s="84" t="s">
        <v>115</v>
      </c>
      <c r="BD2" s="84" t="s">
        <v>116</v>
      </c>
      <c r="BE2" s="84" t="s">
        <v>117</v>
      </c>
      <c r="BF2" s="89" t="s">
        <v>118</v>
      </c>
      <c r="BG2" s="84" t="s">
        <v>32</v>
      </c>
      <c r="BH2" s="84" t="s">
        <v>33</v>
      </c>
      <c r="BI2" s="84" t="s">
        <v>34</v>
      </c>
      <c r="BJ2" s="89" t="s">
        <v>35</v>
      </c>
      <c r="BK2" s="84" t="s">
        <v>36</v>
      </c>
      <c r="BL2" s="84" t="s">
        <v>37</v>
      </c>
      <c r="BM2" s="84" t="s">
        <v>38</v>
      </c>
      <c r="BN2" s="89" t="s">
        <v>39</v>
      </c>
      <c r="BO2" s="84" t="s">
        <v>105</v>
      </c>
      <c r="BP2" s="84" t="s">
        <v>110</v>
      </c>
      <c r="BQ2" s="84" t="s">
        <v>106</v>
      </c>
      <c r="BR2" s="84" t="s">
        <v>46</v>
      </c>
      <c r="BS2" s="86" t="s">
        <v>47</v>
      </c>
      <c r="BT2" s="84" t="s">
        <v>110</v>
      </c>
      <c r="BU2" s="84" t="s">
        <v>111</v>
      </c>
      <c r="BV2" s="84" t="s">
        <v>112</v>
      </c>
      <c r="BW2" s="84" t="s">
        <v>113</v>
      </c>
      <c r="BX2" s="86" t="s">
        <v>114</v>
      </c>
      <c r="BY2" s="84" t="s">
        <v>48</v>
      </c>
    </row>
    <row r="3" spans="1:77" x14ac:dyDescent="0.25">
      <c r="A3" t="s">
        <v>331</v>
      </c>
      <c r="B3" t="s">
        <v>332</v>
      </c>
      <c r="C3" t="s">
        <v>238</v>
      </c>
      <c r="D3" t="s">
        <v>49</v>
      </c>
      <c r="E3" t="s">
        <v>289</v>
      </c>
      <c r="I3" t="s">
        <v>312</v>
      </c>
      <c r="J3" t="s">
        <v>333</v>
      </c>
      <c r="M3" t="s">
        <v>64</v>
      </c>
      <c r="N3">
        <v>33</v>
      </c>
      <c r="O3">
        <v>4</v>
      </c>
      <c r="P3">
        <f>N3-O3</f>
        <v>29</v>
      </c>
      <c r="Q3">
        <v>88.75</v>
      </c>
      <c r="R3">
        <v>87.92</v>
      </c>
      <c r="S3">
        <v>88.59</v>
      </c>
      <c r="U3">
        <v>113.95</v>
      </c>
      <c r="V3">
        <v>114.51</v>
      </c>
      <c r="W3">
        <v>113.21</v>
      </c>
      <c r="Y3">
        <v>3.13</v>
      </c>
      <c r="Z3">
        <v>2.95</v>
      </c>
      <c r="AA3">
        <v>3</v>
      </c>
      <c r="AC3">
        <v>18.77</v>
      </c>
      <c r="AD3">
        <v>18.73</v>
      </c>
      <c r="AE3">
        <v>18.7</v>
      </c>
      <c r="AG3">
        <v>23.81</v>
      </c>
      <c r="AH3">
        <v>23.54</v>
      </c>
      <c r="AI3">
        <v>23.78</v>
      </c>
      <c r="AK3">
        <v>24.8</v>
      </c>
      <c r="AL3">
        <v>24.87</v>
      </c>
      <c r="AM3">
        <v>24.89</v>
      </c>
      <c r="BC3">
        <v>19.53</v>
      </c>
      <c r="BD3">
        <v>19.350000000000001</v>
      </c>
      <c r="BE3">
        <v>19.690000000000001</v>
      </c>
      <c r="BG3">
        <v>14.84</v>
      </c>
      <c r="BH3">
        <v>14.66</v>
      </c>
      <c r="BI3">
        <v>14.38</v>
      </c>
      <c r="BK3">
        <v>30.15</v>
      </c>
      <c r="BL3">
        <v>29.54</v>
      </c>
      <c r="BM3">
        <v>29.53</v>
      </c>
      <c r="BO3" t="s">
        <v>51</v>
      </c>
      <c r="BP3" t="s">
        <v>51</v>
      </c>
      <c r="BQ3" t="s">
        <v>51</v>
      </c>
      <c r="BR3" t="s">
        <v>52</v>
      </c>
      <c r="BS3" t="s">
        <v>52</v>
      </c>
    </row>
    <row r="4" spans="1:77" x14ac:dyDescent="0.25">
      <c r="A4" t="s">
        <v>532</v>
      </c>
      <c r="B4" t="s">
        <v>533</v>
      </c>
      <c r="D4" t="s">
        <v>49</v>
      </c>
      <c r="E4" t="s">
        <v>393</v>
      </c>
      <c r="I4" t="s">
        <v>527</v>
      </c>
      <c r="J4" t="s">
        <v>536</v>
      </c>
      <c r="L4" t="s">
        <v>535</v>
      </c>
      <c r="M4" t="s">
        <v>50</v>
      </c>
      <c r="N4">
        <v>151</v>
      </c>
      <c r="O4">
        <v>98</v>
      </c>
      <c r="Q4">
        <v>78</v>
      </c>
      <c r="R4">
        <v>78</v>
      </c>
      <c r="S4">
        <v>78</v>
      </c>
      <c r="U4">
        <v>126</v>
      </c>
      <c r="V4">
        <v>126</v>
      </c>
      <c r="W4">
        <v>126</v>
      </c>
      <c r="Y4">
        <v>7.12</v>
      </c>
      <c r="Z4">
        <v>7.4</v>
      </c>
      <c r="AA4">
        <v>7.21</v>
      </c>
      <c r="AC4">
        <v>18.850000000000001</v>
      </c>
      <c r="AD4">
        <v>18.59</v>
      </c>
      <c r="AE4">
        <v>18.66</v>
      </c>
      <c r="AG4">
        <v>23.18</v>
      </c>
      <c r="AH4">
        <v>22.95</v>
      </c>
      <c r="AI4">
        <v>22.82</v>
      </c>
      <c r="AK4">
        <v>32.380000000000003</v>
      </c>
      <c r="AL4">
        <v>32.08</v>
      </c>
      <c r="AM4">
        <v>32.56</v>
      </c>
      <c r="BC4">
        <v>20.57</v>
      </c>
      <c r="BD4">
        <v>20.309999999999999</v>
      </c>
      <c r="BE4">
        <v>20.57</v>
      </c>
      <c r="BG4">
        <v>17.8</v>
      </c>
      <c r="BH4">
        <v>17.95</v>
      </c>
      <c r="BI4">
        <v>17.72</v>
      </c>
      <c r="BK4">
        <v>32.42</v>
      </c>
      <c r="BL4">
        <v>32.979999999999997</v>
      </c>
      <c r="BM4">
        <v>32.4</v>
      </c>
      <c r="BO4" t="s">
        <v>51</v>
      </c>
      <c r="BP4" t="s">
        <v>51</v>
      </c>
      <c r="BQ4" t="s">
        <v>51</v>
      </c>
      <c r="BR4" t="s">
        <v>52</v>
      </c>
      <c r="BS4" t="s">
        <v>52</v>
      </c>
      <c r="BY4" t="s">
        <v>534</v>
      </c>
    </row>
    <row r="5" spans="1:77" x14ac:dyDescent="0.25">
      <c r="A5" t="s">
        <v>331</v>
      </c>
      <c r="B5" t="s">
        <v>596</v>
      </c>
      <c r="D5" t="s">
        <v>49</v>
      </c>
      <c r="E5" t="s">
        <v>393</v>
      </c>
      <c r="I5" t="s">
        <v>593</v>
      </c>
      <c r="J5" t="s">
        <v>594</v>
      </c>
      <c r="M5" t="s">
        <v>50</v>
      </c>
      <c r="P5">
        <v>38</v>
      </c>
      <c r="Q5">
        <v>80.88</v>
      </c>
      <c r="U5">
        <v>122.06</v>
      </c>
      <c r="Y5">
        <v>2.95</v>
      </c>
      <c r="AC5">
        <v>18.100000000000001</v>
      </c>
      <c r="AG5">
        <v>23.55</v>
      </c>
      <c r="AK5">
        <v>31.39</v>
      </c>
      <c r="BC5">
        <v>21.64</v>
      </c>
      <c r="BY5" t="s">
        <v>595</v>
      </c>
    </row>
  </sheetData>
  <mergeCells count="14">
    <mergeCell ref="N1:P1"/>
    <mergeCell ref="Q1:T1"/>
    <mergeCell ref="U1:X1"/>
    <mergeCell ref="Y1:AB1"/>
    <mergeCell ref="AC1:AF1"/>
    <mergeCell ref="BT1:BX1"/>
    <mergeCell ref="AG1:AJ1"/>
    <mergeCell ref="AO1:AV1"/>
    <mergeCell ref="AX1:BA1"/>
    <mergeCell ref="BC1:BF1"/>
    <mergeCell ref="BG1:BJ1"/>
    <mergeCell ref="BK1:BN1"/>
    <mergeCell ref="BO1:BS1"/>
    <mergeCell ref="AK1:AN1"/>
  </mergeCells>
  <pageMargins left="0.7" right="0.7" top="0.75" bottom="0.75" header="0.3" footer="0.3"/>
  <pageSetup paperSize="9" orientation="portrait" horizontalDpi="4294967292" verticalDpi="42949672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N15" sqref="N15"/>
    </sheetView>
  </sheetViews>
  <sheetFormatPr defaultColWidth="11" defaultRowHeight="15.75" x14ac:dyDescent="0.25"/>
  <cols>
    <col min="7" max="7" width="13.125" bestFit="1" customWidth="1"/>
  </cols>
  <sheetData>
    <row r="1" spans="1:72" s="30" customFormat="1" x14ac:dyDescent="0.25">
      <c r="A1" s="25" t="s">
        <v>56</v>
      </c>
      <c r="B1" s="26" t="s">
        <v>129</v>
      </c>
      <c r="C1" s="27" t="s">
        <v>130</v>
      </c>
      <c r="D1" s="28" t="s">
        <v>131</v>
      </c>
      <c r="E1" s="27" t="s">
        <v>132</v>
      </c>
      <c r="F1" s="27" t="s">
        <v>133</v>
      </c>
      <c r="G1" s="27" t="s">
        <v>134</v>
      </c>
      <c r="H1" s="27" t="s">
        <v>135</v>
      </c>
      <c r="I1" s="27" t="s">
        <v>136</v>
      </c>
      <c r="J1" s="29" t="s">
        <v>137</v>
      </c>
      <c r="K1" s="29" t="s">
        <v>138</v>
      </c>
      <c r="L1" s="29" t="s">
        <v>139</v>
      </c>
      <c r="M1" s="29" t="s">
        <v>140</v>
      </c>
      <c r="N1" s="29" t="s">
        <v>141</v>
      </c>
      <c r="O1" s="29" t="s">
        <v>142</v>
      </c>
      <c r="P1" s="29" t="s">
        <v>143</v>
      </c>
      <c r="Q1" s="29" t="s">
        <v>144</v>
      </c>
      <c r="R1" s="29" t="s">
        <v>145</v>
      </c>
      <c r="S1" s="29" t="s">
        <v>146</v>
      </c>
      <c r="T1" s="29" t="s">
        <v>147</v>
      </c>
      <c r="U1" s="29" t="s">
        <v>148</v>
      </c>
      <c r="V1" s="29" t="s">
        <v>149</v>
      </c>
      <c r="W1" s="29" t="s">
        <v>150</v>
      </c>
      <c r="X1" s="29" t="s">
        <v>151</v>
      </c>
      <c r="Y1" s="29" t="s">
        <v>152</v>
      </c>
    </row>
    <row r="2" spans="1:72" x14ac:dyDescent="0.25">
      <c r="A2" t="s">
        <v>57</v>
      </c>
      <c r="B2" t="s">
        <v>468</v>
      </c>
      <c r="C2">
        <v>1047</v>
      </c>
      <c r="E2" s="100">
        <v>42642</v>
      </c>
      <c r="F2" t="s">
        <v>481</v>
      </c>
      <c r="G2">
        <v>1701</v>
      </c>
      <c r="H2">
        <v>97</v>
      </c>
      <c r="I2">
        <f>G2-H2</f>
        <v>1604</v>
      </c>
    </row>
    <row r="3" spans="1:72" x14ac:dyDescent="0.25">
      <c r="A3" t="s">
        <v>57</v>
      </c>
      <c r="B3" t="s">
        <v>335</v>
      </c>
      <c r="C3">
        <v>1035</v>
      </c>
      <c r="E3" s="100">
        <v>42648</v>
      </c>
      <c r="F3" t="s">
        <v>519</v>
      </c>
      <c r="G3">
        <v>863</v>
      </c>
      <c r="H3">
        <v>95</v>
      </c>
      <c r="I3">
        <f>G3-H3</f>
        <v>768</v>
      </c>
    </row>
    <row r="4" spans="1:72" x14ac:dyDescent="0.25">
      <c r="A4" t="s">
        <v>302</v>
      </c>
      <c r="B4" t="s">
        <v>692</v>
      </c>
      <c r="C4">
        <v>1243</v>
      </c>
      <c r="D4" t="s">
        <v>693</v>
      </c>
      <c r="E4" s="100">
        <v>42881</v>
      </c>
      <c r="F4" s="4" t="s">
        <v>712</v>
      </c>
      <c r="G4">
        <v>570</v>
      </c>
      <c r="H4">
        <v>95</v>
      </c>
      <c r="I4" s="9">
        <f>G4-H4</f>
        <v>475</v>
      </c>
      <c r="M4" s="24"/>
      <c r="Q4" s="24"/>
      <c r="R4" s="36"/>
      <c r="U4" s="24"/>
      <c r="Y4" s="24"/>
      <c r="Z4" s="42"/>
      <c r="AA4" s="42"/>
      <c r="AB4" s="42"/>
      <c r="AC4" s="24"/>
      <c r="AG4" s="24"/>
      <c r="AH4" s="12"/>
      <c r="AI4" s="12"/>
      <c r="AJ4" s="12"/>
      <c r="AK4" s="9"/>
      <c r="AL4" s="12"/>
      <c r="AM4" s="12"/>
      <c r="AN4" s="12"/>
      <c r="AO4" s="9"/>
      <c r="AP4" s="10"/>
      <c r="AQ4" s="10"/>
      <c r="AR4" s="9"/>
      <c r="AS4" s="10"/>
      <c r="AT4" s="9"/>
      <c r="AW4" s="12"/>
      <c r="AX4" s="9"/>
      <c r="BB4" s="24"/>
      <c r="BF4" s="24"/>
      <c r="BJ4" s="24"/>
      <c r="BO4" s="9"/>
      <c r="BP4" s="12"/>
      <c r="BQ4" s="12"/>
      <c r="BR4" s="12"/>
      <c r="BS4" s="12"/>
      <c r="BT4" s="9"/>
    </row>
  </sheetData>
  <pageMargins left="0.75" right="0.75" top="1" bottom="1" header="0.5" footer="0.5"/>
  <pageSetup paperSize="9" orientation="portrait" horizontalDpi="4294967292" verticalDpi="429496729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"/>
  <sheetViews>
    <sheetView zoomScale="115" zoomScaleNormal="115" zoomScalePageLayoutView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1" sqref="A11"/>
    </sheetView>
  </sheetViews>
  <sheetFormatPr defaultColWidth="11" defaultRowHeight="15.75" x14ac:dyDescent="0.25"/>
  <cols>
    <col min="1" max="1" width="23.125" bestFit="1" customWidth="1"/>
    <col min="3" max="3" width="40.375" bestFit="1" customWidth="1"/>
  </cols>
  <sheetData>
    <row r="1" spans="1:50" s="30" customFormat="1" x14ac:dyDescent="0.25">
      <c r="A1" s="30" t="s">
        <v>198</v>
      </c>
      <c r="B1" s="30" t="s">
        <v>154</v>
      </c>
      <c r="C1" s="30" t="s">
        <v>155</v>
      </c>
      <c r="D1" s="30" t="s">
        <v>156</v>
      </c>
      <c r="E1" s="30" t="s">
        <v>157</v>
      </c>
      <c r="F1" s="30" t="s">
        <v>158</v>
      </c>
      <c r="G1" s="30" t="s">
        <v>159</v>
      </c>
      <c r="H1" s="30" t="s">
        <v>160</v>
      </c>
      <c r="I1" s="30" t="s">
        <v>161</v>
      </c>
      <c r="J1" s="30" t="s">
        <v>261</v>
      </c>
      <c r="K1" s="30" t="s">
        <v>995</v>
      </c>
      <c r="L1" s="30" t="s">
        <v>263</v>
      </c>
      <c r="M1" s="30" t="s">
        <v>262</v>
      </c>
      <c r="N1" s="30" t="s">
        <v>996</v>
      </c>
      <c r="O1" s="30" t="s">
        <v>997</v>
      </c>
      <c r="P1" s="30" t="s">
        <v>998</v>
      </c>
      <c r="Q1" s="30" t="s">
        <v>162</v>
      </c>
      <c r="R1" s="30" t="s">
        <v>163</v>
      </c>
      <c r="S1" s="30" t="s">
        <v>164</v>
      </c>
      <c r="T1" s="30" t="s">
        <v>165</v>
      </c>
      <c r="U1" s="30" t="s">
        <v>166</v>
      </c>
      <c r="V1" s="30" t="s">
        <v>167</v>
      </c>
      <c r="W1" s="30" t="s">
        <v>168</v>
      </c>
      <c r="X1" s="30" t="s">
        <v>169</v>
      </c>
      <c r="Y1" s="30" t="s">
        <v>170</v>
      </c>
      <c r="Z1" s="30" t="s">
        <v>264</v>
      </c>
      <c r="AA1" s="30" t="s">
        <v>265</v>
      </c>
      <c r="AB1" s="30" t="s">
        <v>171</v>
      </c>
      <c r="AC1" s="30" t="s">
        <v>172</v>
      </c>
      <c r="AD1" s="30" t="s">
        <v>173</v>
      </c>
      <c r="AE1" s="30" t="s">
        <v>174</v>
      </c>
      <c r="AF1" s="30" t="s">
        <v>175</v>
      </c>
      <c r="AG1" s="30" t="s">
        <v>176</v>
      </c>
      <c r="AH1" s="30" t="s">
        <v>177</v>
      </c>
      <c r="AI1" s="30" t="s">
        <v>178</v>
      </c>
      <c r="AJ1" s="30" t="s">
        <v>179</v>
      </c>
      <c r="AK1" s="30" t="s">
        <v>180</v>
      </c>
      <c r="AL1" s="30" t="s">
        <v>181</v>
      </c>
      <c r="AM1" s="30" t="s">
        <v>182</v>
      </c>
      <c r="AN1" s="30" t="s">
        <v>183</v>
      </c>
      <c r="AO1" s="30" t="s">
        <v>613</v>
      </c>
      <c r="AP1" s="30" t="s">
        <v>184</v>
      </c>
      <c r="AQ1" s="30" t="s">
        <v>602</v>
      </c>
      <c r="AR1" s="30" t="s">
        <v>603</v>
      </c>
      <c r="AT1" s="30" t="s">
        <v>250</v>
      </c>
      <c r="AU1" s="30" t="s">
        <v>110</v>
      </c>
      <c r="AV1" s="30" t="s">
        <v>251</v>
      </c>
      <c r="AW1" s="30" t="s">
        <v>252</v>
      </c>
      <c r="AX1" s="30" t="s">
        <v>253</v>
      </c>
    </row>
    <row r="2" spans="1:50" x14ac:dyDescent="0.25">
      <c r="A2" t="s">
        <v>199</v>
      </c>
      <c r="B2" t="s">
        <v>185</v>
      </c>
      <c r="C2" t="s">
        <v>186</v>
      </c>
      <c r="D2" t="s">
        <v>187</v>
      </c>
      <c r="E2" t="s">
        <v>64</v>
      </c>
      <c r="F2" t="s">
        <v>188</v>
      </c>
      <c r="G2" t="s">
        <v>189</v>
      </c>
      <c r="H2">
        <v>395</v>
      </c>
      <c r="Q2" t="s">
        <v>51</v>
      </c>
      <c r="R2" t="s">
        <v>190</v>
      </c>
      <c r="U2" t="s">
        <v>51</v>
      </c>
      <c r="W2" t="s">
        <v>51</v>
      </c>
      <c r="X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L2" t="s">
        <v>51</v>
      </c>
      <c r="AM2" t="s">
        <v>51</v>
      </c>
      <c r="AU2" t="s">
        <v>51</v>
      </c>
      <c r="AV2" t="s">
        <v>51</v>
      </c>
      <c r="AW2" t="s">
        <v>51</v>
      </c>
      <c r="AX2" t="s">
        <v>51</v>
      </c>
    </row>
    <row r="3" spans="1:50" x14ac:dyDescent="0.25">
      <c r="A3" t="s">
        <v>199</v>
      </c>
      <c r="B3" t="s">
        <v>191</v>
      </c>
      <c r="C3" t="s">
        <v>192</v>
      </c>
      <c r="D3" t="s">
        <v>193</v>
      </c>
      <c r="E3" t="s">
        <v>50</v>
      </c>
      <c r="F3" t="s">
        <v>188</v>
      </c>
      <c r="G3" t="s">
        <v>189</v>
      </c>
      <c r="H3">
        <v>313</v>
      </c>
      <c r="I3">
        <v>195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51</v>
      </c>
      <c r="W3" t="s">
        <v>51</v>
      </c>
      <c r="X3" t="s">
        <v>51</v>
      </c>
      <c r="AB3" t="s">
        <v>51</v>
      </c>
      <c r="AC3" t="s">
        <v>51</v>
      </c>
      <c r="AD3" t="s">
        <v>51</v>
      </c>
      <c r="AE3" t="s">
        <v>51</v>
      </c>
      <c r="AG3" t="s">
        <v>51</v>
      </c>
      <c r="AM3" t="s">
        <v>51</v>
      </c>
      <c r="AN3" t="s">
        <v>51</v>
      </c>
      <c r="AP3" t="s">
        <v>51</v>
      </c>
      <c r="AU3" t="s">
        <v>51</v>
      </c>
      <c r="AV3" t="s">
        <v>51</v>
      </c>
      <c r="AW3" t="s">
        <v>51</v>
      </c>
      <c r="AX3" t="s">
        <v>51</v>
      </c>
    </row>
    <row r="4" spans="1:50" x14ac:dyDescent="0.25">
      <c r="A4" t="s">
        <v>200</v>
      </c>
      <c r="B4" t="s">
        <v>194</v>
      </c>
      <c r="C4" t="s">
        <v>195</v>
      </c>
      <c r="D4" t="s">
        <v>196</v>
      </c>
      <c r="E4" t="s">
        <v>50</v>
      </c>
      <c r="F4" t="s">
        <v>188</v>
      </c>
      <c r="G4" t="s">
        <v>197</v>
      </c>
      <c r="H4">
        <v>1873</v>
      </c>
      <c r="I4">
        <v>324</v>
      </c>
      <c r="Q4" t="s">
        <v>51</v>
      </c>
      <c r="R4" t="s">
        <v>51</v>
      </c>
      <c r="S4" t="s">
        <v>51</v>
      </c>
      <c r="T4" t="s">
        <v>51</v>
      </c>
      <c r="U4" t="s">
        <v>51</v>
      </c>
      <c r="V4" t="s">
        <v>51</v>
      </c>
      <c r="W4" t="s">
        <v>51</v>
      </c>
      <c r="X4" t="s">
        <v>51</v>
      </c>
      <c r="Y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52</v>
      </c>
      <c r="AL4" t="s">
        <v>52</v>
      </c>
      <c r="AM4" t="s">
        <v>51</v>
      </c>
      <c r="AN4" t="s">
        <v>51</v>
      </c>
      <c r="AU4" t="s">
        <v>51</v>
      </c>
      <c r="AV4" t="s">
        <v>51</v>
      </c>
      <c r="AW4" t="s">
        <v>51</v>
      </c>
      <c r="AX4" t="s">
        <v>51</v>
      </c>
    </row>
    <row r="5" spans="1:50" x14ac:dyDescent="0.25">
      <c r="A5" t="s">
        <v>256</v>
      </c>
      <c r="B5" t="s">
        <v>257</v>
      </c>
      <c r="C5" t="s">
        <v>258</v>
      </c>
      <c r="D5" t="s">
        <v>259</v>
      </c>
      <c r="E5" t="s">
        <v>64</v>
      </c>
      <c r="F5" t="s">
        <v>188</v>
      </c>
      <c r="G5" t="s">
        <v>260</v>
      </c>
      <c r="H5">
        <v>4900</v>
      </c>
      <c r="I5">
        <v>425</v>
      </c>
      <c r="J5">
        <v>500</v>
      </c>
      <c r="L5">
        <v>69</v>
      </c>
      <c r="M5">
        <v>242</v>
      </c>
      <c r="Q5" t="s">
        <v>51</v>
      </c>
      <c r="R5" t="s">
        <v>51</v>
      </c>
      <c r="S5" t="s">
        <v>51</v>
      </c>
      <c r="T5" t="s">
        <v>51</v>
      </c>
      <c r="U5" t="s">
        <v>51</v>
      </c>
      <c r="V5" t="s">
        <v>51</v>
      </c>
      <c r="W5" t="s">
        <v>51</v>
      </c>
      <c r="X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O5" t="s">
        <v>259</v>
      </c>
      <c r="AU5" t="s">
        <v>51</v>
      </c>
      <c r="AV5" t="s">
        <v>51</v>
      </c>
      <c r="AW5" t="s">
        <v>51</v>
      </c>
      <c r="AX5" t="s">
        <v>51</v>
      </c>
    </row>
    <row r="6" spans="1:50" x14ac:dyDescent="0.25">
      <c r="A6" t="s">
        <v>599</v>
      </c>
      <c r="B6" t="s">
        <v>593</v>
      </c>
      <c r="C6" t="s">
        <v>597</v>
      </c>
      <c r="D6" t="s">
        <v>598</v>
      </c>
      <c r="E6" t="s">
        <v>50</v>
      </c>
      <c r="F6" t="s">
        <v>600</v>
      </c>
      <c r="G6" t="s">
        <v>601</v>
      </c>
      <c r="Q6" t="s">
        <v>51</v>
      </c>
      <c r="R6" t="s">
        <v>52</v>
      </c>
      <c r="S6" t="s">
        <v>52</v>
      </c>
      <c r="T6" t="s">
        <v>52</v>
      </c>
      <c r="U6" t="s">
        <v>52</v>
      </c>
      <c r="V6" t="s">
        <v>52</v>
      </c>
      <c r="W6" t="s">
        <v>52</v>
      </c>
      <c r="X6" t="s">
        <v>52</v>
      </c>
      <c r="Y6" t="s">
        <v>51</v>
      </c>
      <c r="Z6" t="s">
        <v>52</v>
      </c>
      <c r="AA6" t="s">
        <v>52</v>
      </c>
      <c r="AB6" t="s">
        <v>52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52</v>
      </c>
      <c r="AM6" t="s">
        <v>52</v>
      </c>
      <c r="AN6" t="s">
        <v>52</v>
      </c>
      <c r="AP6" t="s">
        <v>52</v>
      </c>
      <c r="AQ6" t="s">
        <v>51</v>
      </c>
      <c r="AR6" t="s">
        <v>51</v>
      </c>
    </row>
    <row r="7" spans="1:50" x14ac:dyDescent="0.25">
      <c r="A7" t="s">
        <v>199</v>
      </c>
      <c r="B7" s="100">
        <v>42894</v>
      </c>
      <c r="C7" t="s">
        <v>597</v>
      </c>
      <c r="D7" t="s">
        <v>866</v>
      </c>
      <c r="E7" t="s">
        <v>64</v>
      </c>
      <c r="F7" t="s">
        <v>867</v>
      </c>
      <c r="G7" t="s">
        <v>868</v>
      </c>
      <c r="H7">
        <v>377</v>
      </c>
      <c r="I7">
        <v>180</v>
      </c>
      <c r="J7">
        <v>210</v>
      </c>
      <c r="L7">
        <v>40.130000000000003</v>
      </c>
      <c r="M7">
        <v>61.6</v>
      </c>
    </row>
    <row r="8" spans="1:50" x14ac:dyDescent="0.25">
      <c r="A8" t="s">
        <v>992</v>
      </c>
      <c r="B8" s="100">
        <v>43168</v>
      </c>
      <c r="C8" t="s">
        <v>97</v>
      </c>
      <c r="E8" t="s">
        <v>50</v>
      </c>
      <c r="F8" t="s">
        <v>994</v>
      </c>
      <c r="H8">
        <v>24</v>
      </c>
      <c r="I8">
        <v>58</v>
      </c>
      <c r="J8">
        <v>44</v>
      </c>
      <c r="K8">
        <v>2.92</v>
      </c>
      <c r="L8">
        <v>16.57</v>
      </c>
      <c r="M8">
        <v>26.7</v>
      </c>
      <c r="N8">
        <v>20.84</v>
      </c>
      <c r="O8">
        <v>17.96</v>
      </c>
      <c r="P8">
        <v>39.74</v>
      </c>
    </row>
    <row r="9" spans="1:50" x14ac:dyDescent="0.25">
      <c r="A9" t="s">
        <v>993</v>
      </c>
      <c r="B9" s="100">
        <v>43174</v>
      </c>
      <c r="C9" t="s">
        <v>231</v>
      </c>
      <c r="E9" t="s">
        <v>50</v>
      </c>
      <c r="F9" t="s">
        <v>994</v>
      </c>
      <c r="H9">
        <v>23</v>
      </c>
      <c r="I9">
        <v>68</v>
      </c>
      <c r="J9">
        <v>44</v>
      </c>
      <c r="K9">
        <v>2.74</v>
      </c>
      <c r="L9">
        <v>16.03</v>
      </c>
      <c r="M9">
        <v>23.93</v>
      </c>
      <c r="N9">
        <v>18.61</v>
      </c>
      <c r="O9">
        <v>17</v>
      </c>
      <c r="P9">
        <v>41.06</v>
      </c>
    </row>
    <row r="10" spans="1:50" x14ac:dyDescent="0.25">
      <c r="A10" t="s">
        <v>199</v>
      </c>
      <c r="B10" s="100">
        <v>43663</v>
      </c>
      <c r="C10" t="s">
        <v>1795</v>
      </c>
      <c r="D10" t="s">
        <v>1634</v>
      </c>
      <c r="E10" t="s">
        <v>64</v>
      </c>
      <c r="F10" t="s">
        <v>1796</v>
      </c>
      <c r="G10" t="s">
        <v>868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opLeftCell="A15" workbookViewId="0">
      <selection activeCell="B26" sqref="B26"/>
    </sheetView>
  </sheetViews>
  <sheetFormatPr defaultColWidth="11" defaultRowHeight="15.75" x14ac:dyDescent="0.25"/>
  <cols>
    <col min="2" max="2" width="11" style="36"/>
  </cols>
  <sheetData>
    <row r="1" spans="1:3" x14ac:dyDescent="0.25">
      <c r="A1" s="30" t="s">
        <v>239</v>
      </c>
    </row>
    <row r="3" spans="1:3" x14ac:dyDescent="0.25">
      <c r="A3" s="38">
        <v>42552</v>
      </c>
    </row>
    <row r="5" spans="1:3" x14ac:dyDescent="0.25">
      <c r="A5" s="30" t="s">
        <v>240</v>
      </c>
      <c r="B5" s="36" t="s">
        <v>241</v>
      </c>
      <c r="C5" t="s">
        <v>242</v>
      </c>
    </row>
    <row r="6" spans="1:3" x14ac:dyDescent="0.25">
      <c r="A6" s="39" t="s">
        <v>243</v>
      </c>
      <c r="B6" s="36">
        <f>(1.9105-1.8863)*1000</f>
        <v>24.2</v>
      </c>
    </row>
    <row r="7" spans="1:3" x14ac:dyDescent="0.25">
      <c r="A7" s="39" t="s">
        <v>244</v>
      </c>
      <c r="B7" s="36">
        <f>((1.0288-0.9912)/10)*1000</f>
        <v>3.7599999999999967</v>
      </c>
    </row>
    <row r="8" spans="1:3" x14ac:dyDescent="0.25">
      <c r="A8" s="39" t="s">
        <v>245</v>
      </c>
      <c r="B8" s="36">
        <f>((1.0261-0.991)/7)*1000</f>
        <v>5.0142857142857169</v>
      </c>
    </row>
    <row r="9" spans="1:3" x14ac:dyDescent="0.25">
      <c r="A9" s="39" t="s">
        <v>248</v>
      </c>
      <c r="B9" s="36">
        <f>((0.9939-0.9816)/2)*1000</f>
        <v>6.1499999999999888</v>
      </c>
    </row>
    <row r="11" spans="1:3" x14ac:dyDescent="0.25">
      <c r="A11" s="30" t="s">
        <v>246</v>
      </c>
      <c r="B11" s="36" t="s">
        <v>241</v>
      </c>
      <c r="C11" t="s">
        <v>247</v>
      </c>
    </row>
    <row r="12" spans="1:3" x14ac:dyDescent="0.25">
      <c r="A12" s="39" t="s">
        <v>243</v>
      </c>
      <c r="B12" s="36">
        <f>(1.9312-1.8885)*1000</f>
        <v>42.69999999999996</v>
      </c>
    </row>
    <row r="13" spans="1:3" x14ac:dyDescent="0.25">
      <c r="A13" s="39" t="s">
        <v>244</v>
      </c>
      <c r="B13" s="36">
        <f>((1.0383-0.9967)/9)*1000</f>
        <v>4.6222222222222182</v>
      </c>
    </row>
    <row r="14" spans="1:3" x14ac:dyDescent="0.25">
      <c r="A14" s="39" t="s">
        <v>245</v>
      </c>
      <c r="B14" s="36">
        <f>((1.027-0.9936)/8)*1000</f>
        <v>4.1749999999999847</v>
      </c>
    </row>
    <row r="15" spans="1:3" x14ac:dyDescent="0.25">
      <c r="A15" s="39" t="s">
        <v>248</v>
      </c>
      <c r="B15" s="36">
        <f>((1.0193-1.0051)/2)*1000</f>
        <v>7.0999999999999952</v>
      </c>
    </row>
    <row r="17" spans="1:3" x14ac:dyDescent="0.25">
      <c r="A17" s="30" t="s">
        <v>196</v>
      </c>
      <c r="B17" s="36" t="s">
        <v>249</v>
      </c>
      <c r="C17" t="s">
        <v>247</v>
      </c>
    </row>
    <row r="18" spans="1:3" x14ac:dyDescent="0.25">
      <c r="A18" s="39" t="s">
        <v>243</v>
      </c>
      <c r="B18" s="36">
        <f>(1.9192-1.8424)*1000</f>
        <v>76.799999999999983</v>
      </c>
    </row>
    <row r="19" spans="1:3" x14ac:dyDescent="0.25">
      <c r="A19" s="39" t="s">
        <v>244</v>
      </c>
      <c r="B19" s="36">
        <f>((1.0145-0.9929)/4)*1000</f>
        <v>5.3999999999999879</v>
      </c>
    </row>
    <row r="20" spans="1:3" x14ac:dyDescent="0.25">
      <c r="A20" s="39" t="s">
        <v>245</v>
      </c>
      <c r="B20" s="36">
        <f>((1.034-0.9929)/3)*1000</f>
        <v>13.700000000000008</v>
      </c>
    </row>
    <row r="21" spans="1:3" x14ac:dyDescent="0.25">
      <c r="A21" s="39" t="s">
        <v>248</v>
      </c>
      <c r="B21" s="36">
        <f>((1.045-0.9929)/2)*1000</f>
        <v>26.049999999999962</v>
      </c>
    </row>
    <row r="23" spans="1:3" x14ac:dyDescent="0.25">
      <c r="A23" s="39" t="s">
        <v>632</v>
      </c>
    </row>
    <row r="24" spans="1:3" x14ac:dyDescent="0.25">
      <c r="A24" s="39" t="s">
        <v>635</v>
      </c>
    </row>
    <row r="25" spans="1:3" x14ac:dyDescent="0.25">
      <c r="A25" s="39" t="s">
        <v>633</v>
      </c>
    </row>
    <row r="26" spans="1:3" x14ac:dyDescent="0.25">
      <c r="A26" s="39" t="s">
        <v>634</v>
      </c>
    </row>
  </sheetData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6" sqref="E36"/>
    </sheetView>
  </sheetViews>
  <sheetFormatPr defaultColWidth="11" defaultRowHeight="15.75" x14ac:dyDescent="0.25"/>
  <sheetData>
    <row r="1" spans="1:3" x14ac:dyDescent="0.25">
      <c r="A1" s="30" t="s">
        <v>347</v>
      </c>
      <c r="B1" s="125">
        <v>42884</v>
      </c>
      <c r="C1" s="125">
        <v>42885</v>
      </c>
    </row>
    <row r="2" spans="1:3" x14ac:dyDescent="0.25">
      <c r="A2" s="30" t="s">
        <v>348</v>
      </c>
      <c r="B2" t="s">
        <v>366</v>
      </c>
      <c r="C2" t="s">
        <v>366</v>
      </c>
    </row>
    <row r="3" spans="1:3" x14ac:dyDescent="0.25">
      <c r="A3" s="30" t="s">
        <v>349</v>
      </c>
      <c r="B3" t="s">
        <v>366</v>
      </c>
      <c r="C3" t="s">
        <v>366</v>
      </c>
    </row>
    <row r="4" spans="1:3" x14ac:dyDescent="0.25">
      <c r="A4" s="30" t="s">
        <v>350</v>
      </c>
      <c r="B4" t="s">
        <v>366</v>
      </c>
      <c r="C4" t="s">
        <v>366</v>
      </c>
    </row>
    <row r="5" spans="1:3" x14ac:dyDescent="0.25">
      <c r="A5" s="30" t="s">
        <v>351</v>
      </c>
      <c r="B5" t="s">
        <v>366</v>
      </c>
      <c r="C5" t="s">
        <v>774</v>
      </c>
    </row>
    <row r="6" spans="1:3" x14ac:dyDescent="0.25">
      <c r="A6" s="30" t="s">
        <v>352</v>
      </c>
      <c r="B6" t="s">
        <v>366</v>
      </c>
      <c r="C6" t="s">
        <v>366</v>
      </c>
    </row>
    <row r="7" spans="1:3" x14ac:dyDescent="0.25">
      <c r="A7" s="30" t="s">
        <v>417</v>
      </c>
      <c r="B7" t="s">
        <v>772</v>
      </c>
      <c r="C7" t="s">
        <v>366</v>
      </c>
    </row>
    <row r="8" spans="1:3" x14ac:dyDescent="0.25">
      <c r="A8" s="30" t="s">
        <v>418</v>
      </c>
      <c r="B8" t="s">
        <v>366</v>
      </c>
      <c r="C8" t="s">
        <v>366</v>
      </c>
    </row>
    <row r="9" spans="1:3" x14ac:dyDescent="0.25">
      <c r="A9" s="30" t="s">
        <v>419</v>
      </c>
      <c r="B9" t="s">
        <v>366</v>
      </c>
      <c r="C9" t="s">
        <v>366</v>
      </c>
    </row>
    <row r="10" spans="1:3" x14ac:dyDescent="0.25">
      <c r="A10" s="30" t="s">
        <v>420</v>
      </c>
      <c r="B10" t="s">
        <v>366</v>
      </c>
      <c r="C10" t="s">
        <v>366</v>
      </c>
    </row>
    <row r="11" spans="1:3" x14ac:dyDescent="0.25">
      <c r="A11" s="30" t="s">
        <v>421</v>
      </c>
      <c r="B11" t="s">
        <v>366</v>
      </c>
      <c r="C11" t="s">
        <v>366</v>
      </c>
    </row>
    <row r="12" spans="1:3" x14ac:dyDescent="0.25">
      <c r="A12" s="30" t="s">
        <v>353</v>
      </c>
      <c r="B12" t="s">
        <v>366</v>
      </c>
      <c r="C12" t="s">
        <v>366</v>
      </c>
    </row>
    <row r="13" spans="1:3" x14ac:dyDescent="0.25">
      <c r="A13" s="30" t="s">
        <v>354</v>
      </c>
      <c r="B13" t="s">
        <v>366</v>
      </c>
      <c r="C13" t="s">
        <v>366</v>
      </c>
    </row>
    <row r="14" spans="1:3" x14ac:dyDescent="0.25">
      <c r="A14" s="30" t="s">
        <v>355</v>
      </c>
      <c r="B14" t="s">
        <v>366</v>
      </c>
      <c r="C14" t="s">
        <v>366</v>
      </c>
    </row>
    <row r="15" spans="1:3" x14ac:dyDescent="0.25">
      <c r="A15" s="30" t="s">
        <v>356</v>
      </c>
      <c r="B15" t="s">
        <v>366</v>
      </c>
      <c r="C15" t="s">
        <v>366</v>
      </c>
    </row>
    <row r="16" spans="1:3" x14ac:dyDescent="0.25">
      <c r="A16" s="30" t="s">
        <v>357</v>
      </c>
      <c r="B16" t="s">
        <v>772</v>
      </c>
      <c r="C16" t="s">
        <v>366</v>
      </c>
    </row>
    <row r="17" spans="1:3" x14ac:dyDescent="0.25">
      <c r="A17" s="30" t="s">
        <v>427</v>
      </c>
      <c r="B17" t="s">
        <v>366</v>
      </c>
      <c r="C17" t="s">
        <v>366</v>
      </c>
    </row>
    <row r="18" spans="1:3" x14ac:dyDescent="0.25">
      <c r="A18" s="30" t="s">
        <v>428</v>
      </c>
      <c r="B18" t="s">
        <v>366</v>
      </c>
      <c r="C18" t="s">
        <v>366</v>
      </c>
    </row>
    <row r="19" spans="1:3" x14ac:dyDescent="0.25">
      <c r="A19" s="30" t="s">
        <v>429</v>
      </c>
      <c r="B19" t="s">
        <v>366</v>
      </c>
      <c r="C19" t="s">
        <v>366</v>
      </c>
    </row>
    <row r="20" spans="1:3" x14ac:dyDescent="0.25">
      <c r="A20" s="30" t="s">
        <v>430</v>
      </c>
      <c r="B20" t="s">
        <v>366</v>
      </c>
      <c r="C20" t="s">
        <v>366</v>
      </c>
    </row>
    <row r="21" spans="1:3" x14ac:dyDescent="0.25">
      <c r="A21" s="30" t="s">
        <v>431</v>
      </c>
      <c r="B21" t="s">
        <v>366</v>
      </c>
      <c r="C21" t="s">
        <v>366</v>
      </c>
    </row>
    <row r="22" spans="1:3" x14ac:dyDescent="0.25">
      <c r="A22" s="30" t="s">
        <v>358</v>
      </c>
      <c r="B22" t="s">
        <v>774</v>
      </c>
      <c r="C22" t="s">
        <v>366</v>
      </c>
    </row>
    <row r="23" spans="1:3" x14ac:dyDescent="0.25">
      <c r="A23" s="30" t="s">
        <v>362</v>
      </c>
      <c r="B23" t="s">
        <v>772</v>
      </c>
      <c r="C23" t="s">
        <v>366</v>
      </c>
    </row>
    <row r="24" spans="1:3" x14ac:dyDescent="0.25">
      <c r="A24" s="30" t="s">
        <v>363</v>
      </c>
      <c r="B24" t="s">
        <v>772</v>
      </c>
      <c r="C24" t="s">
        <v>366</v>
      </c>
    </row>
    <row r="25" spans="1:3" x14ac:dyDescent="0.25">
      <c r="A25" s="30" t="s">
        <v>364</v>
      </c>
      <c r="B25" t="s">
        <v>772</v>
      </c>
      <c r="C25" t="s">
        <v>366</v>
      </c>
    </row>
    <row r="26" spans="1:3" x14ac:dyDescent="0.25">
      <c r="A26" s="30" t="s">
        <v>361</v>
      </c>
      <c r="B26" t="s">
        <v>366</v>
      </c>
      <c r="C26" t="s">
        <v>366</v>
      </c>
    </row>
    <row r="27" spans="1:3" x14ac:dyDescent="0.25">
      <c r="A27" s="30" t="s">
        <v>437</v>
      </c>
      <c r="B27" t="s">
        <v>366</v>
      </c>
      <c r="C27" t="s">
        <v>366</v>
      </c>
    </row>
    <row r="28" spans="1:3" x14ac:dyDescent="0.25">
      <c r="A28" s="30" t="s">
        <v>438</v>
      </c>
      <c r="B28" t="s">
        <v>366</v>
      </c>
      <c r="C28" t="s">
        <v>366</v>
      </c>
    </row>
    <row r="29" spans="1:3" x14ac:dyDescent="0.25">
      <c r="A29" s="30" t="s">
        <v>439</v>
      </c>
      <c r="B29" t="s">
        <v>366</v>
      </c>
      <c r="C29" t="s">
        <v>366</v>
      </c>
    </row>
    <row r="30" spans="1:3" x14ac:dyDescent="0.25">
      <c r="A30" s="30" t="s">
        <v>440</v>
      </c>
      <c r="B30" t="s">
        <v>369</v>
      </c>
      <c r="C30" t="s">
        <v>366</v>
      </c>
    </row>
    <row r="31" spans="1:3" x14ac:dyDescent="0.25">
      <c r="A31" s="30" t="s">
        <v>441</v>
      </c>
      <c r="B31" t="s">
        <v>366</v>
      </c>
      <c r="C31" t="s">
        <v>366</v>
      </c>
    </row>
    <row r="32" spans="1:3" x14ac:dyDescent="0.25">
      <c r="A32" s="30" t="s">
        <v>447</v>
      </c>
      <c r="B32" t="s">
        <v>366</v>
      </c>
      <c r="C32" t="s">
        <v>366</v>
      </c>
    </row>
    <row r="33" spans="1:3" x14ac:dyDescent="0.25">
      <c r="A33" s="30" t="s">
        <v>448</v>
      </c>
      <c r="B33" t="s">
        <v>366</v>
      </c>
      <c r="C33" t="s">
        <v>366</v>
      </c>
    </row>
    <row r="34" spans="1:3" x14ac:dyDescent="0.25">
      <c r="A34" s="30" t="s">
        <v>449</v>
      </c>
      <c r="B34" t="s">
        <v>773</v>
      </c>
      <c r="C34" t="s">
        <v>366</v>
      </c>
    </row>
    <row r="35" spans="1:3" x14ac:dyDescent="0.25">
      <c r="A35" s="30" t="s">
        <v>450</v>
      </c>
      <c r="B35" t="s">
        <v>366</v>
      </c>
      <c r="C35" t="s">
        <v>366</v>
      </c>
    </row>
    <row r="36" spans="1:3" x14ac:dyDescent="0.25">
      <c r="A36" s="30" t="s">
        <v>451</v>
      </c>
      <c r="B36" t="s">
        <v>366</v>
      </c>
      <c r="C36" t="s">
        <v>775</v>
      </c>
    </row>
    <row r="37" spans="1:3" x14ac:dyDescent="0.25">
      <c r="A37" s="30" t="s">
        <v>452</v>
      </c>
      <c r="B37" t="s">
        <v>366</v>
      </c>
      <c r="C37" t="s">
        <v>366</v>
      </c>
    </row>
    <row r="38" spans="1:3" x14ac:dyDescent="0.25">
      <c r="A38" s="30" t="s">
        <v>453</v>
      </c>
      <c r="B38" t="s">
        <v>366</v>
      </c>
      <c r="C38" t="s">
        <v>366</v>
      </c>
    </row>
    <row r="39" spans="1:3" x14ac:dyDescent="0.25">
      <c r="A39" s="30" t="s">
        <v>454</v>
      </c>
      <c r="B39" t="s">
        <v>366</v>
      </c>
      <c r="C39" t="s">
        <v>366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5" sqref="G5"/>
    </sheetView>
  </sheetViews>
  <sheetFormatPr defaultColWidth="11" defaultRowHeight="15.75" x14ac:dyDescent="0.25"/>
  <cols>
    <col min="4" max="4" width="14" bestFit="1" customWidth="1"/>
    <col min="7" max="7" width="11" style="126"/>
  </cols>
  <sheetData>
    <row r="1" spans="1:7" s="30" customFormat="1" x14ac:dyDescent="0.25">
      <c r="A1" s="30" t="s">
        <v>347</v>
      </c>
      <c r="B1" s="30" t="s">
        <v>561</v>
      </c>
      <c r="C1" s="30" t="s">
        <v>578</v>
      </c>
      <c r="D1" s="30" t="s">
        <v>592</v>
      </c>
      <c r="E1" s="30" t="s">
        <v>591</v>
      </c>
      <c r="F1" s="30" t="s">
        <v>607</v>
      </c>
      <c r="G1" s="127">
        <v>2017</v>
      </c>
    </row>
    <row r="2" spans="1:7" x14ac:dyDescent="0.25">
      <c r="A2" s="30">
        <v>1</v>
      </c>
      <c r="B2" t="s">
        <v>366</v>
      </c>
      <c r="C2" t="s">
        <v>366</v>
      </c>
      <c r="D2" t="s">
        <v>580</v>
      </c>
      <c r="E2" t="s">
        <v>387</v>
      </c>
      <c r="F2" t="s">
        <v>557</v>
      </c>
    </row>
    <row r="3" spans="1:7" x14ac:dyDescent="0.25">
      <c r="A3" s="30">
        <v>2</v>
      </c>
      <c r="B3" t="s">
        <v>557</v>
      </c>
      <c r="C3" t="s">
        <v>366</v>
      </c>
      <c r="D3" t="s">
        <v>576</v>
      </c>
      <c r="E3" t="s">
        <v>586</v>
      </c>
      <c r="F3" t="s">
        <v>367</v>
      </c>
    </row>
    <row r="4" spans="1:7" x14ac:dyDescent="0.25">
      <c r="A4" s="30">
        <v>3</v>
      </c>
      <c r="B4" t="s">
        <v>366</v>
      </c>
      <c r="C4" t="s">
        <v>563</v>
      </c>
      <c r="D4" t="s">
        <v>552</v>
      </c>
      <c r="E4" t="s">
        <v>552</v>
      </c>
      <c r="F4" t="s">
        <v>369</v>
      </c>
    </row>
    <row r="5" spans="1:7" x14ac:dyDescent="0.25">
      <c r="A5" s="30">
        <v>4</v>
      </c>
      <c r="B5" t="s">
        <v>552</v>
      </c>
      <c r="C5" t="s">
        <v>579</v>
      </c>
      <c r="D5" t="s">
        <v>366</v>
      </c>
      <c r="E5" t="s">
        <v>581</v>
      </c>
      <c r="F5" t="s">
        <v>369</v>
      </c>
    </row>
    <row r="6" spans="1:7" x14ac:dyDescent="0.25">
      <c r="A6" s="30">
        <v>5</v>
      </c>
      <c r="B6" t="s">
        <v>366</v>
      </c>
      <c r="C6" t="s">
        <v>366</v>
      </c>
      <c r="D6" t="s">
        <v>366</v>
      </c>
      <c r="E6" t="s">
        <v>367</v>
      </c>
      <c r="F6" t="s">
        <v>552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1"/>
  <sheetViews>
    <sheetView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P8" sqref="P8"/>
    </sheetView>
  </sheetViews>
  <sheetFormatPr defaultColWidth="11" defaultRowHeight="15.75" x14ac:dyDescent="0.25"/>
  <cols>
    <col min="1" max="1" width="11" style="30"/>
    <col min="5" max="5" width="18.875" customWidth="1"/>
    <col min="7" max="7" width="12.125" bestFit="1" customWidth="1"/>
    <col min="8" max="8" width="11" style="126"/>
    <col min="9" max="9" width="11" style="30"/>
  </cols>
  <sheetData>
    <row r="1" spans="1:13" s="30" customFormat="1" x14ac:dyDescent="0.25">
      <c r="A1" s="30" t="s">
        <v>347</v>
      </c>
      <c r="B1" s="30" t="s">
        <v>359</v>
      </c>
      <c r="C1" s="30" t="s">
        <v>365</v>
      </c>
      <c r="D1" s="30" t="s">
        <v>370</v>
      </c>
      <c r="E1" s="30" t="s">
        <v>509</v>
      </c>
      <c r="F1" s="30" t="s">
        <v>514</v>
      </c>
      <c r="G1" s="30" t="s">
        <v>526</v>
      </c>
      <c r="H1" s="127">
        <v>2017</v>
      </c>
      <c r="I1" s="30" t="s">
        <v>347</v>
      </c>
      <c r="J1" s="125">
        <v>42880</v>
      </c>
      <c r="K1" s="125">
        <v>42881</v>
      </c>
      <c r="L1" s="125">
        <v>42882</v>
      </c>
      <c r="M1" s="143">
        <v>42883</v>
      </c>
    </row>
    <row r="2" spans="1:13" x14ac:dyDescent="0.25">
      <c r="A2" s="30" t="s">
        <v>348</v>
      </c>
      <c r="B2" t="s">
        <v>288</v>
      </c>
      <c r="C2" t="s">
        <v>366</v>
      </c>
      <c r="D2" t="s">
        <v>366</v>
      </c>
      <c r="E2" t="s">
        <v>366</v>
      </c>
      <c r="F2" t="s">
        <v>366</v>
      </c>
      <c r="G2" t="s">
        <v>366</v>
      </c>
      <c r="I2" s="30" t="s">
        <v>348</v>
      </c>
      <c r="J2" t="s">
        <v>366</v>
      </c>
      <c r="K2" t="s">
        <v>366</v>
      </c>
      <c r="L2" t="s">
        <v>772</v>
      </c>
      <c r="M2" s="144" t="s">
        <v>366</v>
      </c>
    </row>
    <row r="3" spans="1:13" x14ac:dyDescent="0.25">
      <c r="A3" s="30" t="s">
        <v>348</v>
      </c>
      <c r="B3" t="s">
        <v>360</v>
      </c>
      <c r="C3" t="s">
        <v>367</v>
      </c>
      <c r="D3" t="s">
        <v>366</v>
      </c>
      <c r="E3" t="s">
        <v>366</v>
      </c>
      <c r="F3" t="s">
        <v>366</v>
      </c>
      <c r="G3" t="s">
        <v>366</v>
      </c>
      <c r="I3" s="30" t="s">
        <v>349</v>
      </c>
      <c r="J3" t="s">
        <v>366</v>
      </c>
      <c r="K3" t="s">
        <v>366</v>
      </c>
      <c r="L3" t="s">
        <v>772</v>
      </c>
      <c r="M3" s="144" t="s">
        <v>366</v>
      </c>
    </row>
    <row r="4" spans="1:13" x14ac:dyDescent="0.25">
      <c r="A4" s="30" t="s">
        <v>348</v>
      </c>
      <c r="B4" t="s">
        <v>513</v>
      </c>
      <c r="C4" t="s">
        <v>379</v>
      </c>
      <c r="D4" t="s">
        <v>379</v>
      </c>
      <c r="E4" t="s">
        <v>379</v>
      </c>
      <c r="F4" t="s">
        <v>379</v>
      </c>
      <c r="G4" t="s">
        <v>379</v>
      </c>
      <c r="I4" s="30" t="s">
        <v>350</v>
      </c>
      <c r="J4" t="s">
        <v>366</v>
      </c>
      <c r="K4" t="s">
        <v>366</v>
      </c>
      <c r="L4" t="s">
        <v>772</v>
      </c>
      <c r="M4" s="144" t="s">
        <v>366</v>
      </c>
    </row>
    <row r="5" spans="1:13" x14ac:dyDescent="0.25">
      <c r="A5" s="30" t="s">
        <v>349</v>
      </c>
      <c r="B5" t="s">
        <v>288</v>
      </c>
      <c r="C5" t="s">
        <v>366</v>
      </c>
      <c r="D5" t="s">
        <v>366</v>
      </c>
      <c r="E5" t="s">
        <v>366</v>
      </c>
      <c r="F5" t="s">
        <v>366</v>
      </c>
      <c r="G5" t="s">
        <v>366</v>
      </c>
      <c r="I5" s="30" t="s">
        <v>351</v>
      </c>
      <c r="J5" t="s">
        <v>366</v>
      </c>
      <c r="K5" t="s">
        <v>366</v>
      </c>
      <c r="L5" t="s">
        <v>772</v>
      </c>
      <c r="M5" s="144" t="s">
        <v>366</v>
      </c>
    </row>
    <row r="6" spans="1:13" x14ac:dyDescent="0.25">
      <c r="A6" s="30" t="s">
        <v>349</v>
      </c>
      <c r="B6" t="s">
        <v>360</v>
      </c>
      <c r="C6" t="s">
        <v>366</v>
      </c>
      <c r="D6" t="s">
        <v>369</v>
      </c>
      <c r="E6" t="s">
        <v>368</v>
      </c>
      <c r="F6" t="s">
        <v>368</v>
      </c>
      <c r="G6" t="s">
        <v>367</v>
      </c>
      <c r="I6" s="30" t="s">
        <v>352</v>
      </c>
      <c r="J6" t="s">
        <v>366</v>
      </c>
      <c r="K6" t="s">
        <v>366</v>
      </c>
      <c r="L6" t="s">
        <v>772</v>
      </c>
      <c r="M6" s="144" t="s">
        <v>368</v>
      </c>
    </row>
    <row r="7" spans="1:13" x14ac:dyDescent="0.25">
      <c r="A7" s="30" t="s">
        <v>349</v>
      </c>
      <c r="B7" t="s">
        <v>513</v>
      </c>
      <c r="C7" t="s">
        <v>379</v>
      </c>
      <c r="D7" t="s">
        <v>379</v>
      </c>
      <c r="E7" t="s">
        <v>379</v>
      </c>
      <c r="F7" t="s">
        <v>379</v>
      </c>
      <c r="G7" t="s">
        <v>379</v>
      </c>
      <c r="I7" s="30" t="s">
        <v>417</v>
      </c>
      <c r="J7" t="s">
        <v>366</v>
      </c>
      <c r="K7" t="s">
        <v>366</v>
      </c>
      <c r="L7" t="s">
        <v>772</v>
      </c>
      <c r="M7" s="144" t="s">
        <v>366</v>
      </c>
    </row>
    <row r="8" spans="1:13" x14ac:dyDescent="0.25">
      <c r="A8" s="30" t="s">
        <v>350</v>
      </c>
      <c r="B8" t="s">
        <v>288</v>
      </c>
      <c r="C8" t="s">
        <v>366</v>
      </c>
      <c r="D8" t="s">
        <v>366</v>
      </c>
      <c r="E8" t="s">
        <v>366</v>
      </c>
      <c r="F8" t="s">
        <v>366</v>
      </c>
      <c r="G8" t="s">
        <v>366</v>
      </c>
      <c r="I8" s="30" t="s">
        <v>418</v>
      </c>
      <c r="J8" t="s">
        <v>366</v>
      </c>
      <c r="K8" t="s">
        <v>368</v>
      </c>
      <c r="L8" t="s">
        <v>772</v>
      </c>
      <c r="M8" s="144" t="s">
        <v>366</v>
      </c>
    </row>
    <row r="9" spans="1:13" x14ac:dyDescent="0.25">
      <c r="A9" s="30" t="s">
        <v>350</v>
      </c>
      <c r="B9" t="s">
        <v>360</v>
      </c>
      <c r="C9" t="s">
        <v>366</v>
      </c>
      <c r="D9" t="s">
        <v>366</v>
      </c>
      <c r="E9" t="s">
        <v>368</v>
      </c>
      <c r="F9" t="s">
        <v>366</v>
      </c>
      <c r="G9" t="s">
        <v>366</v>
      </c>
      <c r="I9" s="30" t="s">
        <v>419</v>
      </c>
      <c r="J9" t="s">
        <v>366</v>
      </c>
      <c r="K9" t="s">
        <v>368</v>
      </c>
      <c r="L9" t="s">
        <v>772</v>
      </c>
      <c r="M9" s="144" t="s">
        <v>366</v>
      </c>
    </row>
    <row r="10" spans="1:13" x14ac:dyDescent="0.25">
      <c r="A10" s="30" t="s">
        <v>350</v>
      </c>
      <c r="B10" t="s">
        <v>513</v>
      </c>
      <c r="C10" t="s">
        <v>379</v>
      </c>
      <c r="D10" t="s">
        <v>379</v>
      </c>
      <c r="E10" t="s">
        <v>379</v>
      </c>
      <c r="F10" t="s">
        <v>379</v>
      </c>
      <c r="G10" t="s">
        <v>379</v>
      </c>
      <c r="I10" s="30" t="s">
        <v>420</v>
      </c>
      <c r="J10" t="s">
        <v>366</v>
      </c>
      <c r="K10" t="s">
        <v>366</v>
      </c>
      <c r="L10" t="s">
        <v>772</v>
      </c>
      <c r="M10" s="144" t="s">
        <v>366</v>
      </c>
    </row>
    <row r="11" spans="1:13" x14ac:dyDescent="0.25">
      <c r="A11" s="30" t="s">
        <v>351</v>
      </c>
      <c r="B11" t="s">
        <v>288</v>
      </c>
      <c r="C11" t="s">
        <v>366</v>
      </c>
      <c r="D11" t="s">
        <v>366</v>
      </c>
      <c r="E11" t="s">
        <v>366</v>
      </c>
      <c r="F11" t="s">
        <v>366</v>
      </c>
      <c r="G11" t="s">
        <v>366</v>
      </c>
      <c r="I11" s="30" t="s">
        <v>421</v>
      </c>
      <c r="J11" t="s">
        <v>366</v>
      </c>
      <c r="K11" t="s">
        <v>372</v>
      </c>
      <c r="L11" t="s">
        <v>366</v>
      </c>
      <c r="M11" s="144" t="s">
        <v>366</v>
      </c>
    </row>
    <row r="12" spans="1:13" x14ac:dyDescent="0.25">
      <c r="A12" s="30" t="s">
        <v>351</v>
      </c>
      <c r="B12" t="s">
        <v>360</v>
      </c>
      <c r="C12" t="s">
        <v>368</v>
      </c>
      <c r="D12" t="s">
        <v>368</v>
      </c>
      <c r="E12" t="s">
        <v>368</v>
      </c>
      <c r="F12" t="s">
        <v>366</v>
      </c>
      <c r="G12" t="s">
        <v>366</v>
      </c>
      <c r="I12" s="30" t="s">
        <v>422</v>
      </c>
      <c r="J12" t="s">
        <v>366</v>
      </c>
      <c r="K12" t="s">
        <v>366</v>
      </c>
      <c r="L12" t="s">
        <v>366</v>
      </c>
      <c r="M12" s="144" t="s">
        <v>366</v>
      </c>
    </row>
    <row r="13" spans="1:13" x14ac:dyDescent="0.25">
      <c r="A13" s="30" t="s">
        <v>351</v>
      </c>
      <c r="B13" t="s">
        <v>513</v>
      </c>
      <c r="C13" t="s">
        <v>379</v>
      </c>
      <c r="D13" t="s">
        <v>379</v>
      </c>
      <c r="E13" t="s">
        <v>379</v>
      </c>
      <c r="F13" t="s">
        <v>379</v>
      </c>
      <c r="G13" t="s">
        <v>379</v>
      </c>
      <c r="I13" s="30" t="s">
        <v>423</v>
      </c>
      <c r="J13" t="s">
        <v>366</v>
      </c>
      <c r="K13" t="s">
        <v>366</v>
      </c>
      <c r="L13" t="s">
        <v>369</v>
      </c>
      <c r="M13" s="144" t="s">
        <v>372</v>
      </c>
    </row>
    <row r="14" spans="1:13" x14ac:dyDescent="0.25">
      <c r="A14" s="30" t="s">
        <v>352</v>
      </c>
      <c r="B14" t="s">
        <v>288</v>
      </c>
      <c r="C14" t="s">
        <v>366</v>
      </c>
      <c r="D14" t="s">
        <v>366</v>
      </c>
      <c r="E14" t="s">
        <v>366</v>
      </c>
      <c r="F14" t="s">
        <v>366</v>
      </c>
      <c r="G14" t="s">
        <v>379</v>
      </c>
      <c r="I14" s="30" t="s">
        <v>424</v>
      </c>
      <c r="J14" t="s">
        <v>372</v>
      </c>
      <c r="K14" t="s">
        <v>368</v>
      </c>
      <c r="L14" t="s">
        <v>366</v>
      </c>
      <c r="M14" s="144" t="s">
        <v>368</v>
      </c>
    </row>
    <row r="15" spans="1:13" x14ac:dyDescent="0.25">
      <c r="A15" s="30" t="s">
        <v>352</v>
      </c>
      <c r="B15" t="s">
        <v>360</v>
      </c>
      <c r="C15" t="s">
        <v>369</v>
      </c>
      <c r="D15" t="s">
        <v>319</v>
      </c>
      <c r="E15" t="s">
        <v>510</v>
      </c>
      <c r="F15" t="s">
        <v>368</v>
      </c>
      <c r="G15" t="s">
        <v>366</v>
      </c>
      <c r="I15" s="30" t="s">
        <v>425</v>
      </c>
      <c r="J15" t="s">
        <v>366</v>
      </c>
      <c r="K15" t="s">
        <v>366</v>
      </c>
      <c r="L15" t="s">
        <v>476</v>
      </c>
      <c r="M15" s="144" t="s">
        <v>366</v>
      </c>
    </row>
    <row r="16" spans="1:13" x14ac:dyDescent="0.25">
      <c r="A16" s="30" t="s">
        <v>352</v>
      </c>
      <c r="B16" t="s">
        <v>513</v>
      </c>
      <c r="C16" t="s">
        <v>379</v>
      </c>
      <c r="D16" t="s">
        <v>379</v>
      </c>
      <c r="E16" t="s">
        <v>379</v>
      </c>
      <c r="F16" t="s">
        <v>379</v>
      </c>
      <c r="G16" t="s">
        <v>379</v>
      </c>
      <c r="I16" s="30" t="s">
        <v>426</v>
      </c>
      <c r="J16" t="s">
        <v>369</v>
      </c>
      <c r="K16" t="s">
        <v>366</v>
      </c>
      <c r="L16" t="s">
        <v>372</v>
      </c>
      <c r="M16" s="144" t="s">
        <v>366</v>
      </c>
    </row>
    <row r="17" spans="1:13" x14ac:dyDescent="0.25">
      <c r="A17" s="30" t="s">
        <v>417</v>
      </c>
      <c r="B17" t="s">
        <v>288</v>
      </c>
      <c r="C17" t="s">
        <v>379</v>
      </c>
      <c r="D17" t="s">
        <v>379</v>
      </c>
      <c r="E17" t="s">
        <v>379</v>
      </c>
      <c r="F17" t="s">
        <v>379</v>
      </c>
      <c r="G17" t="s">
        <v>366</v>
      </c>
      <c r="I17" s="30" t="s">
        <v>353</v>
      </c>
      <c r="J17" t="s">
        <v>366</v>
      </c>
      <c r="K17" t="s">
        <v>366</v>
      </c>
      <c r="L17" t="s">
        <v>772</v>
      </c>
      <c r="M17" s="144" t="s">
        <v>366</v>
      </c>
    </row>
    <row r="18" spans="1:13" x14ac:dyDescent="0.25">
      <c r="A18" s="30" t="s">
        <v>417</v>
      </c>
      <c r="B18" t="s">
        <v>360</v>
      </c>
      <c r="C18" t="s">
        <v>379</v>
      </c>
      <c r="D18" t="s">
        <v>379</v>
      </c>
      <c r="E18" t="s">
        <v>366</v>
      </c>
      <c r="F18" t="s">
        <v>368</v>
      </c>
      <c r="G18" t="s">
        <v>366</v>
      </c>
      <c r="I18" s="30" t="s">
        <v>354</v>
      </c>
      <c r="J18" t="s">
        <v>366</v>
      </c>
      <c r="K18" t="s">
        <v>366</v>
      </c>
      <c r="L18" t="s">
        <v>772</v>
      </c>
      <c r="M18" s="144" t="s">
        <v>366</v>
      </c>
    </row>
    <row r="19" spans="1:13" x14ac:dyDescent="0.25">
      <c r="A19" s="30" t="s">
        <v>417</v>
      </c>
      <c r="B19" t="s">
        <v>513</v>
      </c>
      <c r="C19" t="s">
        <v>379</v>
      </c>
      <c r="D19" t="s">
        <v>379</v>
      </c>
      <c r="E19" t="s">
        <v>379</v>
      </c>
      <c r="F19" t="s">
        <v>379</v>
      </c>
      <c r="G19" t="s">
        <v>379</v>
      </c>
      <c r="I19" s="30" t="s">
        <v>355</v>
      </c>
      <c r="J19" t="s">
        <v>368</v>
      </c>
      <c r="K19" t="s">
        <v>366</v>
      </c>
      <c r="L19" t="s">
        <v>772</v>
      </c>
      <c r="M19" s="144" t="s">
        <v>366</v>
      </c>
    </row>
    <row r="20" spans="1:13" x14ac:dyDescent="0.25">
      <c r="A20" s="30" t="s">
        <v>418</v>
      </c>
      <c r="B20" t="s">
        <v>288</v>
      </c>
      <c r="C20" t="s">
        <v>379</v>
      </c>
      <c r="D20" t="s">
        <v>379</v>
      </c>
      <c r="E20" t="s">
        <v>379</v>
      </c>
      <c r="F20" t="s">
        <v>366</v>
      </c>
      <c r="G20" t="s">
        <v>366</v>
      </c>
      <c r="I20" s="30" t="s">
        <v>356</v>
      </c>
      <c r="J20" t="s">
        <v>366</v>
      </c>
      <c r="K20" t="s">
        <v>366</v>
      </c>
      <c r="L20" t="s">
        <v>772</v>
      </c>
      <c r="M20" s="144" t="s">
        <v>366</v>
      </c>
    </row>
    <row r="21" spans="1:13" x14ac:dyDescent="0.25">
      <c r="A21" s="30" t="s">
        <v>418</v>
      </c>
      <c r="B21" t="s">
        <v>360</v>
      </c>
      <c r="C21" t="s">
        <v>379</v>
      </c>
      <c r="D21" t="s">
        <v>379</v>
      </c>
      <c r="E21" t="s">
        <v>368</v>
      </c>
      <c r="F21" t="s">
        <v>368</v>
      </c>
      <c r="G21" t="s">
        <v>366</v>
      </c>
      <c r="I21" s="30" t="s">
        <v>357</v>
      </c>
      <c r="J21" t="s">
        <v>366</v>
      </c>
      <c r="K21" t="s">
        <v>701</v>
      </c>
      <c r="L21" t="s">
        <v>772</v>
      </c>
      <c r="M21" s="144" t="s">
        <v>366</v>
      </c>
    </row>
    <row r="22" spans="1:13" x14ac:dyDescent="0.25">
      <c r="A22" s="30" t="s">
        <v>418</v>
      </c>
      <c r="B22" t="s">
        <v>513</v>
      </c>
      <c r="C22" t="s">
        <v>379</v>
      </c>
      <c r="D22" t="s">
        <v>379</v>
      </c>
      <c r="E22" t="s">
        <v>379</v>
      </c>
      <c r="F22" t="s">
        <v>379</v>
      </c>
      <c r="G22" t="s">
        <v>379</v>
      </c>
      <c r="I22" s="30" t="s">
        <v>427</v>
      </c>
      <c r="J22" t="s">
        <v>366</v>
      </c>
      <c r="K22" t="s">
        <v>368</v>
      </c>
      <c r="L22" t="s">
        <v>772</v>
      </c>
      <c r="M22" s="144" t="s">
        <v>817</v>
      </c>
    </row>
    <row r="23" spans="1:13" x14ac:dyDescent="0.25">
      <c r="A23" s="30" t="s">
        <v>419</v>
      </c>
      <c r="B23" t="s">
        <v>288</v>
      </c>
      <c r="C23" t="s">
        <v>379</v>
      </c>
      <c r="D23" t="s">
        <v>379</v>
      </c>
      <c r="E23" t="s">
        <v>379</v>
      </c>
      <c r="F23" t="s">
        <v>379</v>
      </c>
      <c r="G23" t="s">
        <v>379</v>
      </c>
      <c r="I23" s="30" t="s">
        <v>428</v>
      </c>
      <c r="J23" t="s">
        <v>366</v>
      </c>
      <c r="K23" t="s">
        <v>366</v>
      </c>
      <c r="L23" t="s">
        <v>772</v>
      </c>
      <c r="M23" s="144" t="s">
        <v>800</v>
      </c>
    </row>
    <row r="24" spans="1:13" x14ac:dyDescent="0.25">
      <c r="A24" s="30" t="s">
        <v>419</v>
      </c>
      <c r="B24" t="s">
        <v>360</v>
      </c>
      <c r="C24" t="s">
        <v>379</v>
      </c>
      <c r="D24" t="s">
        <v>379</v>
      </c>
      <c r="E24" t="s">
        <v>511</v>
      </c>
      <c r="F24" t="s">
        <v>366</v>
      </c>
      <c r="G24" t="s">
        <v>366</v>
      </c>
      <c r="I24" s="30" t="s">
        <v>429</v>
      </c>
      <c r="J24" t="s">
        <v>366</v>
      </c>
      <c r="K24" t="s">
        <v>366</v>
      </c>
      <c r="L24" t="s">
        <v>772</v>
      </c>
      <c r="M24" s="144" t="s">
        <v>366</v>
      </c>
    </row>
    <row r="25" spans="1:13" x14ac:dyDescent="0.25">
      <c r="A25" s="30" t="s">
        <v>419</v>
      </c>
      <c r="B25" t="s">
        <v>513</v>
      </c>
      <c r="C25" t="s">
        <v>379</v>
      </c>
      <c r="D25" t="s">
        <v>379</v>
      </c>
      <c r="E25" t="s">
        <v>379</v>
      </c>
      <c r="F25" t="s">
        <v>379</v>
      </c>
      <c r="G25" t="s">
        <v>379</v>
      </c>
      <c r="I25" s="30" t="s">
        <v>430</v>
      </c>
      <c r="J25" t="s">
        <v>366</v>
      </c>
      <c r="K25" t="s">
        <v>366</v>
      </c>
      <c r="L25" t="s">
        <v>772</v>
      </c>
      <c r="M25" s="144" t="s">
        <v>366</v>
      </c>
    </row>
    <row r="26" spans="1:13" x14ac:dyDescent="0.25">
      <c r="A26" s="30" t="s">
        <v>420</v>
      </c>
      <c r="B26" t="s">
        <v>288</v>
      </c>
      <c r="C26" t="s">
        <v>379</v>
      </c>
      <c r="D26" t="s">
        <v>379</v>
      </c>
      <c r="E26" t="s">
        <v>379</v>
      </c>
      <c r="F26" t="s">
        <v>366</v>
      </c>
      <c r="G26" t="s">
        <v>366</v>
      </c>
      <c r="I26" s="30" t="s">
        <v>431</v>
      </c>
      <c r="J26" t="s">
        <v>366</v>
      </c>
      <c r="K26" t="s">
        <v>366</v>
      </c>
      <c r="L26" t="s">
        <v>498</v>
      </c>
      <c r="M26" s="144" t="s">
        <v>366</v>
      </c>
    </row>
    <row r="27" spans="1:13" x14ac:dyDescent="0.25">
      <c r="A27" s="30" t="s">
        <v>420</v>
      </c>
      <c r="B27" t="s">
        <v>360</v>
      </c>
      <c r="C27" t="s">
        <v>379</v>
      </c>
      <c r="D27" t="s">
        <v>379</v>
      </c>
      <c r="E27" t="s">
        <v>366</v>
      </c>
      <c r="F27" t="s">
        <v>368</v>
      </c>
      <c r="G27" t="s">
        <v>366</v>
      </c>
      <c r="I27" s="30" t="s">
        <v>432</v>
      </c>
      <c r="J27" t="s">
        <v>366</v>
      </c>
      <c r="K27" t="s">
        <v>366</v>
      </c>
      <c r="L27" t="s">
        <v>366</v>
      </c>
      <c r="M27" s="144" t="s">
        <v>366</v>
      </c>
    </row>
    <row r="28" spans="1:13" x14ac:dyDescent="0.25">
      <c r="A28" s="30" t="s">
        <v>420</v>
      </c>
      <c r="B28" t="s">
        <v>513</v>
      </c>
      <c r="C28" t="s">
        <v>379</v>
      </c>
      <c r="D28" t="s">
        <v>379</v>
      </c>
      <c r="E28" t="s">
        <v>379</v>
      </c>
      <c r="F28" t="s">
        <v>379</v>
      </c>
      <c r="G28" t="s">
        <v>379</v>
      </c>
      <c r="I28" s="30" t="s">
        <v>433</v>
      </c>
      <c r="J28" t="s">
        <v>366</v>
      </c>
      <c r="K28" t="s">
        <v>366</v>
      </c>
      <c r="L28" t="s">
        <v>366</v>
      </c>
      <c r="M28" s="144" t="s">
        <v>366</v>
      </c>
    </row>
    <row r="29" spans="1:13" x14ac:dyDescent="0.25">
      <c r="A29" s="30" t="s">
        <v>421</v>
      </c>
      <c r="B29" t="s">
        <v>288</v>
      </c>
      <c r="C29" t="s">
        <v>379</v>
      </c>
      <c r="D29" t="s">
        <v>379</v>
      </c>
      <c r="E29" t="s">
        <v>379</v>
      </c>
      <c r="F29" t="s">
        <v>379</v>
      </c>
      <c r="G29" t="s">
        <v>379</v>
      </c>
      <c r="I29" s="30" t="s">
        <v>434</v>
      </c>
      <c r="J29" t="s">
        <v>368</v>
      </c>
      <c r="K29" t="s">
        <v>366</v>
      </c>
      <c r="L29" t="s">
        <v>366</v>
      </c>
      <c r="M29" s="144" t="s">
        <v>366</v>
      </c>
    </row>
    <row r="30" spans="1:13" x14ac:dyDescent="0.25">
      <c r="A30" s="30" t="s">
        <v>421</v>
      </c>
      <c r="B30" t="s">
        <v>360</v>
      </c>
      <c r="C30" t="s">
        <v>379</v>
      </c>
      <c r="D30" t="s">
        <v>379</v>
      </c>
      <c r="E30" t="s">
        <v>368</v>
      </c>
      <c r="F30" t="s">
        <v>522</v>
      </c>
      <c r="G30" t="s">
        <v>368</v>
      </c>
      <c r="I30" s="30" t="s">
        <v>435</v>
      </c>
      <c r="J30" t="s">
        <v>366</v>
      </c>
      <c r="K30" t="s">
        <v>366</v>
      </c>
      <c r="L30" t="s">
        <v>366</v>
      </c>
      <c r="M30" s="144" t="s">
        <v>366</v>
      </c>
    </row>
    <row r="31" spans="1:13" x14ac:dyDescent="0.25">
      <c r="A31" s="30" t="s">
        <v>421</v>
      </c>
      <c r="B31" t="s">
        <v>513</v>
      </c>
      <c r="C31" t="s">
        <v>379</v>
      </c>
      <c r="D31" t="s">
        <v>379</v>
      </c>
      <c r="E31" t="s">
        <v>379</v>
      </c>
      <c r="F31" t="s">
        <v>379</v>
      </c>
      <c r="G31" t="s">
        <v>379</v>
      </c>
      <c r="I31" s="30" t="s">
        <v>436</v>
      </c>
      <c r="J31" t="s">
        <v>366</v>
      </c>
      <c r="K31" t="s">
        <v>366</v>
      </c>
      <c r="L31" t="s">
        <v>366</v>
      </c>
      <c r="M31" s="144" t="s">
        <v>366</v>
      </c>
    </row>
    <row r="32" spans="1:13" x14ac:dyDescent="0.25">
      <c r="A32" s="30" t="s">
        <v>422</v>
      </c>
      <c r="B32" t="s">
        <v>288</v>
      </c>
      <c r="C32" t="s">
        <v>379</v>
      </c>
      <c r="D32" t="s">
        <v>379</v>
      </c>
      <c r="E32" t="s">
        <v>379</v>
      </c>
      <c r="F32" t="s">
        <v>367</v>
      </c>
      <c r="G32" t="s">
        <v>366</v>
      </c>
      <c r="I32" s="30" t="s">
        <v>358</v>
      </c>
      <c r="J32" t="s">
        <v>772</v>
      </c>
      <c r="K32" t="s">
        <v>366</v>
      </c>
      <c r="L32" t="s">
        <v>772</v>
      </c>
      <c r="M32" s="144" t="s">
        <v>366</v>
      </c>
    </row>
    <row r="33" spans="1:13" x14ac:dyDescent="0.25">
      <c r="A33" s="30" t="s">
        <v>422</v>
      </c>
      <c r="B33" t="s">
        <v>360</v>
      </c>
      <c r="C33" t="s">
        <v>379</v>
      </c>
      <c r="D33" t="s">
        <v>379</v>
      </c>
      <c r="E33" t="s">
        <v>379</v>
      </c>
      <c r="F33" t="s">
        <v>366</v>
      </c>
      <c r="G33" t="s">
        <v>366</v>
      </c>
      <c r="I33" s="30" t="s">
        <v>362</v>
      </c>
      <c r="J33" t="s">
        <v>772</v>
      </c>
      <c r="K33" t="s">
        <v>366</v>
      </c>
      <c r="L33" t="s">
        <v>772</v>
      </c>
      <c r="M33" s="144" t="s">
        <v>366</v>
      </c>
    </row>
    <row r="34" spans="1:13" x14ac:dyDescent="0.25">
      <c r="A34" s="30" t="s">
        <v>422</v>
      </c>
      <c r="B34" t="s">
        <v>513</v>
      </c>
      <c r="C34" t="s">
        <v>379</v>
      </c>
      <c r="D34" t="s">
        <v>379</v>
      </c>
      <c r="E34" t="s">
        <v>379</v>
      </c>
      <c r="F34" t="s">
        <v>379</v>
      </c>
      <c r="G34" t="s">
        <v>379</v>
      </c>
      <c r="I34" s="30" t="s">
        <v>363</v>
      </c>
      <c r="J34" t="s">
        <v>772</v>
      </c>
      <c r="K34" t="s">
        <v>366</v>
      </c>
      <c r="L34" t="s">
        <v>772</v>
      </c>
      <c r="M34" s="144" t="s">
        <v>366</v>
      </c>
    </row>
    <row r="35" spans="1:13" x14ac:dyDescent="0.25">
      <c r="A35" s="30" t="s">
        <v>423</v>
      </c>
      <c r="B35" t="s">
        <v>288</v>
      </c>
      <c r="C35" t="s">
        <v>379</v>
      </c>
      <c r="D35" t="s">
        <v>379</v>
      </c>
      <c r="E35" t="s">
        <v>379</v>
      </c>
      <c r="F35" t="s">
        <v>379</v>
      </c>
      <c r="G35" t="s">
        <v>379</v>
      </c>
      <c r="I35" s="30" t="s">
        <v>364</v>
      </c>
      <c r="J35" t="s">
        <v>772</v>
      </c>
      <c r="K35" t="s">
        <v>366</v>
      </c>
      <c r="L35" t="s">
        <v>772</v>
      </c>
      <c r="M35" s="144" t="s">
        <v>366</v>
      </c>
    </row>
    <row r="36" spans="1:13" x14ac:dyDescent="0.25">
      <c r="A36" s="30" t="s">
        <v>423</v>
      </c>
      <c r="B36" t="s">
        <v>360</v>
      </c>
      <c r="C36" t="s">
        <v>379</v>
      </c>
      <c r="D36" t="s">
        <v>379</v>
      </c>
      <c r="E36" t="s">
        <v>379</v>
      </c>
      <c r="F36" t="s">
        <v>368</v>
      </c>
      <c r="G36" t="s">
        <v>368</v>
      </c>
      <c r="I36" s="30" t="s">
        <v>361</v>
      </c>
      <c r="J36" t="s">
        <v>772</v>
      </c>
      <c r="K36" t="s">
        <v>366</v>
      </c>
      <c r="L36" t="s">
        <v>772</v>
      </c>
      <c r="M36" s="144" t="s">
        <v>366</v>
      </c>
    </row>
    <row r="37" spans="1:13" x14ac:dyDescent="0.25">
      <c r="A37" s="30" t="s">
        <v>423</v>
      </c>
      <c r="B37" t="s">
        <v>513</v>
      </c>
      <c r="C37" t="s">
        <v>379</v>
      </c>
      <c r="D37" t="s">
        <v>379</v>
      </c>
      <c r="E37" t="s">
        <v>379</v>
      </c>
      <c r="F37" t="s">
        <v>379</v>
      </c>
      <c r="G37" t="s">
        <v>379</v>
      </c>
      <c r="I37" s="30" t="s">
        <v>437</v>
      </c>
      <c r="J37" t="s">
        <v>772</v>
      </c>
      <c r="K37" t="s">
        <v>799</v>
      </c>
      <c r="L37" t="s">
        <v>772</v>
      </c>
      <c r="M37" s="144" t="s">
        <v>366</v>
      </c>
    </row>
    <row r="38" spans="1:13" x14ac:dyDescent="0.25">
      <c r="A38" s="30" t="s">
        <v>424</v>
      </c>
      <c r="B38" t="s">
        <v>288</v>
      </c>
      <c r="C38" t="s">
        <v>379</v>
      </c>
      <c r="D38" t="s">
        <v>379</v>
      </c>
      <c r="E38" t="s">
        <v>379</v>
      </c>
      <c r="F38" t="s">
        <v>379</v>
      </c>
      <c r="G38" t="s">
        <v>379</v>
      </c>
      <c r="I38" s="30" t="s">
        <v>438</v>
      </c>
      <c r="J38" t="s">
        <v>772</v>
      </c>
      <c r="K38" t="s">
        <v>366</v>
      </c>
      <c r="L38" t="s">
        <v>772</v>
      </c>
      <c r="M38" s="144" t="s">
        <v>366</v>
      </c>
    </row>
    <row r="39" spans="1:13" x14ac:dyDescent="0.25">
      <c r="A39" s="30" t="s">
        <v>424</v>
      </c>
      <c r="B39" t="s">
        <v>360</v>
      </c>
      <c r="C39" t="s">
        <v>379</v>
      </c>
      <c r="D39" t="s">
        <v>379</v>
      </c>
      <c r="E39" t="s">
        <v>379</v>
      </c>
      <c r="F39" t="s">
        <v>366</v>
      </c>
      <c r="G39" t="s">
        <v>366</v>
      </c>
      <c r="I39" s="30" t="s">
        <v>439</v>
      </c>
      <c r="J39" t="s">
        <v>772</v>
      </c>
      <c r="K39" t="s">
        <v>366</v>
      </c>
      <c r="L39" t="s">
        <v>772</v>
      </c>
      <c r="M39" s="144" t="s">
        <v>366</v>
      </c>
    </row>
    <row r="40" spans="1:13" x14ac:dyDescent="0.25">
      <c r="A40" s="30" t="s">
        <v>424</v>
      </c>
      <c r="B40" t="s">
        <v>513</v>
      </c>
      <c r="C40" t="s">
        <v>379</v>
      </c>
      <c r="D40" t="s">
        <v>379</v>
      </c>
      <c r="E40" t="s">
        <v>379</v>
      </c>
      <c r="F40" t="s">
        <v>379</v>
      </c>
      <c r="G40" t="s">
        <v>379</v>
      </c>
      <c r="I40" s="30" t="s">
        <v>440</v>
      </c>
      <c r="J40" t="s">
        <v>772</v>
      </c>
      <c r="K40" t="s">
        <v>704</v>
      </c>
      <c r="L40" t="s">
        <v>772</v>
      </c>
      <c r="M40" s="144" t="s">
        <v>366</v>
      </c>
    </row>
    <row r="41" spans="1:13" x14ac:dyDescent="0.25">
      <c r="A41" s="30" t="s">
        <v>425</v>
      </c>
      <c r="B41" t="s">
        <v>288</v>
      </c>
      <c r="C41" t="s">
        <v>379</v>
      </c>
      <c r="D41" t="s">
        <v>379</v>
      </c>
      <c r="E41" t="s">
        <v>379</v>
      </c>
      <c r="F41" t="s">
        <v>379</v>
      </c>
      <c r="G41" t="s">
        <v>379</v>
      </c>
      <c r="I41" s="30" t="s">
        <v>441</v>
      </c>
      <c r="J41" t="s">
        <v>772</v>
      </c>
      <c r="K41" t="s">
        <v>498</v>
      </c>
      <c r="L41" t="s">
        <v>368</v>
      </c>
      <c r="M41" s="144" t="s">
        <v>366</v>
      </c>
    </row>
    <row r="42" spans="1:13" x14ac:dyDescent="0.25">
      <c r="A42" s="30" t="s">
        <v>425</v>
      </c>
      <c r="B42" t="s">
        <v>360</v>
      </c>
      <c r="C42" t="s">
        <v>379</v>
      </c>
      <c r="D42" t="s">
        <v>379</v>
      </c>
      <c r="E42" t="s">
        <v>379</v>
      </c>
      <c r="F42" t="s">
        <v>366</v>
      </c>
      <c r="G42" t="s">
        <v>366</v>
      </c>
      <c r="I42" s="30" t="s">
        <v>442</v>
      </c>
      <c r="J42" t="s">
        <v>772</v>
      </c>
      <c r="K42" t="s">
        <v>366</v>
      </c>
      <c r="L42" t="s">
        <v>366</v>
      </c>
      <c r="M42" s="144" t="s">
        <v>369</v>
      </c>
    </row>
    <row r="43" spans="1:13" x14ac:dyDescent="0.25">
      <c r="A43" s="30" t="s">
        <v>425</v>
      </c>
      <c r="B43" t="s">
        <v>513</v>
      </c>
      <c r="C43" t="s">
        <v>379</v>
      </c>
      <c r="D43" t="s">
        <v>379</v>
      </c>
      <c r="E43" t="s">
        <v>379</v>
      </c>
      <c r="F43" t="s">
        <v>379</v>
      </c>
      <c r="G43" t="s">
        <v>379</v>
      </c>
      <c r="I43" s="30" t="s">
        <v>443</v>
      </c>
      <c r="J43" t="s">
        <v>772</v>
      </c>
      <c r="K43" t="s">
        <v>366</v>
      </c>
      <c r="L43" t="s">
        <v>366</v>
      </c>
      <c r="M43" s="144" t="s">
        <v>366</v>
      </c>
    </row>
    <row r="44" spans="1:13" x14ac:dyDescent="0.25">
      <c r="A44" s="30" t="s">
        <v>426</v>
      </c>
      <c r="B44" t="s">
        <v>288</v>
      </c>
      <c r="C44" t="s">
        <v>379</v>
      </c>
      <c r="D44" t="s">
        <v>379</v>
      </c>
      <c r="E44" t="s">
        <v>379</v>
      </c>
      <c r="F44" t="s">
        <v>366</v>
      </c>
      <c r="G44" t="s">
        <v>366</v>
      </c>
      <c r="I44" s="30" t="s">
        <v>444</v>
      </c>
      <c r="J44" t="s">
        <v>772</v>
      </c>
      <c r="K44" t="s">
        <v>366</v>
      </c>
      <c r="L44" t="s">
        <v>366</v>
      </c>
      <c r="M44" s="144" t="s">
        <v>366</v>
      </c>
    </row>
    <row r="45" spans="1:13" x14ac:dyDescent="0.25">
      <c r="A45" s="30" t="s">
        <v>426</v>
      </c>
      <c r="B45" t="s">
        <v>360</v>
      </c>
      <c r="C45" t="s">
        <v>379</v>
      </c>
      <c r="D45" t="s">
        <v>379</v>
      </c>
      <c r="E45" t="s">
        <v>379</v>
      </c>
      <c r="F45" t="s">
        <v>366</v>
      </c>
      <c r="G45" t="s">
        <v>366</v>
      </c>
      <c r="I45" s="30" t="s">
        <v>445</v>
      </c>
      <c r="J45" t="s">
        <v>772</v>
      </c>
      <c r="K45" t="s">
        <v>366</v>
      </c>
      <c r="L45" t="s">
        <v>366</v>
      </c>
      <c r="M45" s="144" t="s">
        <v>692</v>
      </c>
    </row>
    <row r="46" spans="1:13" x14ac:dyDescent="0.25">
      <c r="A46" s="30" t="s">
        <v>426</v>
      </c>
      <c r="B46" t="s">
        <v>513</v>
      </c>
      <c r="C46" t="s">
        <v>379</v>
      </c>
      <c r="D46" t="s">
        <v>379</v>
      </c>
      <c r="E46" t="s">
        <v>379</v>
      </c>
      <c r="F46" t="s">
        <v>379</v>
      </c>
      <c r="G46" t="s">
        <v>379</v>
      </c>
      <c r="I46" s="30" t="s">
        <v>446</v>
      </c>
      <c r="J46" t="s">
        <v>772</v>
      </c>
      <c r="K46" t="s">
        <v>366</v>
      </c>
      <c r="L46" t="s">
        <v>366</v>
      </c>
      <c r="M46" s="144" t="s">
        <v>366</v>
      </c>
    </row>
    <row r="47" spans="1:13" x14ac:dyDescent="0.25">
      <c r="A47" s="30" t="s">
        <v>353</v>
      </c>
      <c r="B47" t="s">
        <v>288</v>
      </c>
      <c r="C47" t="s">
        <v>366</v>
      </c>
      <c r="D47" t="s">
        <v>366</v>
      </c>
      <c r="E47" t="s">
        <v>366</v>
      </c>
      <c r="F47" t="s">
        <v>366</v>
      </c>
      <c r="G47" t="s">
        <v>366</v>
      </c>
      <c r="I47" s="30" t="s">
        <v>447</v>
      </c>
      <c r="J47" t="s">
        <v>772</v>
      </c>
      <c r="K47" t="s">
        <v>366</v>
      </c>
      <c r="L47" t="s">
        <v>772</v>
      </c>
      <c r="M47" s="144" t="s">
        <v>366</v>
      </c>
    </row>
    <row r="48" spans="1:13" x14ac:dyDescent="0.25">
      <c r="A48" s="30" t="s">
        <v>353</v>
      </c>
      <c r="B48" t="s">
        <v>360</v>
      </c>
      <c r="C48" t="s">
        <v>369</v>
      </c>
      <c r="D48" t="s">
        <v>315</v>
      </c>
      <c r="E48" t="s">
        <v>367</v>
      </c>
      <c r="F48" t="s">
        <v>367</v>
      </c>
      <c r="G48" t="s">
        <v>367</v>
      </c>
      <c r="I48" s="30" t="s">
        <v>448</v>
      </c>
      <c r="J48" t="s">
        <v>772</v>
      </c>
      <c r="K48" t="s">
        <v>366</v>
      </c>
      <c r="L48" t="s">
        <v>772</v>
      </c>
      <c r="M48" s="144" t="s">
        <v>366</v>
      </c>
    </row>
    <row r="49" spans="1:13" x14ac:dyDescent="0.25">
      <c r="A49" s="30" t="s">
        <v>353</v>
      </c>
      <c r="B49" t="s">
        <v>513</v>
      </c>
      <c r="C49" t="s">
        <v>379</v>
      </c>
      <c r="D49" t="s">
        <v>379</v>
      </c>
      <c r="E49" t="s">
        <v>379</v>
      </c>
      <c r="F49" t="s">
        <v>379</v>
      </c>
      <c r="G49" t="s">
        <v>379</v>
      </c>
      <c r="I49" s="30" t="s">
        <v>449</v>
      </c>
      <c r="J49" t="s">
        <v>772</v>
      </c>
      <c r="K49" t="s">
        <v>366</v>
      </c>
      <c r="L49" t="s">
        <v>772</v>
      </c>
      <c r="M49" s="144" t="s">
        <v>366</v>
      </c>
    </row>
    <row r="50" spans="1:13" x14ac:dyDescent="0.25">
      <c r="A50" s="30" t="s">
        <v>354</v>
      </c>
      <c r="B50" t="s">
        <v>288</v>
      </c>
      <c r="C50" t="s">
        <v>366</v>
      </c>
      <c r="D50" t="s">
        <v>366</v>
      </c>
      <c r="E50" t="s">
        <v>366</v>
      </c>
      <c r="F50" t="s">
        <v>366</v>
      </c>
      <c r="G50" t="s">
        <v>366</v>
      </c>
      <c r="I50" s="30" t="s">
        <v>450</v>
      </c>
      <c r="J50" t="s">
        <v>772</v>
      </c>
      <c r="K50" t="s">
        <v>366</v>
      </c>
      <c r="L50" t="s">
        <v>772</v>
      </c>
      <c r="M50" s="144" t="s">
        <v>366</v>
      </c>
    </row>
    <row r="51" spans="1:13" x14ac:dyDescent="0.25">
      <c r="A51" s="30" t="s">
        <v>354</v>
      </c>
      <c r="B51" t="s">
        <v>360</v>
      </c>
      <c r="C51" t="s">
        <v>366</v>
      </c>
      <c r="D51" t="s">
        <v>368</v>
      </c>
      <c r="E51" t="s">
        <v>368</v>
      </c>
      <c r="F51" t="s">
        <v>366</v>
      </c>
      <c r="G51" t="s">
        <v>372</v>
      </c>
      <c r="I51" s="30" t="s">
        <v>451</v>
      </c>
      <c r="J51" t="s">
        <v>772</v>
      </c>
      <c r="K51" t="s">
        <v>367</v>
      </c>
      <c r="L51" t="s">
        <v>772</v>
      </c>
      <c r="M51" s="144" t="s">
        <v>368</v>
      </c>
    </row>
    <row r="52" spans="1:13" x14ac:dyDescent="0.25">
      <c r="A52" s="30" t="s">
        <v>354</v>
      </c>
      <c r="B52" t="s">
        <v>513</v>
      </c>
      <c r="C52" t="s">
        <v>379</v>
      </c>
      <c r="D52" t="s">
        <v>379</v>
      </c>
      <c r="E52" t="s">
        <v>379</v>
      </c>
      <c r="F52" t="s">
        <v>379</v>
      </c>
      <c r="G52" t="s">
        <v>379</v>
      </c>
      <c r="I52" s="30" t="s">
        <v>452</v>
      </c>
      <c r="J52" t="s">
        <v>772</v>
      </c>
      <c r="K52" t="s">
        <v>366</v>
      </c>
      <c r="L52" t="s">
        <v>772</v>
      </c>
      <c r="M52" s="144" t="s">
        <v>366</v>
      </c>
    </row>
    <row r="53" spans="1:13" x14ac:dyDescent="0.25">
      <c r="A53" s="30" t="s">
        <v>355</v>
      </c>
      <c r="B53" t="s">
        <v>288</v>
      </c>
      <c r="C53" t="s">
        <v>366</v>
      </c>
      <c r="D53" t="s">
        <v>366</v>
      </c>
      <c r="E53" t="s">
        <v>366</v>
      </c>
      <c r="F53" t="s">
        <v>367</v>
      </c>
      <c r="G53" t="s">
        <v>366</v>
      </c>
      <c r="I53" s="30" t="s">
        <v>453</v>
      </c>
      <c r="J53" t="s">
        <v>772</v>
      </c>
      <c r="K53" t="s">
        <v>366</v>
      </c>
      <c r="L53" t="s">
        <v>772</v>
      </c>
      <c r="M53" s="144" t="s">
        <v>498</v>
      </c>
    </row>
    <row r="54" spans="1:13" x14ac:dyDescent="0.25">
      <c r="A54" s="30" t="s">
        <v>355</v>
      </c>
      <c r="B54" t="s">
        <v>360</v>
      </c>
      <c r="C54" t="s">
        <v>371</v>
      </c>
      <c r="D54" t="s">
        <v>368</v>
      </c>
      <c r="E54" t="s">
        <v>368</v>
      </c>
      <c r="F54" t="s">
        <v>368</v>
      </c>
      <c r="G54" t="s">
        <v>366</v>
      </c>
      <c r="I54" s="30" t="s">
        <v>454</v>
      </c>
      <c r="J54" t="s">
        <v>772</v>
      </c>
      <c r="K54" t="s">
        <v>366</v>
      </c>
      <c r="L54" t="s">
        <v>772</v>
      </c>
      <c r="M54" s="144" t="s">
        <v>368</v>
      </c>
    </row>
    <row r="55" spans="1:13" x14ac:dyDescent="0.25">
      <c r="A55" s="30" t="s">
        <v>355</v>
      </c>
      <c r="B55" t="s">
        <v>513</v>
      </c>
      <c r="C55" t="s">
        <v>379</v>
      </c>
      <c r="D55" t="s">
        <v>379</v>
      </c>
      <c r="E55" t="s">
        <v>379</v>
      </c>
      <c r="F55" t="s">
        <v>379</v>
      </c>
      <c r="G55" t="s">
        <v>379</v>
      </c>
      <c r="I55" s="30" t="s">
        <v>455</v>
      </c>
      <c r="J55" t="s">
        <v>772</v>
      </c>
      <c r="K55" t="s">
        <v>366</v>
      </c>
      <c r="L55" t="s">
        <v>772</v>
      </c>
      <c r="M55" s="144" t="s">
        <v>366</v>
      </c>
    </row>
    <row r="56" spans="1:13" x14ac:dyDescent="0.25">
      <c r="A56" s="30" t="s">
        <v>356</v>
      </c>
      <c r="B56" t="s">
        <v>288</v>
      </c>
      <c r="C56" t="s">
        <v>366</v>
      </c>
      <c r="D56" t="s">
        <v>366</v>
      </c>
      <c r="E56" t="s">
        <v>366</v>
      </c>
      <c r="F56" t="s">
        <v>366</v>
      </c>
      <c r="G56" t="s">
        <v>366</v>
      </c>
      <c r="I56" s="30" t="s">
        <v>456</v>
      </c>
      <c r="J56" t="s">
        <v>772</v>
      </c>
      <c r="K56" t="s">
        <v>366</v>
      </c>
      <c r="L56" t="s">
        <v>366</v>
      </c>
      <c r="M56" s="144" t="s">
        <v>366</v>
      </c>
    </row>
    <row r="57" spans="1:13" x14ac:dyDescent="0.25">
      <c r="A57" s="30" t="s">
        <v>356</v>
      </c>
      <c r="B57" t="s">
        <v>360</v>
      </c>
      <c r="C57" t="s">
        <v>372</v>
      </c>
      <c r="D57" t="s">
        <v>366</v>
      </c>
      <c r="E57" t="s">
        <v>368</v>
      </c>
      <c r="F57" t="s">
        <v>368</v>
      </c>
      <c r="G57" t="s">
        <v>366</v>
      </c>
      <c r="I57" s="30" t="s">
        <v>457</v>
      </c>
      <c r="J57" t="s">
        <v>772</v>
      </c>
      <c r="K57" t="s">
        <v>800</v>
      </c>
      <c r="L57" t="s">
        <v>368</v>
      </c>
      <c r="M57" s="144" t="s">
        <v>366</v>
      </c>
    </row>
    <row r="58" spans="1:13" x14ac:dyDescent="0.25">
      <c r="A58" s="30" t="s">
        <v>356</v>
      </c>
      <c r="B58" t="s">
        <v>513</v>
      </c>
      <c r="C58" t="s">
        <v>379</v>
      </c>
      <c r="D58" t="s">
        <v>379</v>
      </c>
      <c r="E58" t="s">
        <v>379</v>
      </c>
      <c r="F58" t="s">
        <v>379</v>
      </c>
      <c r="G58" t="s">
        <v>379</v>
      </c>
      <c r="I58" s="30" t="s">
        <v>458</v>
      </c>
      <c r="J58" t="s">
        <v>772</v>
      </c>
      <c r="K58" t="s">
        <v>366</v>
      </c>
      <c r="L58" t="s">
        <v>366</v>
      </c>
      <c r="M58" s="144" t="s">
        <v>366</v>
      </c>
    </row>
    <row r="59" spans="1:13" x14ac:dyDescent="0.25">
      <c r="A59" s="30" t="s">
        <v>357</v>
      </c>
      <c r="B59" t="s">
        <v>288</v>
      </c>
      <c r="C59" t="s">
        <v>366</v>
      </c>
      <c r="D59" t="s">
        <v>366</v>
      </c>
      <c r="E59" t="s">
        <v>366</v>
      </c>
      <c r="F59" t="s">
        <v>366</v>
      </c>
      <c r="G59" t="s">
        <v>366</v>
      </c>
      <c r="I59" s="30" t="s">
        <v>459</v>
      </c>
      <c r="J59" t="s">
        <v>772</v>
      </c>
      <c r="K59" t="s">
        <v>366</v>
      </c>
      <c r="L59" t="s">
        <v>366</v>
      </c>
      <c r="M59" s="144" t="s">
        <v>366</v>
      </c>
    </row>
    <row r="60" spans="1:13" x14ac:dyDescent="0.25">
      <c r="A60" s="30" t="s">
        <v>357</v>
      </c>
      <c r="B60" t="s">
        <v>360</v>
      </c>
      <c r="C60" t="s">
        <v>366</v>
      </c>
      <c r="D60" t="s">
        <v>368</v>
      </c>
      <c r="E60" t="s">
        <v>368</v>
      </c>
      <c r="F60" t="s">
        <v>368</v>
      </c>
      <c r="G60" t="s">
        <v>366</v>
      </c>
      <c r="I60" s="30" t="s">
        <v>460</v>
      </c>
      <c r="J60" t="s">
        <v>772</v>
      </c>
      <c r="K60" t="s">
        <v>692</v>
      </c>
      <c r="L60" t="s">
        <v>366</v>
      </c>
      <c r="M60" s="144" t="s">
        <v>366</v>
      </c>
    </row>
    <row r="61" spans="1:13" x14ac:dyDescent="0.25">
      <c r="A61" s="30" t="s">
        <v>357</v>
      </c>
      <c r="B61" t="s">
        <v>513</v>
      </c>
      <c r="C61" t="s">
        <v>379</v>
      </c>
      <c r="D61" t="s">
        <v>379</v>
      </c>
      <c r="E61" t="s">
        <v>379</v>
      </c>
      <c r="F61" t="s">
        <v>379</v>
      </c>
      <c r="G61" t="s">
        <v>379</v>
      </c>
      <c r="I61" s="30" t="s">
        <v>461</v>
      </c>
      <c r="J61" t="s">
        <v>772</v>
      </c>
      <c r="K61" t="s">
        <v>366</v>
      </c>
      <c r="L61" t="s">
        <v>366</v>
      </c>
      <c r="M61" s="144" t="s">
        <v>366</v>
      </c>
    </row>
    <row r="62" spans="1:13" x14ac:dyDescent="0.25">
      <c r="A62" s="30" t="s">
        <v>427</v>
      </c>
      <c r="B62" t="s">
        <v>288</v>
      </c>
      <c r="C62" t="s">
        <v>379</v>
      </c>
      <c r="D62" t="s">
        <v>379</v>
      </c>
      <c r="E62" t="s">
        <v>379</v>
      </c>
      <c r="F62" t="s">
        <v>366</v>
      </c>
      <c r="G62" t="s">
        <v>366</v>
      </c>
      <c r="M62" s="144"/>
    </row>
    <row r="63" spans="1:13" x14ac:dyDescent="0.25">
      <c r="A63" s="30" t="s">
        <v>427</v>
      </c>
      <c r="B63" t="s">
        <v>360</v>
      </c>
      <c r="C63" t="s">
        <v>379</v>
      </c>
      <c r="D63" t="s">
        <v>379</v>
      </c>
      <c r="E63" t="s">
        <v>366</v>
      </c>
      <c r="F63" t="s">
        <v>368</v>
      </c>
      <c r="G63" t="s">
        <v>368</v>
      </c>
      <c r="M63" s="144"/>
    </row>
    <row r="64" spans="1:13" x14ac:dyDescent="0.25">
      <c r="A64" s="30" t="s">
        <v>427</v>
      </c>
      <c r="B64" t="s">
        <v>513</v>
      </c>
      <c r="C64" t="s">
        <v>379</v>
      </c>
      <c r="D64" t="s">
        <v>379</v>
      </c>
      <c r="E64" t="s">
        <v>379</v>
      </c>
      <c r="F64" t="s">
        <v>379</v>
      </c>
      <c r="G64" t="s">
        <v>379</v>
      </c>
      <c r="M64" s="144"/>
    </row>
    <row r="65" spans="1:13" x14ac:dyDescent="0.25">
      <c r="A65" s="30" t="s">
        <v>428</v>
      </c>
      <c r="B65" t="s">
        <v>288</v>
      </c>
      <c r="C65" t="s">
        <v>379</v>
      </c>
      <c r="D65" t="s">
        <v>379</v>
      </c>
      <c r="E65" t="s">
        <v>379</v>
      </c>
      <c r="F65" t="s">
        <v>379</v>
      </c>
      <c r="G65" t="s">
        <v>379</v>
      </c>
      <c r="M65" s="144"/>
    </row>
    <row r="66" spans="1:13" x14ac:dyDescent="0.25">
      <c r="A66" s="30" t="s">
        <v>428</v>
      </c>
      <c r="B66" t="s">
        <v>360</v>
      </c>
      <c r="C66" t="s">
        <v>379</v>
      </c>
      <c r="D66" t="s">
        <v>379</v>
      </c>
      <c r="E66" t="s">
        <v>366</v>
      </c>
      <c r="F66" t="s">
        <v>368</v>
      </c>
      <c r="G66" t="s">
        <v>366</v>
      </c>
      <c r="M66" s="144"/>
    </row>
    <row r="67" spans="1:13" x14ac:dyDescent="0.25">
      <c r="A67" s="30" t="s">
        <v>428</v>
      </c>
      <c r="B67" t="s">
        <v>513</v>
      </c>
      <c r="C67" t="s">
        <v>379</v>
      </c>
      <c r="D67" t="s">
        <v>379</v>
      </c>
      <c r="E67" t="s">
        <v>379</v>
      </c>
      <c r="F67" t="s">
        <v>379</v>
      </c>
      <c r="G67" t="s">
        <v>379</v>
      </c>
      <c r="M67" s="144"/>
    </row>
    <row r="68" spans="1:13" x14ac:dyDescent="0.25">
      <c r="A68" s="30" t="s">
        <v>429</v>
      </c>
      <c r="B68" t="s">
        <v>288</v>
      </c>
      <c r="C68" t="s">
        <v>379</v>
      </c>
      <c r="D68" t="s">
        <v>379</v>
      </c>
      <c r="E68" t="s">
        <v>379</v>
      </c>
      <c r="F68" t="s">
        <v>366</v>
      </c>
      <c r="G68" t="s">
        <v>366</v>
      </c>
      <c r="M68" s="144"/>
    </row>
    <row r="69" spans="1:13" x14ac:dyDescent="0.25">
      <c r="A69" s="30" t="s">
        <v>429</v>
      </c>
      <c r="B69" t="s">
        <v>360</v>
      </c>
      <c r="C69" t="s">
        <v>379</v>
      </c>
      <c r="D69" t="s">
        <v>379</v>
      </c>
      <c r="E69" t="s">
        <v>368</v>
      </c>
      <c r="F69" t="s">
        <v>366</v>
      </c>
      <c r="G69" t="s">
        <v>366</v>
      </c>
      <c r="M69" s="144"/>
    </row>
    <row r="70" spans="1:13" x14ac:dyDescent="0.25">
      <c r="A70" s="30" t="s">
        <v>429</v>
      </c>
      <c r="B70" t="s">
        <v>513</v>
      </c>
      <c r="C70" t="s">
        <v>379</v>
      </c>
      <c r="D70" t="s">
        <v>379</v>
      </c>
      <c r="E70" t="s">
        <v>379</v>
      </c>
      <c r="F70" t="s">
        <v>379</v>
      </c>
      <c r="G70" t="s">
        <v>379</v>
      </c>
      <c r="M70" s="144"/>
    </row>
    <row r="71" spans="1:13" x14ac:dyDescent="0.25">
      <c r="A71" s="30" t="s">
        <v>430</v>
      </c>
      <c r="B71" t="s">
        <v>288</v>
      </c>
      <c r="C71" t="s">
        <v>379</v>
      </c>
      <c r="D71" t="s">
        <v>379</v>
      </c>
      <c r="E71" t="s">
        <v>379</v>
      </c>
      <c r="F71" t="s">
        <v>379</v>
      </c>
      <c r="G71" t="s">
        <v>379</v>
      </c>
      <c r="M71" s="144"/>
    </row>
    <row r="72" spans="1:13" x14ac:dyDescent="0.25">
      <c r="A72" s="30" t="s">
        <v>430</v>
      </c>
      <c r="B72" t="s">
        <v>360</v>
      </c>
      <c r="C72" t="s">
        <v>379</v>
      </c>
      <c r="D72" t="s">
        <v>379</v>
      </c>
      <c r="E72" t="s">
        <v>366</v>
      </c>
      <c r="F72" t="s">
        <v>368</v>
      </c>
      <c r="G72" t="s">
        <v>366</v>
      </c>
      <c r="M72" s="144"/>
    </row>
    <row r="73" spans="1:13" x14ac:dyDescent="0.25">
      <c r="A73" s="30" t="s">
        <v>430</v>
      </c>
      <c r="B73" t="s">
        <v>513</v>
      </c>
      <c r="C73" t="s">
        <v>379</v>
      </c>
      <c r="D73" t="s">
        <v>379</v>
      </c>
      <c r="E73" t="s">
        <v>379</v>
      </c>
      <c r="F73" t="s">
        <v>379</v>
      </c>
      <c r="G73" t="s">
        <v>379</v>
      </c>
      <c r="M73" s="144"/>
    </row>
    <row r="74" spans="1:13" x14ac:dyDescent="0.25">
      <c r="A74" s="30" t="s">
        <v>431</v>
      </c>
      <c r="B74" t="s">
        <v>288</v>
      </c>
      <c r="C74" t="s">
        <v>379</v>
      </c>
      <c r="D74" t="s">
        <v>379</v>
      </c>
      <c r="E74" t="s">
        <v>379</v>
      </c>
      <c r="F74" t="s">
        <v>366</v>
      </c>
      <c r="G74" t="s">
        <v>366</v>
      </c>
      <c r="M74" s="144"/>
    </row>
    <row r="75" spans="1:13" x14ac:dyDescent="0.25">
      <c r="A75" s="30" t="s">
        <v>431</v>
      </c>
      <c r="B75" t="s">
        <v>360</v>
      </c>
      <c r="C75" t="s">
        <v>379</v>
      </c>
      <c r="D75" t="s">
        <v>379</v>
      </c>
      <c r="E75" t="s">
        <v>366</v>
      </c>
      <c r="F75" t="s">
        <v>366</v>
      </c>
      <c r="G75" t="s">
        <v>369</v>
      </c>
      <c r="M75" s="144"/>
    </row>
    <row r="76" spans="1:13" x14ac:dyDescent="0.25">
      <c r="A76" s="30" t="s">
        <v>431</v>
      </c>
      <c r="B76" t="s">
        <v>513</v>
      </c>
      <c r="C76" t="s">
        <v>379</v>
      </c>
      <c r="D76" t="s">
        <v>379</v>
      </c>
      <c r="E76" t="s">
        <v>379</v>
      </c>
      <c r="F76" t="s">
        <v>379</v>
      </c>
      <c r="G76" t="s">
        <v>379</v>
      </c>
      <c r="M76" s="144"/>
    </row>
    <row r="77" spans="1:13" x14ac:dyDescent="0.25">
      <c r="A77" s="30" t="s">
        <v>432</v>
      </c>
      <c r="B77" t="s">
        <v>288</v>
      </c>
      <c r="C77" t="s">
        <v>379</v>
      </c>
      <c r="D77" t="s">
        <v>379</v>
      </c>
      <c r="E77" t="s">
        <v>379</v>
      </c>
      <c r="F77" t="s">
        <v>379</v>
      </c>
      <c r="G77" t="s">
        <v>379</v>
      </c>
      <c r="M77" s="144"/>
    </row>
    <row r="78" spans="1:13" x14ac:dyDescent="0.25">
      <c r="A78" s="30" t="s">
        <v>432</v>
      </c>
      <c r="B78" t="s">
        <v>360</v>
      </c>
      <c r="C78" t="s">
        <v>379</v>
      </c>
      <c r="D78" t="s">
        <v>379</v>
      </c>
      <c r="E78" t="s">
        <v>379</v>
      </c>
      <c r="F78" t="s">
        <v>367</v>
      </c>
      <c r="G78" t="s">
        <v>369</v>
      </c>
      <c r="M78" s="144"/>
    </row>
    <row r="79" spans="1:13" x14ac:dyDescent="0.25">
      <c r="A79" s="30" t="s">
        <v>432</v>
      </c>
      <c r="B79" t="s">
        <v>513</v>
      </c>
      <c r="C79" t="s">
        <v>379</v>
      </c>
      <c r="D79" t="s">
        <v>379</v>
      </c>
      <c r="E79" t="s">
        <v>379</v>
      </c>
      <c r="F79" t="s">
        <v>379</v>
      </c>
      <c r="G79" t="s">
        <v>379</v>
      </c>
      <c r="M79" s="144"/>
    </row>
    <row r="80" spans="1:13" x14ac:dyDescent="0.25">
      <c r="A80" s="30" t="s">
        <v>433</v>
      </c>
      <c r="B80" t="s">
        <v>288</v>
      </c>
      <c r="C80" t="s">
        <v>379</v>
      </c>
      <c r="D80" t="s">
        <v>379</v>
      </c>
      <c r="E80" t="s">
        <v>379</v>
      </c>
      <c r="F80" t="s">
        <v>366</v>
      </c>
      <c r="G80" t="s">
        <v>366</v>
      </c>
      <c r="M80" s="144"/>
    </row>
    <row r="81" spans="1:13" x14ac:dyDescent="0.25">
      <c r="A81" s="30" t="s">
        <v>433</v>
      </c>
      <c r="B81" t="s">
        <v>360</v>
      </c>
      <c r="C81" t="s">
        <v>379</v>
      </c>
      <c r="D81" t="s">
        <v>379</v>
      </c>
      <c r="E81" t="s">
        <v>379</v>
      </c>
      <c r="F81" t="s">
        <v>368</v>
      </c>
      <c r="G81" t="s">
        <v>368</v>
      </c>
      <c r="M81" s="144"/>
    </row>
    <row r="82" spans="1:13" x14ac:dyDescent="0.25">
      <c r="A82" s="30" t="s">
        <v>433</v>
      </c>
      <c r="B82" t="s">
        <v>513</v>
      </c>
      <c r="C82" t="s">
        <v>379</v>
      </c>
      <c r="D82" t="s">
        <v>379</v>
      </c>
      <c r="E82" t="s">
        <v>379</v>
      </c>
      <c r="F82" t="s">
        <v>379</v>
      </c>
      <c r="G82" t="s">
        <v>379</v>
      </c>
      <c r="M82" s="144"/>
    </row>
    <row r="83" spans="1:13" x14ac:dyDescent="0.25">
      <c r="A83" s="30" t="s">
        <v>434</v>
      </c>
      <c r="B83" t="s">
        <v>288</v>
      </c>
      <c r="C83" t="s">
        <v>379</v>
      </c>
      <c r="D83" t="s">
        <v>379</v>
      </c>
      <c r="E83" t="s">
        <v>379</v>
      </c>
      <c r="F83" t="s">
        <v>379</v>
      </c>
      <c r="G83" t="s">
        <v>379</v>
      </c>
      <c r="M83" s="144"/>
    </row>
    <row r="84" spans="1:13" x14ac:dyDescent="0.25">
      <c r="A84" s="30" t="s">
        <v>434</v>
      </c>
      <c r="B84" t="s">
        <v>360</v>
      </c>
      <c r="C84" t="s">
        <v>379</v>
      </c>
      <c r="D84" t="s">
        <v>379</v>
      </c>
      <c r="E84" t="s">
        <v>379</v>
      </c>
      <c r="F84" t="s">
        <v>476</v>
      </c>
      <c r="G84" t="s">
        <v>368</v>
      </c>
      <c r="M84" s="144"/>
    </row>
    <row r="85" spans="1:13" x14ac:dyDescent="0.25">
      <c r="A85" s="30" t="s">
        <v>434</v>
      </c>
      <c r="B85" t="s">
        <v>513</v>
      </c>
      <c r="C85" t="s">
        <v>379</v>
      </c>
      <c r="D85" t="s">
        <v>379</v>
      </c>
      <c r="E85" t="s">
        <v>379</v>
      </c>
      <c r="F85" t="s">
        <v>379</v>
      </c>
      <c r="G85" t="s">
        <v>379</v>
      </c>
      <c r="M85" s="144"/>
    </row>
    <row r="86" spans="1:13" x14ac:dyDescent="0.25">
      <c r="A86" s="30" t="s">
        <v>435</v>
      </c>
      <c r="B86" t="s">
        <v>288</v>
      </c>
      <c r="C86" t="s">
        <v>379</v>
      </c>
      <c r="D86" t="s">
        <v>379</v>
      </c>
      <c r="E86" t="s">
        <v>379</v>
      </c>
      <c r="F86" t="s">
        <v>366</v>
      </c>
      <c r="G86" t="s">
        <v>366</v>
      </c>
      <c r="M86" s="144"/>
    </row>
    <row r="87" spans="1:13" x14ac:dyDescent="0.25">
      <c r="A87" s="30" t="s">
        <v>435</v>
      </c>
      <c r="B87" t="s">
        <v>360</v>
      </c>
      <c r="C87" t="s">
        <v>379</v>
      </c>
      <c r="D87" t="s">
        <v>379</v>
      </c>
      <c r="E87" t="s">
        <v>379</v>
      </c>
      <c r="F87" t="s">
        <v>366</v>
      </c>
      <c r="G87" t="s">
        <v>366</v>
      </c>
      <c r="M87" s="144"/>
    </row>
    <row r="88" spans="1:13" x14ac:dyDescent="0.25">
      <c r="A88" s="30" t="s">
        <v>435</v>
      </c>
      <c r="B88" t="s">
        <v>513</v>
      </c>
      <c r="C88" t="s">
        <v>379</v>
      </c>
      <c r="D88" t="s">
        <v>379</v>
      </c>
      <c r="E88" t="s">
        <v>379</v>
      </c>
      <c r="F88" t="s">
        <v>379</v>
      </c>
      <c r="G88" t="s">
        <v>379</v>
      </c>
      <c r="M88" s="144"/>
    </row>
    <row r="89" spans="1:13" x14ac:dyDescent="0.25">
      <c r="A89" s="30" t="s">
        <v>436</v>
      </c>
      <c r="B89" t="s">
        <v>288</v>
      </c>
      <c r="C89" t="s">
        <v>379</v>
      </c>
      <c r="D89" t="s">
        <v>379</v>
      </c>
      <c r="E89" t="s">
        <v>379</v>
      </c>
      <c r="F89" t="s">
        <v>379</v>
      </c>
      <c r="G89" t="s">
        <v>379</v>
      </c>
      <c r="M89" s="144"/>
    </row>
    <row r="90" spans="1:13" x14ac:dyDescent="0.25">
      <c r="A90" s="30" t="s">
        <v>436</v>
      </c>
      <c r="B90" t="s">
        <v>360</v>
      </c>
      <c r="C90" t="s">
        <v>379</v>
      </c>
      <c r="D90" t="s">
        <v>379</v>
      </c>
      <c r="E90" t="s">
        <v>379</v>
      </c>
      <c r="F90" t="s">
        <v>366</v>
      </c>
      <c r="G90" t="s">
        <v>366</v>
      </c>
      <c r="M90" s="144"/>
    </row>
    <row r="91" spans="1:13" x14ac:dyDescent="0.25">
      <c r="A91" s="30" t="s">
        <v>436</v>
      </c>
      <c r="B91" t="s">
        <v>513</v>
      </c>
      <c r="C91" t="s">
        <v>379</v>
      </c>
      <c r="D91" t="s">
        <v>379</v>
      </c>
      <c r="E91" t="s">
        <v>379</v>
      </c>
      <c r="F91" t="s">
        <v>379</v>
      </c>
      <c r="G91" t="s">
        <v>379</v>
      </c>
      <c r="M91" s="144"/>
    </row>
    <row r="92" spans="1:13" x14ac:dyDescent="0.25">
      <c r="A92" s="30" t="s">
        <v>358</v>
      </c>
      <c r="B92" t="s">
        <v>288</v>
      </c>
      <c r="C92" t="s">
        <v>366</v>
      </c>
      <c r="D92" t="s">
        <v>366</v>
      </c>
      <c r="E92" t="s">
        <v>366</v>
      </c>
      <c r="F92" t="s">
        <v>366</v>
      </c>
      <c r="G92" t="s">
        <v>367</v>
      </c>
      <c r="M92" s="144"/>
    </row>
    <row r="93" spans="1:13" x14ac:dyDescent="0.25">
      <c r="A93" s="30" t="s">
        <v>358</v>
      </c>
      <c r="B93" t="s">
        <v>360</v>
      </c>
      <c r="C93" t="s">
        <v>373</v>
      </c>
      <c r="D93" t="s">
        <v>313</v>
      </c>
      <c r="E93" t="s">
        <v>368</v>
      </c>
      <c r="F93" t="s">
        <v>366</v>
      </c>
      <c r="G93" t="s">
        <v>368</v>
      </c>
      <c r="M93" s="144"/>
    </row>
    <row r="94" spans="1:13" x14ac:dyDescent="0.25">
      <c r="A94" s="30" t="s">
        <v>358</v>
      </c>
      <c r="B94" t="s">
        <v>513</v>
      </c>
      <c r="C94" t="s">
        <v>379</v>
      </c>
      <c r="D94" t="s">
        <v>379</v>
      </c>
      <c r="E94" t="s">
        <v>379</v>
      </c>
      <c r="F94" t="s">
        <v>368</v>
      </c>
      <c r="G94" t="s">
        <v>366</v>
      </c>
      <c r="M94" s="144"/>
    </row>
    <row r="95" spans="1:13" x14ac:dyDescent="0.25">
      <c r="A95" s="30" t="s">
        <v>362</v>
      </c>
      <c r="B95" t="s">
        <v>288</v>
      </c>
      <c r="C95" t="s">
        <v>367</v>
      </c>
      <c r="D95" t="s">
        <v>366</v>
      </c>
      <c r="E95" t="s">
        <v>366</v>
      </c>
      <c r="F95" t="s">
        <v>366</v>
      </c>
      <c r="G95" t="s">
        <v>366</v>
      </c>
      <c r="M95" s="144"/>
    </row>
    <row r="96" spans="1:13" x14ac:dyDescent="0.25">
      <c r="A96" s="30" t="s">
        <v>362</v>
      </c>
      <c r="B96" t="s">
        <v>360</v>
      </c>
      <c r="C96" t="s">
        <v>366</v>
      </c>
      <c r="D96" t="s">
        <v>366</v>
      </c>
      <c r="E96" t="s">
        <v>368</v>
      </c>
      <c r="F96" t="s">
        <v>372</v>
      </c>
      <c r="G96" t="s">
        <v>366</v>
      </c>
      <c r="M96" s="144"/>
    </row>
    <row r="97" spans="1:13" x14ac:dyDescent="0.25">
      <c r="A97" s="30" t="s">
        <v>362</v>
      </c>
      <c r="B97" t="s">
        <v>513</v>
      </c>
      <c r="C97" t="s">
        <v>379</v>
      </c>
      <c r="D97" t="s">
        <v>379</v>
      </c>
      <c r="E97" t="s">
        <v>379</v>
      </c>
      <c r="F97" t="s">
        <v>366</v>
      </c>
      <c r="G97" t="s">
        <v>366</v>
      </c>
      <c r="M97" s="144"/>
    </row>
    <row r="98" spans="1:13" x14ac:dyDescent="0.25">
      <c r="A98" s="30" t="s">
        <v>363</v>
      </c>
      <c r="B98" t="s">
        <v>288</v>
      </c>
      <c r="C98" t="s">
        <v>366</v>
      </c>
      <c r="D98" t="s">
        <v>366</v>
      </c>
      <c r="E98" t="s">
        <v>366</v>
      </c>
      <c r="F98" t="s">
        <v>366</v>
      </c>
      <c r="G98" t="s">
        <v>366</v>
      </c>
      <c r="M98" s="144"/>
    </row>
    <row r="99" spans="1:13" x14ac:dyDescent="0.25">
      <c r="A99" s="30" t="s">
        <v>363</v>
      </c>
      <c r="B99" t="s">
        <v>360</v>
      </c>
      <c r="C99" t="s">
        <v>374</v>
      </c>
      <c r="D99" t="s">
        <v>366</v>
      </c>
      <c r="E99" t="s">
        <v>368</v>
      </c>
      <c r="F99" t="s">
        <v>366</v>
      </c>
      <c r="G99" t="s">
        <v>366</v>
      </c>
      <c r="M99" s="144"/>
    </row>
    <row r="100" spans="1:13" x14ac:dyDescent="0.25">
      <c r="A100" s="30" t="s">
        <v>363</v>
      </c>
      <c r="B100" t="s">
        <v>513</v>
      </c>
      <c r="C100" t="s">
        <v>379</v>
      </c>
      <c r="D100" t="s">
        <v>379</v>
      </c>
      <c r="E100" t="s">
        <v>379</v>
      </c>
      <c r="F100" t="s">
        <v>366</v>
      </c>
      <c r="G100" t="s">
        <v>366</v>
      </c>
      <c r="M100" s="144"/>
    </row>
    <row r="101" spans="1:13" x14ac:dyDescent="0.25">
      <c r="A101" s="30" t="s">
        <v>364</v>
      </c>
      <c r="B101" t="s">
        <v>288</v>
      </c>
      <c r="C101" t="s">
        <v>366</v>
      </c>
      <c r="D101" t="s">
        <v>366</v>
      </c>
      <c r="E101" t="s">
        <v>366</v>
      </c>
      <c r="F101" t="s">
        <v>366</v>
      </c>
      <c r="G101" t="s">
        <v>366</v>
      </c>
      <c r="M101" s="144"/>
    </row>
    <row r="102" spans="1:13" x14ac:dyDescent="0.25">
      <c r="A102" s="30" t="s">
        <v>364</v>
      </c>
      <c r="B102" t="s">
        <v>360</v>
      </c>
      <c r="C102" t="s">
        <v>366</v>
      </c>
      <c r="D102" t="s">
        <v>366</v>
      </c>
      <c r="E102" t="s">
        <v>366</v>
      </c>
      <c r="F102" t="s">
        <v>368</v>
      </c>
      <c r="G102" t="s">
        <v>366</v>
      </c>
      <c r="M102" s="144"/>
    </row>
    <row r="103" spans="1:13" x14ac:dyDescent="0.25">
      <c r="A103" s="30" t="s">
        <v>364</v>
      </c>
      <c r="B103" t="s">
        <v>513</v>
      </c>
      <c r="C103" t="s">
        <v>379</v>
      </c>
      <c r="D103" t="s">
        <v>379</v>
      </c>
      <c r="E103" t="s">
        <v>379</v>
      </c>
      <c r="F103" t="s">
        <v>366</v>
      </c>
      <c r="G103" t="s">
        <v>366</v>
      </c>
      <c r="M103" s="144"/>
    </row>
    <row r="104" spans="1:13" x14ac:dyDescent="0.25">
      <c r="A104" s="30" t="s">
        <v>361</v>
      </c>
      <c r="B104" t="s">
        <v>288</v>
      </c>
      <c r="C104" t="s">
        <v>367</v>
      </c>
      <c r="D104" t="s">
        <v>367</v>
      </c>
      <c r="E104" t="s">
        <v>366</v>
      </c>
      <c r="F104" t="s">
        <v>366</v>
      </c>
      <c r="G104" t="s">
        <v>366</v>
      </c>
      <c r="M104" s="144"/>
    </row>
    <row r="105" spans="1:13" x14ac:dyDescent="0.25">
      <c r="A105" s="30" t="s">
        <v>361</v>
      </c>
      <c r="B105" t="s">
        <v>360</v>
      </c>
      <c r="C105" t="s">
        <v>366</v>
      </c>
      <c r="D105" t="s">
        <v>375</v>
      </c>
      <c r="E105" t="s">
        <v>368</v>
      </c>
      <c r="F105" t="s">
        <v>523</v>
      </c>
      <c r="G105" t="s">
        <v>366</v>
      </c>
      <c r="M105" s="144"/>
    </row>
    <row r="106" spans="1:13" x14ac:dyDescent="0.25">
      <c r="A106" s="30" t="s">
        <v>361</v>
      </c>
      <c r="B106" t="s">
        <v>513</v>
      </c>
      <c r="C106" t="s">
        <v>379</v>
      </c>
      <c r="D106" t="s">
        <v>379</v>
      </c>
      <c r="E106" t="s">
        <v>379</v>
      </c>
      <c r="F106" t="s">
        <v>366</v>
      </c>
      <c r="G106" t="s">
        <v>366</v>
      </c>
      <c r="M106" s="144"/>
    </row>
    <row r="107" spans="1:13" x14ac:dyDescent="0.25">
      <c r="A107" s="30" t="s">
        <v>437</v>
      </c>
      <c r="B107" t="s">
        <v>288</v>
      </c>
      <c r="C107" t="s">
        <v>379</v>
      </c>
      <c r="D107" t="s">
        <v>379</v>
      </c>
      <c r="E107" t="s">
        <v>379</v>
      </c>
      <c r="F107" t="s">
        <v>379</v>
      </c>
      <c r="G107" t="s">
        <v>379</v>
      </c>
      <c r="M107" s="144"/>
    </row>
    <row r="108" spans="1:13" x14ac:dyDescent="0.25">
      <c r="A108" s="30" t="s">
        <v>437</v>
      </c>
      <c r="B108" t="s">
        <v>360</v>
      </c>
      <c r="C108" t="s">
        <v>379</v>
      </c>
      <c r="D108" t="s">
        <v>379</v>
      </c>
      <c r="E108" t="s">
        <v>368</v>
      </c>
      <c r="F108" t="s">
        <v>369</v>
      </c>
      <c r="G108" t="s">
        <v>368</v>
      </c>
      <c r="M108" s="144"/>
    </row>
    <row r="109" spans="1:13" x14ac:dyDescent="0.25">
      <c r="A109" s="30" t="s">
        <v>437</v>
      </c>
      <c r="B109" t="s">
        <v>513</v>
      </c>
      <c r="C109" t="s">
        <v>379</v>
      </c>
      <c r="D109" t="s">
        <v>379</v>
      </c>
      <c r="E109" t="s">
        <v>379</v>
      </c>
      <c r="F109" t="s">
        <v>368</v>
      </c>
      <c r="G109" t="s">
        <v>369</v>
      </c>
      <c r="M109" s="144"/>
    </row>
    <row r="110" spans="1:13" x14ac:dyDescent="0.25">
      <c r="A110" s="30" t="s">
        <v>438</v>
      </c>
      <c r="B110" t="s">
        <v>288</v>
      </c>
      <c r="C110" t="s">
        <v>379</v>
      </c>
      <c r="D110" t="s">
        <v>379</v>
      </c>
      <c r="E110" t="s">
        <v>379</v>
      </c>
      <c r="F110" t="s">
        <v>366</v>
      </c>
      <c r="G110" t="s">
        <v>366</v>
      </c>
      <c r="M110" s="144"/>
    </row>
    <row r="111" spans="1:13" x14ac:dyDescent="0.25">
      <c r="A111" s="30" t="s">
        <v>438</v>
      </c>
      <c r="B111" t="s">
        <v>360</v>
      </c>
      <c r="C111" t="s">
        <v>379</v>
      </c>
      <c r="D111" t="s">
        <v>379</v>
      </c>
      <c r="E111" t="s">
        <v>368</v>
      </c>
      <c r="F111" t="s">
        <v>368</v>
      </c>
      <c r="G111" t="s">
        <v>368</v>
      </c>
      <c r="M111" s="144"/>
    </row>
    <row r="112" spans="1:13" x14ac:dyDescent="0.25">
      <c r="A112" s="30" t="s">
        <v>438</v>
      </c>
      <c r="B112" t="s">
        <v>513</v>
      </c>
      <c r="C112" t="s">
        <v>379</v>
      </c>
      <c r="D112" t="s">
        <v>379</v>
      </c>
      <c r="E112" t="s">
        <v>379</v>
      </c>
      <c r="F112" t="s">
        <v>369</v>
      </c>
      <c r="G112" t="s">
        <v>369</v>
      </c>
      <c r="M112" s="144"/>
    </row>
    <row r="113" spans="1:13" x14ac:dyDescent="0.25">
      <c r="A113" s="30" t="s">
        <v>439</v>
      </c>
      <c r="B113" t="s">
        <v>288</v>
      </c>
      <c r="C113" t="s">
        <v>379</v>
      </c>
      <c r="D113" t="s">
        <v>379</v>
      </c>
      <c r="E113" t="s">
        <v>379</v>
      </c>
      <c r="F113" t="s">
        <v>379</v>
      </c>
      <c r="G113" t="s">
        <v>379</v>
      </c>
      <c r="M113" s="144"/>
    </row>
    <row r="114" spans="1:13" x14ac:dyDescent="0.25">
      <c r="A114" s="30" t="s">
        <v>439</v>
      </c>
      <c r="B114" t="s">
        <v>360</v>
      </c>
      <c r="C114" t="s">
        <v>379</v>
      </c>
      <c r="D114" t="s">
        <v>379</v>
      </c>
      <c r="E114" t="s">
        <v>366</v>
      </c>
      <c r="F114" t="s">
        <v>366</v>
      </c>
      <c r="G114" t="s">
        <v>366</v>
      </c>
      <c r="M114" s="144"/>
    </row>
    <row r="115" spans="1:13" x14ac:dyDescent="0.25">
      <c r="A115" s="30" t="s">
        <v>439</v>
      </c>
      <c r="B115" t="s">
        <v>513</v>
      </c>
      <c r="C115" t="s">
        <v>379</v>
      </c>
      <c r="D115" t="s">
        <v>379</v>
      </c>
      <c r="E115" t="s">
        <v>379</v>
      </c>
      <c r="F115" t="s">
        <v>366</v>
      </c>
      <c r="G115" t="s">
        <v>366</v>
      </c>
      <c r="M115" s="144"/>
    </row>
    <row r="116" spans="1:13" x14ac:dyDescent="0.25">
      <c r="A116" s="30" t="s">
        <v>440</v>
      </c>
      <c r="B116" t="s">
        <v>288</v>
      </c>
      <c r="C116" t="s">
        <v>379</v>
      </c>
      <c r="D116" t="s">
        <v>379</v>
      </c>
      <c r="E116" t="s">
        <v>379</v>
      </c>
      <c r="F116" t="s">
        <v>366</v>
      </c>
      <c r="G116" t="s">
        <v>366</v>
      </c>
      <c r="M116" s="144"/>
    </row>
    <row r="117" spans="1:13" x14ac:dyDescent="0.25">
      <c r="A117" s="30" t="s">
        <v>440</v>
      </c>
      <c r="B117" t="s">
        <v>360</v>
      </c>
      <c r="C117" t="s">
        <v>379</v>
      </c>
      <c r="D117" t="s">
        <v>379</v>
      </c>
      <c r="E117" t="s">
        <v>366</v>
      </c>
      <c r="F117" t="s">
        <v>366</v>
      </c>
      <c r="G117" t="s">
        <v>366</v>
      </c>
      <c r="M117" s="144"/>
    </row>
    <row r="118" spans="1:13" x14ac:dyDescent="0.25">
      <c r="A118" s="30" t="s">
        <v>440</v>
      </c>
      <c r="B118" t="s">
        <v>513</v>
      </c>
      <c r="C118" t="s">
        <v>379</v>
      </c>
      <c r="D118" t="s">
        <v>379</v>
      </c>
      <c r="E118" t="s">
        <v>379</v>
      </c>
      <c r="F118" t="s">
        <v>366</v>
      </c>
      <c r="G118" t="s">
        <v>366</v>
      </c>
      <c r="M118" s="144"/>
    </row>
    <row r="119" spans="1:13" x14ac:dyDescent="0.25">
      <c r="A119" s="30" t="s">
        <v>441</v>
      </c>
      <c r="B119" t="s">
        <v>288</v>
      </c>
      <c r="C119" t="s">
        <v>379</v>
      </c>
      <c r="D119" t="s">
        <v>379</v>
      </c>
      <c r="E119" t="s">
        <v>379</v>
      </c>
      <c r="F119" t="s">
        <v>379</v>
      </c>
      <c r="G119" t="s">
        <v>379</v>
      </c>
      <c r="M119" s="144"/>
    </row>
    <row r="120" spans="1:13" x14ac:dyDescent="0.25">
      <c r="A120" s="30" t="s">
        <v>441</v>
      </c>
      <c r="B120" t="s">
        <v>360</v>
      </c>
      <c r="C120" t="s">
        <v>379</v>
      </c>
      <c r="D120" t="s">
        <v>379</v>
      </c>
      <c r="E120" t="s">
        <v>368</v>
      </c>
      <c r="F120" t="s">
        <v>368</v>
      </c>
      <c r="G120" t="s">
        <v>369</v>
      </c>
      <c r="M120" s="144"/>
    </row>
    <row r="121" spans="1:13" x14ac:dyDescent="0.25">
      <c r="A121" s="30" t="s">
        <v>441</v>
      </c>
      <c r="B121" t="s">
        <v>513</v>
      </c>
      <c r="C121" t="s">
        <v>379</v>
      </c>
      <c r="D121" t="s">
        <v>379</v>
      </c>
      <c r="E121" t="s">
        <v>379</v>
      </c>
      <c r="F121" t="s">
        <v>366</v>
      </c>
      <c r="G121" t="s">
        <v>366</v>
      </c>
      <c r="M121" s="144"/>
    </row>
    <row r="122" spans="1:13" x14ac:dyDescent="0.25">
      <c r="A122" s="30" t="s">
        <v>442</v>
      </c>
      <c r="B122" t="s">
        <v>288</v>
      </c>
      <c r="C122" t="s">
        <v>379</v>
      </c>
      <c r="D122" t="s">
        <v>379</v>
      </c>
      <c r="E122" t="s">
        <v>379</v>
      </c>
      <c r="F122" t="s">
        <v>366</v>
      </c>
      <c r="G122" t="s">
        <v>367</v>
      </c>
      <c r="M122" s="144"/>
    </row>
    <row r="123" spans="1:13" x14ac:dyDescent="0.25">
      <c r="A123" s="30" t="s">
        <v>442</v>
      </c>
      <c r="B123" t="s">
        <v>360</v>
      </c>
      <c r="C123" t="s">
        <v>379</v>
      </c>
      <c r="D123" t="s">
        <v>379</v>
      </c>
      <c r="E123" t="s">
        <v>379</v>
      </c>
      <c r="F123" t="s">
        <v>366</v>
      </c>
      <c r="G123" t="s">
        <v>368</v>
      </c>
      <c r="M123" s="144"/>
    </row>
    <row r="124" spans="1:13" x14ac:dyDescent="0.25">
      <c r="A124" s="30" t="s">
        <v>442</v>
      </c>
      <c r="B124" t="s">
        <v>513</v>
      </c>
      <c r="C124" t="s">
        <v>379</v>
      </c>
      <c r="D124" t="s">
        <v>379</v>
      </c>
      <c r="E124" t="s">
        <v>379</v>
      </c>
      <c r="F124" t="s">
        <v>379</v>
      </c>
      <c r="G124" t="s">
        <v>379</v>
      </c>
      <c r="M124" s="144"/>
    </row>
    <row r="125" spans="1:13" x14ac:dyDescent="0.25">
      <c r="A125" s="30" t="s">
        <v>443</v>
      </c>
      <c r="B125" t="s">
        <v>288</v>
      </c>
      <c r="C125" t="s">
        <v>379</v>
      </c>
      <c r="D125" t="s">
        <v>379</v>
      </c>
      <c r="E125" t="s">
        <v>379</v>
      </c>
      <c r="F125" t="s">
        <v>379</v>
      </c>
      <c r="G125" t="s">
        <v>379</v>
      </c>
      <c r="M125" s="144"/>
    </row>
    <row r="126" spans="1:13" x14ac:dyDescent="0.25">
      <c r="A126" s="30" t="s">
        <v>443</v>
      </c>
      <c r="B126" t="s">
        <v>360</v>
      </c>
      <c r="C126" t="s">
        <v>379</v>
      </c>
      <c r="D126" t="s">
        <v>379</v>
      </c>
      <c r="E126" t="s">
        <v>379</v>
      </c>
      <c r="F126" t="s">
        <v>368</v>
      </c>
      <c r="G126" t="s">
        <v>366</v>
      </c>
      <c r="M126" s="144"/>
    </row>
    <row r="127" spans="1:13" x14ac:dyDescent="0.25">
      <c r="A127" s="30" t="s">
        <v>443</v>
      </c>
      <c r="B127" t="s">
        <v>513</v>
      </c>
      <c r="C127" t="s">
        <v>379</v>
      </c>
      <c r="D127" t="s">
        <v>379</v>
      </c>
      <c r="E127" t="s">
        <v>379</v>
      </c>
      <c r="F127" t="s">
        <v>379</v>
      </c>
      <c r="G127" t="s">
        <v>379</v>
      </c>
      <c r="M127" s="144"/>
    </row>
    <row r="128" spans="1:13" x14ac:dyDescent="0.25">
      <c r="A128" s="30" t="s">
        <v>444</v>
      </c>
      <c r="B128" t="s">
        <v>288</v>
      </c>
      <c r="C128" t="s">
        <v>379</v>
      </c>
      <c r="D128" t="s">
        <v>379</v>
      </c>
      <c r="E128" t="s">
        <v>379</v>
      </c>
      <c r="F128" t="s">
        <v>366</v>
      </c>
      <c r="G128" t="s">
        <v>366</v>
      </c>
      <c r="M128" s="144"/>
    </row>
    <row r="129" spans="1:13" x14ac:dyDescent="0.25">
      <c r="A129" s="30" t="s">
        <v>444</v>
      </c>
      <c r="B129" t="s">
        <v>360</v>
      </c>
      <c r="C129" t="s">
        <v>379</v>
      </c>
      <c r="D129" t="s">
        <v>379</v>
      </c>
      <c r="E129" t="s">
        <v>379</v>
      </c>
      <c r="F129" t="s">
        <v>366</v>
      </c>
      <c r="G129" t="s">
        <v>366</v>
      </c>
      <c r="M129" s="144"/>
    </row>
    <row r="130" spans="1:13" x14ac:dyDescent="0.25">
      <c r="A130" s="30" t="s">
        <v>444</v>
      </c>
      <c r="B130" t="s">
        <v>513</v>
      </c>
      <c r="C130" t="s">
        <v>379</v>
      </c>
      <c r="D130" t="s">
        <v>379</v>
      </c>
      <c r="E130" t="s">
        <v>379</v>
      </c>
      <c r="F130" t="s">
        <v>379</v>
      </c>
      <c r="G130" t="s">
        <v>379</v>
      </c>
      <c r="M130" s="144"/>
    </row>
    <row r="131" spans="1:13" x14ac:dyDescent="0.25">
      <c r="A131" s="30" t="s">
        <v>445</v>
      </c>
      <c r="B131" t="s">
        <v>288</v>
      </c>
      <c r="C131" t="s">
        <v>379</v>
      </c>
      <c r="D131" t="s">
        <v>379</v>
      </c>
      <c r="E131" t="s">
        <v>379</v>
      </c>
      <c r="F131" t="s">
        <v>379</v>
      </c>
      <c r="G131" t="s">
        <v>379</v>
      </c>
      <c r="M131" s="144"/>
    </row>
    <row r="132" spans="1:13" x14ac:dyDescent="0.25">
      <c r="A132" s="30" t="s">
        <v>445</v>
      </c>
      <c r="B132" t="s">
        <v>360</v>
      </c>
      <c r="C132" t="s">
        <v>379</v>
      </c>
      <c r="D132" t="s">
        <v>379</v>
      </c>
      <c r="E132" t="s">
        <v>379</v>
      </c>
      <c r="F132" t="s">
        <v>366</v>
      </c>
      <c r="G132" t="s">
        <v>366</v>
      </c>
      <c r="M132" s="144"/>
    </row>
    <row r="133" spans="1:13" x14ac:dyDescent="0.25">
      <c r="A133" s="30" t="s">
        <v>445</v>
      </c>
      <c r="B133" t="s">
        <v>513</v>
      </c>
      <c r="C133" t="s">
        <v>379</v>
      </c>
      <c r="D133" t="s">
        <v>379</v>
      </c>
      <c r="E133" t="s">
        <v>379</v>
      </c>
      <c r="F133" t="s">
        <v>379</v>
      </c>
      <c r="G133" t="s">
        <v>379</v>
      </c>
      <c r="M133" s="144"/>
    </row>
    <row r="134" spans="1:13" x14ac:dyDescent="0.25">
      <c r="A134" s="30" t="s">
        <v>446</v>
      </c>
      <c r="B134" t="s">
        <v>288</v>
      </c>
      <c r="C134" t="s">
        <v>379</v>
      </c>
      <c r="D134" t="s">
        <v>379</v>
      </c>
      <c r="E134" t="s">
        <v>379</v>
      </c>
      <c r="F134" t="s">
        <v>366</v>
      </c>
      <c r="G134" t="s">
        <v>366</v>
      </c>
      <c r="M134" s="144"/>
    </row>
    <row r="135" spans="1:13" x14ac:dyDescent="0.25">
      <c r="A135" s="30" t="s">
        <v>446</v>
      </c>
      <c r="B135" t="s">
        <v>360</v>
      </c>
      <c r="C135" t="s">
        <v>379</v>
      </c>
      <c r="D135" t="s">
        <v>379</v>
      </c>
      <c r="E135" t="s">
        <v>379</v>
      </c>
      <c r="F135" t="s">
        <v>366</v>
      </c>
      <c r="G135" t="s">
        <v>366</v>
      </c>
      <c r="M135" s="144"/>
    </row>
    <row r="136" spans="1:13" x14ac:dyDescent="0.25">
      <c r="A136" s="30" t="s">
        <v>446</v>
      </c>
      <c r="B136" t="s">
        <v>513</v>
      </c>
      <c r="C136" t="s">
        <v>379</v>
      </c>
      <c r="D136" t="s">
        <v>379</v>
      </c>
      <c r="E136" t="s">
        <v>379</v>
      </c>
      <c r="F136" t="s">
        <v>379</v>
      </c>
      <c r="G136" t="s">
        <v>379</v>
      </c>
      <c r="M136" s="144"/>
    </row>
    <row r="137" spans="1:13" x14ac:dyDescent="0.25">
      <c r="A137" s="30" t="s">
        <v>447</v>
      </c>
      <c r="B137" t="s">
        <v>288</v>
      </c>
      <c r="C137" t="s">
        <v>379</v>
      </c>
      <c r="D137" t="s">
        <v>379</v>
      </c>
      <c r="E137" t="s">
        <v>366</v>
      </c>
      <c r="F137" t="s">
        <v>366</v>
      </c>
      <c r="G137" t="s">
        <v>366</v>
      </c>
      <c r="M137" s="144"/>
    </row>
    <row r="138" spans="1:13" x14ac:dyDescent="0.25">
      <c r="A138" s="30" t="s">
        <v>447</v>
      </c>
      <c r="B138" t="s">
        <v>360</v>
      </c>
      <c r="C138" t="s">
        <v>379</v>
      </c>
      <c r="D138" t="s">
        <v>379</v>
      </c>
      <c r="E138" t="s">
        <v>366</v>
      </c>
      <c r="F138" t="s">
        <v>366</v>
      </c>
      <c r="G138" t="s">
        <v>366</v>
      </c>
      <c r="M138" s="144"/>
    </row>
    <row r="139" spans="1:13" x14ac:dyDescent="0.25">
      <c r="A139" s="30" t="s">
        <v>447</v>
      </c>
      <c r="B139" t="s">
        <v>513</v>
      </c>
      <c r="C139" t="s">
        <v>379</v>
      </c>
      <c r="D139" t="s">
        <v>379</v>
      </c>
      <c r="E139" t="s">
        <v>379</v>
      </c>
      <c r="F139" t="s">
        <v>367</v>
      </c>
      <c r="G139" t="s">
        <v>366</v>
      </c>
      <c r="M139" s="144"/>
    </row>
    <row r="140" spans="1:13" x14ac:dyDescent="0.25">
      <c r="A140" s="30" t="s">
        <v>448</v>
      </c>
      <c r="B140" t="s">
        <v>288</v>
      </c>
      <c r="C140" t="s">
        <v>379</v>
      </c>
      <c r="D140" t="s">
        <v>379</v>
      </c>
      <c r="E140" t="s">
        <v>366</v>
      </c>
      <c r="F140" t="s">
        <v>366</v>
      </c>
      <c r="G140" t="s">
        <v>366</v>
      </c>
      <c r="M140" s="144"/>
    </row>
    <row r="141" spans="1:13" x14ac:dyDescent="0.25">
      <c r="A141" s="30" t="s">
        <v>448</v>
      </c>
      <c r="B141" t="s">
        <v>360</v>
      </c>
      <c r="C141" t="s">
        <v>379</v>
      </c>
      <c r="D141" t="s">
        <v>379</v>
      </c>
      <c r="E141" t="s">
        <v>366</v>
      </c>
      <c r="F141" t="s">
        <v>366</v>
      </c>
      <c r="G141" t="s">
        <v>366</v>
      </c>
      <c r="M141" s="144"/>
    </row>
    <row r="142" spans="1:13" x14ac:dyDescent="0.25">
      <c r="A142" s="30" t="s">
        <v>448</v>
      </c>
      <c r="B142" t="s">
        <v>513</v>
      </c>
      <c r="C142" t="s">
        <v>379</v>
      </c>
      <c r="D142" t="s">
        <v>379</v>
      </c>
      <c r="E142" t="s">
        <v>379</v>
      </c>
      <c r="F142" t="s">
        <v>368</v>
      </c>
      <c r="G142" t="s">
        <v>368</v>
      </c>
      <c r="M142" s="144"/>
    </row>
    <row r="143" spans="1:13" x14ac:dyDescent="0.25">
      <c r="A143" s="30" t="s">
        <v>449</v>
      </c>
      <c r="B143" t="s">
        <v>288</v>
      </c>
      <c r="C143" t="s">
        <v>379</v>
      </c>
      <c r="D143" t="s">
        <v>379</v>
      </c>
      <c r="E143" t="s">
        <v>366</v>
      </c>
      <c r="F143" t="s">
        <v>366</v>
      </c>
      <c r="G143" t="s">
        <v>366</v>
      </c>
      <c r="M143" s="144"/>
    </row>
    <row r="144" spans="1:13" x14ac:dyDescent="0.25">
      <c r="A144" s="30" t="s">
        <v>449</v>
      </c>
      <c r="B144" t="s">
        <v>360</v>
      </c>
      <c r="C144" t="s">
        <v>379</v>
      </c>
      <c r="D144" t="s">
        <v>379</v>
      </c>
      <c r="E144" t="s">
        <v>375</v>
      </c>
      <c r="F144" t="s">
        <v>524</v>
      </c>
      <c r="G144" t="s">
        <v>366</v>
      </c>
      <c r="M144" s="144"/>
    </row>
    <row r="145" spans="1:13" x14ac:dyDescent="0.25">
      <c r="A145" s="30" t="s">
        <v>449</v>
      </c>
      <c r="B145" t="s">
        <v>513</v>
      </c>
      <c r="C145" t="s">
        <v>379</v>
      </c>
      <c r="D145" t="s">
        <v>379</v>
      </c>
      <c r="E145" t="s">
        <v>379</v>
      </c>
      <c r="F145" t="s">
        <v>366</v>
      </c>
      <c r="G145" t="s">
        <v>366</v>
      </c>
      <c r="M145" s="144"/>
    </row>
    <row r="146" spans="1:13" x14ac:dyDescent="0.25">
      <c r="A146" s="30" t="s">
        <v>450</v>
      </c>
      <c r="B146" t="s">
        <v>288</v>
      </c>
      <c r="C146" t="s">
        <v>379</v>
      </c>
      <c r="D146" t="s">
        <v>379</v>
      </c>
      <c r="E146" t="s">
        <v>368</v>
      </c>
      <c r="F146" t="s">
        <v>368</v>
      </c>
      <c r="G146" t="s">
        <v>366</v>
      </c>
      <c r="M146" s="144"/>
    </row>
    <row r="147" spans="1:13" x14ac:dyDescent="0.25">
      <c r="A147" s="30" t="s">
        <v>450</v>
      </c>
      <c r="B147" t="s">
        <v>360</v>
      </c>
      <c r="C147" t="s">
        <v>379</v>
      </c>
      <c r="D147" t="s">
        <v>379</v>
      </c>
      <c r="E147" t="s">
        <v>366</v>
      </c>
      <c r="F147" t="s">
        <v>375</v>
      </c>
      <c r="G147" t="s">
        <v>498</v>
      </c>
      <c r="M147" s="144"/>
    </row>
    <row r="148" spans="1:13" x14ac:dyDescent="0.25">
      <c r="A148" s="30" t="s">
        <v>450</v>
      </c>
      <c r="B148" t="s">
        <v>513</v>
      </c>
      <c r="C148" t="s">
        <v>379</v>
      </c>
      <c r="D148" t="s">
        <v>379</v>
      </c>
      <c r="E148" t="s">
        <v>379</v>
      </c>
      <c r="F148" t="s">
        <v>366</v>
      </c>
      <c r="G148" t="s">
        <v>366</v>
      </c>
      <c r="M148" s="144"/>
    </row>
    <row r="149" spans="1:13" x14ac:dyDescent="0.25">
      <c r="A149" s="30" t="s">
        <v>451</v>
      </c>
      <c r="B149" t="s">
        <v>288</v>
      </c>
      <c r="C149" t="s">
        <v>379</v>
      </c>
      <c r="D149" t="s">
        <v>379</v>
      </c>
      <c r="E149" t="s">
        <v>366</v>
      </c>
      <c r="F149" t="s">
        <v>366</v>
      </c>
      <c r="G149" t="s">
        <v>366</v>
      </c>
      <c r="M149" s="144"/>
    </row>
    <row r="150" spans="1:13" x14ac:dyDescent="0.25">
      <c r="A150" s="30" t="s">
        <v>451</v>
      </c>
      <c r="B150" t="s">
        <v>360</v>
      </c>
      <c r="C150" t="s">
        <v>379</v>
      </c>
      <c r="D150" t="s">
        <v>379</v>
      </c>
      <c r="E150" t="s">
        <v>366</v>
      </c>
      <c r="F150" t="s">
        <v>368</v>
      </c>
      <c r="G150" t="s">
        <v>368</v>
      </c>
      <c r="M150" s="144"/>
    </row>
    <row r="151" spans="1:13" x14ac:dyDescent="0.25">
      <c r="A151" s="30" t="s">
        <v>451</v>
      </c>
      <c r="B151" t="s">
        <v>513</v>
      </c>
      <c r="C151" t="s">
        <v>379</v>
      </c>
      <c r="D151" t="s">
        <v>379</v>
      </c>
      <c r="E151" t="s">
        <v>379</v>
      </c>
      <c r="F151" t="s">
        <v>366</v>
      </c>
      <c r="G151" t="s">
        <v>368</v>
      </c>
      <c r="M151" s="144"/>
    </row>
    <row r="152" spans="1:13" x14ac:dyDescent="0.25">
      <c r="A152" s="30" t="s">
        <v>452</v>
      </c>
      <c r="B152" t="s">
        <v>288</v>
      </c>
      <c r="C152" t="s">
        <v>379</v>
      </c>
      <c r="D152" t="s">
        <v>379</v>
      </c>
      <c r="E152" t="s">
        <v>379</v>
      </c>
      <c r="F152" t="s">
        <v>366</v>
      </c>
      <c r="G152" t="s">
        <v>366</v>
      </c>
      <c r="M152" s="144"/>
    </row>
    <row r="153" spans="1:13" x14ac:dyDescent="0.25">
      <c r="A153" s="30" t="s">
        <v>452</v>
      </c>
      <c r="B153" t="s">
        <v>360</v>
      </c>
      <c r="C153" t="s">
        <v>379</v>
      </c>
      <c r="D153" t="s">
        <v>379</v>
      </c>
      <c r="E153" t="s">
        <v>366</v>
      </c>
      <c r="F153" t="s">
        <v>368</v>
      </c>
      <c r="G153" t="s">
        <v>368</v>
      </c>
      <c r="M153" s="144"/>
    </row>
    <row r="154" spans="1:13" x14ac:dyDescent="0.25">
      <c r="A154" s="30" t="s">
        <v>452</v>
      </c>
      <c r="B154" t="s">
        <v>513</v>
      </c>
      <c r="C154" t="s">
        <v>379</v>
      </c>
      <c r="D154" t="s">
        <v>379</v>
      </c>
      <c r="E154" t="s">
        <v>379</v>
      </c>
      <c r="F154" t="s">
        <v>366</v>
      </c>
      <c r="G154" t="s">
        <v>366</v>
      </c>
      <c r="M154" s="144"/>
    </row>
    <row r="155" spans="1:13" x14ac:dyDescent="0.25">
      <c r="A155" s="30" t="s">
        <v>453</v>
      </c>
      <c r="B155" t="s">
        <v>288</v>
      </c>
      <c r="C155" t="s">
        <v>379</v>
      </c>
      <c r="D155" t="s">
        <v>379</v>
      </c>
      <c r="E155" t="s">
        <v>379</v>
      </c>
      <c r="F155" t="s">
        <v>379</v>
      </c>
      <c r="G155" t="s">
        <v>379</v>
      </c>
      <c r="M155" s="144"/>
    </row>
    <row r="156" spans="1:13" x14ac:dyDescent="0.25">
      <c r="A156" s="30" t="s">
        <v>453</v>
      </c>
      <c r="B156" t="s">
        <v>360</v>
      </c>
      <c r="C156" t="s">
        <v>379</v>
      </c>
      <c r="D156" t="s">
        <v>379</v>
      </c>
      <c r="E156" t="s">
        <v>378</v>
      </c>
      <c r="F156" t="s">
        <v>366</v>
      </c>
      <c r="G156" t="s">
        <v>368</v>
      </c>
      <c r="M156" s="144"/>
    </row>
    <row r="157" spans="1:13" x14ac:dyDescent="0.25">
      <c r="A157" s="30" t="s">
        <v>453</v>
      </c>
      <c r="B157" t="s">
        <v>513</v>
      </c>
      <c r="C157" t="s">
        <v>379</v>
      </c>
      <c r="D157" t="s">
        <v>379</v>
      </c>
      <c r="E157" t="s">
        <v>379</v>
      </c>
      <c r="F157" t="s">
        <v>366</v>
      </c>
      <c r="G157" t="s">
        <v>366</v>
      </c>
      <c r="M157" s="144"/>
    </row>
    <row r="158" spans="1:13" x14ac:dyDescent="0.25">
      <c r="A158" s="30" t="s">
        <v>454</v>
      </c>
      <c r="B158" t="s">
        <v>288</v>
      </c>
      <c r="C158" t="s">
        <v>379</v>
      </c>
      <c r="D158" t="s">
        <v>379</v>
      </c>
      <c r="E158" t="s">
        <v>379</v>
      </c>
      <c r="F158" t="s">
        <v>366</v>
      </c>
      <c r="G158" t="s">
        <v>366</v>
      </c>
      <c r="M158" s="144"/>
    </row>
    <row r="159" spans="1:13" x14ac:dyDescent="0.25">
      <c r="A159" s="30" t="s">
        <v>454</v>
      </c>
      <c r="B159" t="s">
        <v>360</v>
      </c>
      <c r="C159" t="s">
        <v>379</v>
      </c>
      <c r="D159" t="s">
        <v>379</v>
      </c>
      <c r="E159" t="s">
        <v>366</v>
      </c>
      <c r="F159" t="s">
        <v>366</v>
      </c>
      <c r="G159" t="s">
        <v>369</v>
      </c>
      <c r="M159" s="144"/>
    </row>
    <row r="160" spans="1:13" x14ac:dyDescent="0.25">
      <c r="A160" s="30" t="s">
        <v>454</v>
      </c>
      <c r="B160" t="s">
        <v>513</v>
      </c>
      <c r="C160" t="s">
        <v>379</v>
      </c>
      <c r="D160" t="s">
        <v>379</v>
      </c>
      <c r="E160" t="s">
        <v>379</v>
      </c>
      <c r="F160" t="s">
        <v>366</v>
      </c>
      <c r="G160" t="s">
        <v>368</v>
      </c>
      <c r="M160" s="144"/>
    </row>
    <row r="161" spans="1:13" x14ac:dyDescent="0.25">
      <c r="A161" s="30" t="s">
        <v>455</v>
      </c>
      <c r="B161" t="s">
        <v>288</v>
      </c>
      <c r="C161" t="s">
        <v>379</v>
      </c>
      <c r="D161" t="s">
        <v>379</v>
      </c>
      <c r="E161" t="s">
        <v>379</v>
      </c>
      <c r="F161" t="s">
        <v>379</v>
      </c>
      <c r="G161" t="s">
        <v>379</v>
      </c>
      <c r="M161" s="144"/>
    </row>
    <row r="162" spans="1:13" x14ac:dyDescent="0.25">
      <c r="A162" s="30" t="s">
        <v>455</v>
      </c>
      <c r="B162" t="s">
        <v>360</v>
      </c>
      <c r="C162" t="s">
        <v>379</v>
      </c>
      <c r="D162" t="s">
        <v>379</v>
      </c>
      <c r="E162" t="s">
        <v>366</v>
      </c>
      <c r="F162" t="s">
        <v>366</v>
      </c>
      <c r="G162" t="s">
        <v>369</v>
      </c>
      <c r="M162" s="144"/>
    </row>
    <row r="163" spans="1:13" x14ac:dyDescent="0.25">
      <c r="A163" s="30" t="s">
        <v>455</v>
      </c>
      <c r="B163" t="s">
        <v>513</v>
      </c>
      <c r="C163" t="s">
        <v>379</v>
      </c>
      <c r="D163" t="s">
        <v>379</v>
      </c>
      <c r="E163" t="s">
        <v>379</v>
      </c>
      <c r="F163" t="s">
        <v>366</v>
      </c>
      <c r="G163" t="s">
        <v>369</v>
      </c>
      <c r="M163" s="144"/>
    </row>
    <row r="164" spans="1:13" x14ac:dyDescent="0.25">
      <c r="A164" s="30" t="s">
        <v>456</v>
      </c>
      <c r="B164" t="s">
        <v>288</v>
      </c>
      <c r="C164" t="s">
        <v>379</v>
      </c>
      <c r="D164" t="s">
        <v>379</v>
      </c>
      <c r="E164" t="s">
        <v>379</v>
      </c>
      <c r="F164" t="s">
        <v>366</v>
      </c>
      <c r="G164" t="s">
        <v>366</v>
      </c>
      <c r="M164" s="144"/>
    </row>
    <row r="165" spans="1:13" x14ac:dyDescent="0.25">
      <c r="A165" s="30" t="s">
        <v>456</v>
      </c>
      <c r="B165" t="s">
        <v>360</v>
      </c>
      <c r="C165" t="s">
        <v>379</v>
      </c>
      <c r="D165" t="s">
        <v>379</v>
      </c>
      <c r="E165" t="s">
        <v>368</v>
      </c>
      <c r="F165" t="s">
        <v>366</v>
      </c>
      <c r="G165" t="s">
        <v>369</v>
      </c>
      <c r="M165" s="144"/>
    </row>
    <row r="166" spans="1:13" x14ac:dyDescent="0.25">
      <c r="A166" s="30" t="s">
        <v>456</v>
      </c>
      <c r="B166" t="s">
        <v>513</v>
      </c>
      <c r="C166" t="s">
        <v>379</v>
      </c>
      <c r="D166" t="s">
        <v>379</v>
      </c>
      <c r="E166" t="s">
        <v>379</v>
      </c>
      <c r="F166" t="s">
        <v>366</v>
      </c>
      <c r="G166" t="s">
        <v>379</v>
      </c>
      <c r="M166" s="144"/>
    </row>
    <row r="167" spans="1:13" x14ac:dyDescent="0.25">
      <c r="A167" s="30" t="s">
        <v>457</v>
      </c>
      <c r="B167" t="s">
        <v>288</v>
      </c>
      <c r="C167" t="s">
        <v>379</v>
      </c>
      <c r="D167" t="s">
        <v>379</v>
      </c>
      <c r="E167" t="s">
        <v>379</v>
      </c>
      <c r="F167" t="s">
        <v>379</v>
      </c>
      <c r="G167" t="s">
        <v>379</v>
      </c>
      <c r="M167" s="144"/>
    </row>
    <row r="168" spans="1:13" x14ac:dyDescent="0.25">
      <c r="A168" s="30" t="s">
        <v>457</v>
      </c>
      <c r="B168" t="s">
        <v>360</v>
      </c>
      <c r="C168" t="s">
        <v>379</v>
      </c>
      <c r="D168" t="s">
        <v>379</v>
      </c>
      <c r="E168" t="s">
        <v>379</v>
      </c>
      <c r="F168" t="s">
        <v>503</v>
      </c>
      <c r="G168" t="s">
        <v>366</v>
      </c>
      <c r="M168" s="144"/>
    </row>
    <row r="169" spans="1:13" x14ac:dyDescent="0.25">
      <c r="A169" s="30" t="s">
        <v>457</v>
      </c>
      <c r="B169" t="s">
        <v>513</v>
      </c>
      <c r="C169" t="s">
        <v>379</v>
      </c>
      <c r="D169" t="s">
        <v>379</v>
      </c>
      <c r="E169" t="s">
        <v>379</v>
      </c>
      <c r="F169" t="s">
        <v>379</v>
      </c>
      <c r="G169" t="s">
        <v>379</v>
      </c>
      <c r="M169" s="144"/>
    </row>
    <row r="170" spans="1:13" x14ac:dyDescent="0.25">
      <c r="A170" s="30" t="s">
        <v>458</v>
      </c>
      <c r="B170" t="s">
        <v>288</v>
      </c>
      <c r="C170" t="s">
        <v>379</v>
      </c>
      <c r="D170" t="s">
        <v>379</v>
      </c>
      <c r="E170" t="s">
        <v>379</v>
      </c>
      <c r="F170" t="s">
        <v>366</v>
      </c>
      <c r="G170" t="s">
        <v>366</v>
      </c>
      <c r="M170" s="144"/>
    </row>
    <row r="171" spans="1:13" x14ac:dyDescent="0.25">
      <c r="A171" s="30" t="s">
        <v>458</v>
      </c>
      <c r="B171" t="s">
        <v>360</v>
      </c>
      <c r="C171" t="s">
        <v>379</v>
      </c>
      <c r="D171" t="s">
        <v>379</v>
      </c>
      <c r="E171" t="s">
        <v>379</v>
      </c>
      <c r="F171" t="s">
        <v>368</v>
      </c>
      <c r="G171" t="s">
        <v>366</v>
      </c>
      <c r="M171" s="144"/>
    </row>
    <row r="172" spans="1:13" x14ac:dyDescent="0.25">
      <c r="A172" s="30" t="s">
        <v>458</v>
      </c>
      <c r="B172" t="s">
        <v>513</v>
      </c>
      <c r="C172" t="s">
        <v>379</v>
      </c>
      <c r="D172" t="s">
        <v>379</v>
      </c>
      <c r="E172" t="s">
        <v>379</v>
      </c>
      <c r="F172" t="s">
        <v>379</v>
      </c>
      <c r="G172" t="s">
        <v>379</v>
      </c>
      <c r="M172" s="144"/>
    </row>
    <row r="173" spans="1:13" x14ac:dyDescent="0.25">
      <c r="A173" s="30" t="s">
        <v>459</v>
      </c>
      <c r="B173" t="s">
        <v>288</v>
      </c>
      <c r="C173" t="s">
        <v>379</v>
      </c>
      <c r="D173" t="s">
        <v>379</v>
      </c>
      <c r="E173" t="s">
        <v>379</v>
      </c>
      <c r="F173" t="s">
        <v>379</v>
      </c>
      <c r="G173" t="s">
        <v>379</v>
      </c>
      <c r="M173" s="144"/>
    </row>
    <row r="174" spans="1:13" x14ac:dyDescent="0.25">
      <c r="A174" s="30" t="s">
        <v>459</v>
      </c>
      <c r="B174" t="s">
        <v>360</v>
      </c>
      <c r="C174" t="s">
        <v>379</v>
      </c>
      <c r="D174" t="s">
        <v>379</v>
      </c>
      <c r="E174" t="s">
        <v>379</v>
      </c>
      <c r="F174" t="s">
        <v>368</v>
      </c>
      <c r="G174" t="s">
        <v>368</v>
      </c>
      <c r="M174" s="144"/>
    </row>
    <row r="175" spans="1:13" x14ac:dyDescent="0.25">
      <c r="A175" s="30" t="s">
        <v>459</v>
      </c>
      <c r="B175" t="s">
        <v>513</v>
      </c>
      <c r="C175" t="s">
        <v>379</v>
      </c>
      <c r="D175" t="s">
        <v>379</v>
      </c>
      <c r="E175" t="s">
        <v>379</v>
      </c>
      <c r="F175" t="s">
        <v>379</v>
      </c>
      <c r="G175" t="s">
        <v>379</v>
      </c>
      <c r="M175" s="144"/>
    </row>
    <row r="176" spans="1:13" x14ac:dyDescent="0.25">
      <c r="A176" s="30" t="s">
        <v>460</v>
      </c>
      <c r="B176" t="s">
        <v>288</v>
      </c>
      <c r="C176" t="s">
        <v>379</v>
      </c>
      <c r="D176" t="s">
        <v>379</v>
      </c>
      <c r="E176" t="s">
        <v>379</v>
      </c>
      <c r="F176" t="s">
        <v>366</v>
      </c>
      <c r="G176" t="s">
        <v>366</v>
      </c>
      <c r="M176" s="144"/>
    </row>
    <row r="177" spans="1:13" x14ac:dyDescent="0.25">
      <c r="A177" s="30" t="s">
        <v>460</v>
      </c>
      <c r="B177" t="s">
        <v>360</v>
      </c>
      <c r="C177" t="s">
        <v>379</v>
      </c>
      <c r="D177" t="s">
        <v>379</v>
      </c>
      <c r="E177" t="s">
        <v>379</v>
      </c>
      <c r="F177" t="s">
        <v>368</v>
      </c>
      <c r="G177" t="s">
        <v>368</v>
      </c>
      <c r="M177" s="144"/>
    </row>
    <row r="178" spans="1:13" x14ac:dyDescent="0.25">
      <c r="A178" s="30" t="s">
        <v>460</v>
      </c>
      <c r="B178" t="s">
        <v>513</v>
      </c>
      <c r="C178" t="s">
        <v>379</v>
      </c>
      <c r="D178" t="s">
        <v>379</v>
      </c>
      <c r="E178" t="s">
        <v>379</v>
      </c>
      <c r="F178" t="s">
        <v>379</v>
      </c>
      <c r="G178" t="s">
        <v>379</v>
      </c>
      <c r="M178" s="144"/>
    </row>
    <row r="179" spans="1:13" x14ac:dyDescent="0.25">
      <c r="A179" s="30" t="s">
        <v>461</v>
      </c>
      <c r="B179" t="s">
        <v>288</v>
      </c>
      <c r="C179" t="s">
        <v>379</v>
      </c>
      <c r="D179" t="s">
        <v>379</v>
      </c>
      <c r="E179" t="s">
        <v>379</v>
      </c>
      <c r="F179" t="s">
        <v>379</v>
      </c>
      <c r="G179" t="s">
        <v>379</v>
      </c>
      <c r="M179" s="144"/>
    </row>
    <row r="180" spans="1:13" x14ac:dyDescent="0.25">
      <c r="A180" s="30" t="s">
        <v>461</v>
      </c>
      <c r="B180" t="s">
        <v>360</v>
      </c>
      <c r="C180" t="s">
        <v>379</v>
      </c>
      <c r="D180" t="s">
        <v>379</v>
      </c>
      <c r="E180" t="s">
        <v>379</v>
      </c>
      <c r="F180" t="s">
        <v>368</v>
      </c>
      <c r="G180" t="s">
        <v>366</v>
      </c>
      <c r="M180" s="144"/>
    </row>
    <row r="181" spans="1:13" x14ac:dyDescent="0.25">
      <c r="A181" s="30" t="s">
        <v>461</v>
      </c>
      <c r="B181" t="s">
        <v>513</v>
      </c>
      <c r="C181" t="s">
        <v>379</v>
      </c>
      <c r="D181" t="s">
        <v>379</v>
      </c>
      <c r="E181" t="s">
        <v>379</v>
      </c>
      <c r="F181" t="s">
        <v>379</v>
      </c>
      <c r="G181" t="s">
        <v>379</v>
      </c>
      <c r="M181" s="144"/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pane xSplit="1" ySplit="1" topLeftCell="F9" activePane="bottomRight" state="frozen"/>
      <selection pane="topRight" activeCell="B1" sqref="B1"/>
      <selection pane="bottomLeft" activeCell="A2" sqref="A2"/>
      <selection pane="bottomRight" activeCell="J33" sqref="J33"/>
    </sheetView>
  </sheetViews>
  <sheetFormatPr defaultColWidth="11" defaultRowHeight="15.75" x14ac:dyDescent="0.25"/>
  <cols>
    <col min="1" max="1" width="11" style="30"/>
    <col min="6" max="6" width="11" style="126"/>
  </cols>
  <sheetData>
    <row r="1" spans="1:10" s="30" customFormat="1" x14ac:dyDescent="0.25">
      <c r="A1" s="30" t="s">
        <v>347</v>
      </c>
      <c r="B1" s="30" t="s">
        <v>411</v>
      </c>
      <c r="C1" s="30" t="s">
        <v>472</v>
      </c>
      <c r="D1" s="30" t="s">
        <v>480</v>
      </c>
      <c r="E1" s="30" t="s">
        <v>497</v>
      </c>
      <c r="F1" s="127">
        <v>2017</v>
      </c>
      <c r="G1" s="125" t="s">
        <v>801</v>
      </c>
      <c r="H1" s="125">
        <v>42877</v>
      </c>
      <c r="I1" s="125">
        <v>42878</v>
      </c>
      <c r="J1" s="125">
        <v>42901</v>
      </c>
    </row>
    <row r="2" spans="1:10" x14ac:dyDescent="0.25">
      <c r="A2" s="30" t="s">
        <v>348</v>
      </c>
      <c r="B2" t="s">
        <v>366</v>
      </c>
      <c r="C2" t="s">
        <v>366</v>
      </c>
      <c r="D2" t="s">
        <v>366</v>
      </c>
      <c r="E2" t="s">
        <v>366</v>
      </c>
      <c r="G2" t="s">
        <v>348</v>
      </c>
      <c r="H2" t="s">
        <v>368</v>
      </c>
      <c r="I2" t="s">
        <v>813</v>
      </c>
      <c r="J2" t="s">
        <v>772</v>
      </c>
    </row>
    <row r="3" spans="1:10" x14ac:dyDescent="0.25">
      <c r="A3" s="30" t="s">
        <v>349</v>
      </c>
      <c r="B3" t="s">
        <v>366</v>
      </c>
      <c r="C3" t="s">
        <v>366</v>
      </c>
      <c r="D3" t="s">
        <v>366</v>
      </c>
      <c r="E3" t="s">
        <v>366</v>
      </c>
      <c r="G3" t="s">
        <v>349</v>
      </c>
      <c r="H3" t="s">
        <v>368</v>
      </c>
      <c r="I3" t="s">
        <v>368</v>
      </c>
      <c r="J3" t="s">
        <v>772</v>
      </c>
    </row>
    <row r="4" spans="1:10" x14ac:dyDescent="0.25">
      <c r="A4" s="30" t="s">
        <v>350</v>
      </c>
      <c r="B4" t="s">
        <v>366</v>
      </c>
      <c r="C4" t="s">
        <v>366</v>
      </c>
      <c r="D4" t="s">
        <v>366</v>
      </c>
      <c r="E4" t="s">
        <v>366</v>
      </c>
      <c r="G4" t="s">
        <v>350</v>
      </c>
      <c r="H4" t="s">
        <v>368</v>
      </c>
      <c r="I4" t="s">
        <v>368</v>
      </c>
      <c r="J4" t="s">
        <v>772</v>
      </c>
    </row>
    <row r="5" spans="1:10" x14ac:dyDescent="0.25">
      <c r="A5" s="30" t="s">
        <v>351</v>
      </c>
      <c r="B5" t="s">
        <v>366</v>
      </c>
      <c r="C5" t="s">
        <v>366</v>
      </c>
      <c r="D5" t="s">
        <v>368</v>
      </c>
      <c r="E5" t="s">
        <v>476</v>
      </c>
      <c r="G5" t="s">
        <v>351</v>
      </c>
      <c r="H5" t="s">
        <v>366</v>
      </c>
      <c r="I5" t="s">
        <v>366</v>
      </c>
      <c r="J5" t="s">
        <v>772</v>
      </c>
    </row>
    <row r="6" spans="1:10" x14ac:dyDescent="0.25">
      <c r="A6" s="30" t="s">
        <v>352</v>
      </c>
      <c r="B6" t="s">
        <v>366</v>
      </c>
      <c r="C6" t="s">
        <v>366</v>
      </c>
      <c r="D6" t="s">
        <v>368</v>
      </c>
      <c r="E6" t="s">
        <v>503</v>
      </c>
      <c r="G6" t="s">
        <v>352</v>
      </c>
      <c r="H6" t="s">
        <v>366</v>
      </c>
      <c r="I6" t="s">
        <v>366</v>
      </c>
      <c r="J6" t="s">
        <v>772</v>
      </c>
    </row>
    <row r="7" spans="1:10" x14ac:dyDescent="0.25">
      <c r="A7" s="30" t="s">
        <v>417</v>
      </c>
      <c r="B7" t="s">
        <v>366</v>
      </c>
      <c r="C7" t="s">
        <v>368</v>
      </c>
      <c r="D7" t="s">
        <v>369</v>
      </c>
      <c r="E7" t="s">
        <v>368</v>
      </c>
      <c r="G7" t="s">
        <v>353</v>
      </c>
      <c r="H7" t="s">
        <v>682</v>
      </c>
      <c r="I7" t="s">
        <v>366</v>
      </c>
      <c r="J7" t="s">
        <v>772</v>
      </c>
    </row>
    <row r="8" spans="1:10" x14ac:dyDescent="0.25">
      <c r="A8" s="30" t="s">
        <v>418</v>
      </c>
      <c r="B8" t="s">
        <v>366</v>
      </c>
      <c r="C8" t="s">
        <v>368</v>
      </c>
      <c r="D8" t="s">
        <v>368</v>
      </c>
      <c r="E8" t="s">
        <v>368</v>
      </c>
      <c r="G8" t="s">
        <v>354</v>
      </c>
      <c r="H8" t="s">
        <v>366</v>
      </c>
      <c r="I8" t="s">
        <v>366</v>
      </c>
      <c r="J8" t="s">
        <v>772</v>
      </c>
    </row>
    <row r="9" spans="1:10" x14ac:dyDescent="0.25">
      <c r="A9" s="30" t="s">
        <v>419</v>
      </c>
      <c r="B9" t="s">
        <v>366</v>
      </c>
      <c r="C9" t="s">
        <v>368</v>
      </c>
      <c r="D9" t="s">
        <v>368</v>
      </c>
      <c r="E9" t="s">
        <v>368</v>
      </c>
      <c r="G9" t="s">
        <v>355</v>
      </c>
      <c r="H9" t="s">
        <v>366</v>
      </c>
      <c r="I9" t="s">
        <v>369</v>
      </c>
      <c r="J9" t="s">
        <v>772</v>
      </c>
    </row>
    <row r="10" spans="1:10" x14ac:dyDescent="0.25">
      <c r="A10" s="30" t="s">
        <v>420</v>
      </c>
      <c r="B10" t="s">
        <v>368</v>
      </c>
      <c r="C10" t="s">
        <v>368</v>
      </c>
      <c r="D10" t="s">
        <v>368</v>
      </c>
      <c r="E10" t="s">
        <v>368</v>
      </c>
      <c r="G10" t="s">
        <v>356</v>
      </c>
      <c r="H10" t="s">
        <v>802</v>
      </c>
      <c r="I10" t="s">
        <v>366</v>
      </c>
      <c r="J10" t="s">
        <v>772</v>
      </c>
    </row>
    <row r="11" spans="1:10" x14ac:dyDescent="0.25">
      <c r="A11" s="30" t="s">
        <v>421</v>
      </c>
      <c r="B11" t="s">
        <v>369</v>
      </c>
      <c r="C11" t="s">
        <v>368</v>
      </c>
      <c r="D11" t="s">
        <v>368</v>
      </c>
      <c r="E11" t="s">
        <v>368</v>
      </c>
      <c r="G11" t="s">
        <v>357</v>
      </c>
      <c r="H11" t="s">
        <v>366</v>
      </c>
      <c r="I11" t="s">
        <v>366</v>
      </c>
      <c r="J11" t="s">
        <v>772</v>
      </c>
    </row>
    <row r="12" spans="1:10" x14ac:dyDescent="0.25">
      <c r="A12" s="30" t="s">
        <v>422</v>
      </c>
      <c r="B12" t="s">
        <v>379</v>
      </c>
      <c r="C12" t="s">
        <v>368</v>
      </c>
      <c r="D12" t="s">
        <v>368</v>
      </c>
      <c r="E12" t="s">
        <v>368</v>
      </c>
      <c r="G12" t="s">
        <v>358</v>
      </c>
      <c r="H12" t="s">
        <v>366</v>
      </c>
      <c r="I12" t="s">
        <v>368</v>
      </c>
      <c r="J12" t="s">
        <v>772</v>
      </c>
    </row>
    <row r="13" spans="1:10" x14ac:dyDescent="0.25">
      <c r="A13" s="30" t="s">
        <v>423</v>
      </c>
      <c r="B13" t="s">
        <v>379</v>
      </c>
      <c r="C13" t="s">
        <v>368</v>
      </c>
      <c r="D13" t="s">
        <v>368</v>
      </c>
      <c r="E13" t="s">
        <v>366</v>
      </c>
      <c r="G13" t="s">
        <v>362</v>
      </c>
      <c r="H13" t="s">
        <v>803</v>
      </c>
      <c r="I13" t="s">
        <v>368</v>
      </c>
      <c r="J13" t="s">
        <v>772</v>
      </c>
    </row>
    <row r="14" spans="1:10" x14ac:dyDescent="0.25">
      <c r="A14" s="30" t="s">
        <v>424</v>
      </c>
      <c r="B14" t="s">
        <v>379</v>
      </c>
      <c r="C14" t="s">
        <v>368</v>
      </c>
      <c r="D14" t="s">
        <v>367</v>
      </c>
      <c r="E14" t="s">
        <v>367</v>
      </c>
      <c r="G14" t="s">
        <v>363</v>
      </c>
      <c r="H14" t="s">
        <v>804</v>
      </c>
      <c r="I14" t="s">
        <v>368</v>
      </c>
      <c r="J14" t="s">
        <v>772</v>
      </c>
    </row>
    <row r="15" spans="1:10" x14ac:dyDescent="0.25">
      <c r="A15" s="30" t="s">
        <v>425</v>
      </c>
      <c r="B15" t="s">
        <v>379</v>
      </c>
      <c r="C15" t="s">
        <v>368</v>
      </c>
      <c r="D15" t="s">
        <v>368</v>
      </c>
      <c r="E15" t="s">
        <v>368</v>
      </c>
      <c r="G15" t="s">
        <v>364</v>
      </c>
      <c r="H15" t="s">
        <v>684</v>
      </c>
      <c r="I15" t="s">
        <v>369</v>
      </c>
      <c r="J15" t="s">
        <v>772</v>
      </c>
    </row>
    <row r="16" spans="1:10" x14ac:dyDescent="0.25">
      <c r="A16" s="30" t="s">
        <v>426</v>
      </c>
      <c r="B16" t="s">
        <v>379</v>
      </c>
      <c r="C16" t="s">
        <v>368</v>
      </c>
      <c r="D16" t="s">
        <v>372</v>
      </c>
      <c r="E16" t="s">
        <v>367</v>
      </c>
      <c r="G16" t="s">
        <v>361</v>
      </c>
      <c r="H16" t="s">
        <v>366</v>
      </c>
      <c r="I16" t="s">
        <v>366</v>
      </c>
      <c r="J16" t="s">
        <v>772</v>
      </c>
    </row>
    <row r="17" spans="1:10" x14ac:dyDescent="0.25">
      <c r="A17" s="30" t="s">
        <v>353</v>
      </c>
      <c r="B17" t="s">
        <v>366</v>
      </c>
      <c r="C17" t="s">
        <v>476</v>
      </c>
      <c r="D17" t="s">
        <v>367</v>
      </c>
      <c r="E17" t="s">
        <v>367</v>
      </c>
      <c r="G17" t="s">
        <v>447</v>
      </c>
      <c r="H17" t="s">
        <v>368</v>
      </c>
      <c r="I17" t="s">
        <v>814</v>
      </c>
      <c r="J17" t="s">
        <v>772</v>
      </c>
    </row>
    <row r="18" spans="1:10" x14ac:dyDescent="0.25">
      <c r="A18" s="30" t="s">
        <v>354</v>
      </c>
      <c r="B18" t="s">
        <v>366</v>
      </c>
      <c r="C18" t="s">
        <v>366</v>
      </c>
      <c r="D18" t="s">
        <v>473</v>
      </c>
      <c r="E18" t="s">
        <v>368</v>
      </c>
      <c r="G18" t="s">
        <v>448</v>
      </c>
      <c r="H18" t="s">
        <v>805</v>
      </c>
      <c r="I18" t="s">
        <v>366</v>
      </c>
      <c r="J18" t="s">
        <v>772</v>
      </c>
    </row>
    <row r="19" spans="1:10" x14ac:dyDescent="0.25">
      <c r="A19" s="30" t="s">
        <v>355</v>
      </c>
      <c r="B19" t="s">
        <v>366</v>
      </c>
      <c r="C19" t="s">
        <v>366</v>
      </c>
      <c r="D19" t="s">
        <v>368</v>
      </c>
      <c r="E19" t="s">
        <v>368</v>
      </c>
      <c r="G19" t="s">
        <v>449</v>
      </c>
      <c r="H19" t="s">
        <v>366</v>
      </c>
      <c r="I19" t="s">
        <v>369</v>
      </c>
      <c r="J19" t="s">
        <v>772</v>
      </c>
    </row>
    <row r="20" spans="1:10" x14ac:dyDescent="0.25">
      <c r="A20" s="30" t="s">
        <v>356</v>
      </c>
      <c r="B20" t="s">
        <v>366</v>
      </c>
      <c r="C20" t="s">
        <v>366</v>
      </c>
      <c r="D20" t="s">
        <v>368</v>
      </c>
      <c r="E20" t="s">
        <v>368</v>
      </c>
      <c r="G20" t="s">
        <v>450</v>
      </c>
      <c r="H20" t="s">
        <v>806</v>
      </c>
      <c r="I20" t="s">
        <v>366</v>
      </c>
      <c r="J20" t="s">
        <v>772</v>
      </c>
    </row>
    <row r="21" spans="1:10" x14ac:dyDescent="0.25">
      <c r="A21" s="30" t="s">
        <v>357</v>
      </c>
      <c r="B21" t="s">
        <v>366</v>
      </c>
      <c r="C21" t="s">
        <v>366</v>
      </c>
      <c r="D21" t="s">
        <v>368</v>
      </c>
      <c r="E21" t="s">
        <v>368</v>
      </c>
      <c r="G21" t="s">
        <v>451</v>
      </c>
      <c r="H21" t="s">
        <v>369</v>
      </c>
      <c r="I21" t="s">
        <v>368</v>
      </c>
      <c r="J21" t="s">
        <v>772</v>
      </c>
    </row>
    <row r="22" spans="1:10" x14ac:dyDescent="0.25">
      <c r="A22" s="30" t="s">
        <v>427</v>
      </c>
      <c r="B22" t="s">
        <v>462</v>
      </c>
      <c r="C22" t="s">
        <v>366</v>
      </c>
      <c r="D22" t="s">
        <v>378</v>
      </c>
      <c r="E22" t="s">
        <v>368</v>
      </c>
      <c r="G22" t="s">
        <v>776</v>
      </c>
      <c r="H22" t="s">
        <v>366</v>
      </c>
      <c r="I22" t="s">
        <v>366</v>
      </c>
      <c r="J22" t="s">
        <v>366</v>
      </c>
    </row>
    <row r="23" spans="1:10" x14ac:dyDescent="0.25">
      <c r="A23" s="30" t="s">
        <v>428</v>
      </c>
      <c r="B23" t="s">
        <v>366</v>
      </c>
      <c r="C23" t="s">
        <v>366</v>
      </c>
      <c r="D23" t="s">
        <v>368</v>
      </c>
      <c r="E23" t="s">
        <v>368</v>
      </c>
      <c r="G23" t="s">
        <v>777</v>
      </c>
      <c r="H23" t="s">
        <v>366</v>
      </c>
      <c r="I23" t="s">
        <v>366</v>
      </c>
      <c r="J23" t="s">
        <v>366</v>
      </c>
    </row>
    <row r="24" spans="1:10" x14ac:dyDescent="0.25">
      <c r="A24" s="30" t="s">
        <v>429</v>
      </c>
      <c r="B24" t="s">
        <v>366</v>
      </c>
      <c r="C24" t="s">
        <v>366</v>
      </c>
      <c r="D24" t="s">
        <v>366</v>
      </c>
      <c r="E24" t="s">
        <v>368</v>
      </c>
      <c r="G24" t="s">
        <v>778</v>
      </c>
      <c r="H24" t="s">
        <v>366</v>
      </c>
      <c r="I24" t="s">
        <v>366</v>
      </c>
      <c r="J24" t="s">
        <v>366</v>
      </c>
    </row>
    <row r="25" spans="1:10" x14ac:dyDescent="0.25">
      <c r="A25" s="30" t="s">
        <v>430</v>
      </c>
      <c r="B25" t="s">
        <v>366</v>
      </c>
      <c r="C25" t="s">
        <v>366</v>
      </c>
      <c r="D25" t="s">
        <v>366</v>
      </c>
      <c r="E25" t="s">
        <v>367</v>
      </c>
      <c r="G25" t="s">
        <v>779</v>
      </c>
      <c r="H25" t="s">
        <v>366</v>
      </c>
      <c r="I25" t="s">
        <v>366</v>
      </c>
      <c r="J25" t="s">
        <v>366</v>
      </c>
    </row>
    <row r="26" spans="1:10" x14ac:dyDescent="0.25">
      <c r="A26" s="30" t="s">
        <v>431</v>
      </c>
      <c r="B26" t="s">
        <v>366</v>
      </c>
      <c r="C26" t="s">
        <v>366</v>
      </c>
      <c r="D26" t="s">
        <v>366</v>
      </c>
      <c r="E26" t="s">
        <v>500</v>
      </c>
      <c r="G26" t="s">
        <v>780</v>
      </c>
      <c r="H26" t="s">
        <v>366</v>
      </c>
      <c r="I26" t="s">
        <v>366</v>
      </c>
      <c r="J26" t="s">
        <v>366</v>
      </c>
    </row>
    <row r="27" spans="1:10" x14ac:dyDescent="0.25">
      <c r="A27" s="30" t="s">
        <v>432</v>
      </c>
      <c r="B27" t="s">
        <v>379</v>
      </c>
      <c r="C27" t="s">
        <v>366</v>
      </c>
      <c r="D27" t="s">
        <v>366</v>
      </c>
      <c r="E27" t="s">
        <v>499</v>
      </c>
      <c r="G27" t="s">
        <v>807</v>
      </c>
      <c r="H27" t="s">
        <v>680</v>
      </c>
      <c r="I27" t="s">
        <v>366</v>
      </c>
      <c r="J27" t="s">
        <v>366</v>
      </c>
    </row>
    <row r="28" spans="1:10" x14ac:dyDescent="0.25">
      <c r="A28" s="30" t="s">
        <v>433</v>
      </c>
      <c r="B28" t="s">
        <v>379</v>
      </c>
      <c r="C28" t="s">
        <v>366</v>
      </c>
      <c r="D28" t="s">
        <v>368</v>
      </c>
      <c r="E28" t="s">
        <v>366</v>
      </c>
      <c r="G28" t="s">
        <v>808</v>
      </c>
      <c r="H28" t="s">
        <v>366</v>
      </c>
      <c r="I28" t="s">
        <v>366</v>
      </c>
      <c r="J28" t="s">
        <v>366</v>
      </c>
    </row>
    <row r="29" spans="1:10" x14ac:dyDescent="0.25">
      <c r="A29" s="30" t="s">
        <v>434</v>
      </c>
      <c r="B29" t="s">
        <v>379</v>
      </c>
      <c r="C29" t="s">
        <v>366</v>
      </c>
      <c r="D29" t="s">
        <v>366</v>
      </c>
      <c r="E29" t="s">
        <v>366</v>
      </c>
      <c r="G29" t="s">
        <v>809</v>
      </c>
      <c r="H29" t="s">
        <v>366</v>
      </c>
      <c r="I29" t="s">
        <v>366</v>
      </c>
      <c r="J29" t="s">
        <v>366</v>
      </c>
    </row>
    <row r="30" spans="1:10" x14ac:dyDescent="0.25">
      <c r="A30" s="30" t="s">
        <v>435</v>
      </c>
      <c r="B30" t="s">
        <v>379</v>
      </c>
      <c r="C30" t="s">
        <v>366</v>
      </c>
      <c r="D30" t="s">
        <v>367</v>
      </c>
      <c r="E30" t="s">
        <v>498</v>
      </c>
      <c r="G30" t="s">
        <v>810</v>
      </c>
      <c r="H30" t="s">
        <v>678</v>
      </c>
      <c r="I30" t="s">
        <v>366</v>
      </c>
      <c r="J30" t="s">
        <v>366</v>
      </c>
    </row>
    <row r="31" spans="1:10" x14ac:dyDescent="0.25">
      <c r="A31" s="30" t="s">
        <v>436</v>
      </c>
      <c r="B31" t="s">
        <v>379</v>
      </c>
      <c r="C31" t="s">
        <v>366</v>
      </c>
      <c r="D31" t="s">
        <v>366</v>
      </c>
      <c r="E31" t="s">
        <v>366</v>
      </c>
      <c r="G31" t="s">
        <v>811</v>
      </c>
      <c r="H31" t="s">
        <v>366</v>
      </c>
      <c r="I31" t="s">
        <v>366</v>
      </c>
      <c r="J31" t="s">
        <v>366</v>
      </c>
    </row>
    <row r="32" spans="1:10" x14ac:dyDescent="0.25">
      <c r="A32" s="30" t="s">
        <v>358</v>
      </c>
      <c r="B32" t="s">
        <v>366</v>
      </c>
      <c r="C32" t="s">
        <v>366</v>
      </c>
      <c r="D32" t="s">
        <v>368</v>
      </c>
      <c r="E32" t="s">
        <v>369</v>
      </c>
      <c r="G32" t="s">
        <v>812</v>
      </c>
      <c r="H32" t="s">
        <v>366</v>
      </c>
      <c r="I32" t="s">
        <v>366</v>
      </c>
      <c r="J32" t="s">
        <v>366</v>
      </c>
    </row>
    <row r="33" spans="1:5" x14ac:dyDescent="0.25">
      <c r="A33" s="30" t="s">
        <v>362</v>
      </c>
      <c r="B33" t="s">
        <v>366</v>
      </c>
      <c r="C33" t="s">
        <v>368</v>
      </c>
      <c r="D33" t="s">
        <v>366</v>
      </c>
      <c r="E33" t="s">
        <v>368</v>
      </c>
    </row>
    <row r="34" spans="1:5" x14ac:dyDescent="0.25">
      <c r="A34" s="30" t="s">
        <v>363</v>
      </c>
      <c r="B34" t="s">
        <v>366</v>
      </c>
      <c r="C34" t="s">
        <v>473</v>
      </c>
      <c r="D34" t="s">
        <v>366</v>
      </c>
      <c r="E34" t="s">
        <v>368</v>
      </c>
    </row>
    <row r="35" spans="1:5" x14ac:dyDescent="0.25">
      <c r="A35" s="30" t="s">
        <v>364</v>
      </c>
      <c r="B35" t="s">
        <v>366</v>
      </c>
      <c r="C35" t="s">
        <v>366</v>
      </c>
      <c r="D35" t="s">
        <v>366</v>
      </c>
      <c r="E35" t="s">
        <v>368</v>
      </c>
    </row>
    <row r="36" spans="1:5" x14ac:dyDescent="0.25">
      <c r="A36" s="30" t="s">
        <v>361</v>
      </c>
      <c r="B36" t="s">
        <v>366</v>
      </c>
      <c r="C36" t="s">
        <v>366</v>
      </c>
      <c r="D36" t="s">
        <v>366</v>
      </c>
      <c r="E36" t="s">
        <v>368</v>
      </c>
    </row>
    <row r="37" spans="1:5" x14ac:dyDescent="0.25">
      <c r="A37" s="30" t="s">
        <v>437</v>
      </c>
      <c r="B37" t="s">
        <v>366</v>
      </c>
      <c r="C37" t="s">
        <v>366</v>
      </c>
      <c r="D37" t="s">
        <v>366</v>
      </c>
      <c r="E37" t="s">
        <v>366</v>
      </c>
    </row>
    <row r="38" spans="1:5" x14ac:dyDescent="0.25">
      <c r="A38" s="30" t="s">
        <v>438</v>
      </c>
      <c r="B38" t="s">
        <v>366</v>
      </c>
      <c r="C38" t="s">
        <v>366</v>
      </c>
      <c r="D38" t="s">
        <v>366</v>
      </c>
      <c r="E38" t="s">
        <v>367</v>
      </c>
    </row>
    <row r="39" spans="1:5" x14ac:dyDescent="0.25">
      <c r="A39" s="30" t="s">
        <v>439</v>
      </c>
      <c r="B39" t="s">
        <v>366</v>
      </c>
      <c r="C39" t="s">
        <v>366</v>
      </c>
      <c r="D39" t="s">
        <v>369</v>
      </c>
      <c r="E39" t="s">
        <v>368</v>
      </c>
    </row>
    <row r="40" spans="1:5" x14ac:dyDescent="0.25">
      <c r="A40" s="30" t="s">
        <v>440</v>
      </c>
      <c r="B40" t="s">
        <v>366</v>
      </c>
      <c r="C40" t="s">
        <v>366</v>
      </c>
      <c r="D40" t="s">
        <v>475</v>
      </c>
      <c r="E40" t="s">
        <v>368</v>
      </c>
    </row>
    <row r="41" spans="1:5" x14ac:dyDescent="0.25">
      <c r="A41" s="30" t="s">
        <v>441</v>
      </c>
      <c r="B41" t="s">
        <v>366</v>
      </c>
      <c r="C41" t="s">
        <v>366</v>
      </c>
      <c r="D41" t="s">
        <v>366</v>
      </c>
      <c r="E41" t="s">
        <v>368</v>
      </c>
    </row>
    <row r="42" spans="1:5" x14ac:dyDescent="0.25">
      <c r="A42" s="30" t="s">
        <v>442</v>
      </c>
      <c r="B42" t="s">
        <v>379</v>
      </c>
      <c r="C42" t="s">
        <v>366</v>
      </c>
      <c r="D42" t="s">
        <v>366</v>
      </c>
      <c r="E42" t="s">
        <v>368</v>
      </c>
    </row>
    <row r="43" spans="1:5" x14ac:dyDescent="0.25">
      <c r="A43" s="30" t="s">
        <v>443</v>
      </c>
      <c r="B43" t="s">
        <v>379</v>
      </c>
      <c r="C43" t="s">
        <v>366</v>
      </c>
      <c r="D43" t="s">
        <v>366</v>
      </c>
      <c r="E43" t="s">
        <v>368</v>
      </c>
    </row>
    <row r="44" spans="1:5" x14ac:dyDescent="0.25">
      <c r="A44" s="30" t="s">
        <v>444</v>
      </c>
      <c r="B44" t="s">
        <v>379</v>
      </c>
      <c r="C44" t="s">
        <v>366</v>
      </c>
      <c r="D44" t="s">
        <v>366</v>
      </c>
      <c r="E44" t="s">
        <v>366</v>
      </c>
    </row>
    <row r="45" spans="1:5" x14ac:dyDescent="0.25">
      <c r="A45" s="30" t="s">
        <v>445</v>
      </c>
      <c r="B45" t="s">
        <v>379</v>
      </c>
      <c r="C45" t="s">
        <v>366</v>
      </c>
      <c r="D45" t="s">
        <v>366</v>
      </c>
      <c r="E45" t="s">
        <v>366</v>
      </c>
    </row>
    <row r="46" spans="1:5" x14ac:dyDescent="0.25">
      <c r="A46" s="30" t="s">
        <v>446</v>
      </c>
      <c r="B46" t="s">
        <v>379</v>
      </c>
      <c r="C46" t="s">
        <v>366</v>
      </c>
      <c r="D46" t="s">
        <v>366</v>
      </c>
      <c r="E46" t="s">
        <v>366</v>
      </c>
    </row>
    <row r="47" spans="1:5" x14ac:dyDescent="0.25">
      <c r="A47" s="30" t="s">
        <v>447</v>
      </c>
      <c r="B47" t="s">
        <v>379</v>
      </c>
      <c r="C47" t="s">
        <v>474</v>
      </c>
      <c r="D47" t="s">
        <v>366</v>
      </c>
      <c r="E47" t="s">
        <v>366</v>
      </c>
    </row>
    <row r="48" spans="1:5" x14ac:dyDescent="0.25">
      <c r="A48" s="30" t="s">
        <v>448</v>
      </c>
      <c r="B48" t="s">
        <v>379</v>
      </c>
      <c r="C48" t="s">
        <v>366</v>
      </c>
      <c r="D48" t="s">
        <v>368</v>
      </c>
      <c r="E48" t="s">
        <v>368</v>
      </c>
    </row>
    <row r="49" spans="1:5" x14ac:dyDescent="0.25">
      <c r="A49" s="30" t="s">
        <v>449</v>
      </c>
      <c r="B49" t="s">
        <v>379</v>
      </c>
      <c r="C49" t="s">
        <v>366</v>
      </c>
      <c r="D49" t="s">
        <v>366</v>
      </c>
      <c r="E49" t="s">
        <v>368</v>
      </c>
    </row>
    <row r="50" spans="1:5" x14ac:dyDescent="0.25">
      <c r="A50" s="30" t="s">
        <v>450</v>
      </c>
      <c r="B50" t="s">
        <v>379</v>
      </c>
      <c r="C50" t="s">
        <v>366</v>
      </c>
      <c r="D50" t="s">
        <v>366</v>
      </c>
      <c r="E50" t="s">
        <v>366</v>
      </c>
    </row>
    <row r="51" spans="1:5" x14ac:dyDescent="0.25">
      <c r="A51" s="30" t="s">
        <v>451</v>
      </c>
      <c r="B51" t="s">
        <v>379</v>
      </c>
      <c r="C51" t="s">
        <v>366</v>
      </c>
      <c r="D51" t="s">
        <v>366</v>
      </c>
      <c r="E51" t="s">
        <v>366</v>
      </c>
    </row>
    <row r="52" spans="1:5" x14ac:dyDescent="0.25">
      <c r="A52" s="30" t="s">
        <v>452</v>
      </c>
      <c r="B52" t="s">
        <v>379</v>
      </c>
      <c r="C52" t="s">
        <v>368</v>
      </c>
      <c r="D52" t="s">
        <v>366</v>
      </c>
      <c r="E52" t="s">
        <v>475</v>
      </c>
    </row>
    <row r="53" spans="1:5" x14ac:dyDescent="0.25">
      <c r="A53" s="30" t="s">
        <v>453</v>
      </c>
      <c r="B53" t="s">
        <v>379</v>
      </c>
      <c r="C53" t="s">
        <v>366</v>
      </c>
      <c r="D53" t="s">
        <v>366</v>
      </c>
      <c r="E53" t="s">
        <v>366</v>
      </c>
    </row>
    <row r="54" spans="1:5" x14ac:dyDescent="0.25">
      <c r="A54" s="30" t="s">
        <v>454</v>
      </c>
      <c r="B54" t="s">
        <v>379</v>
      </c>
      <c r="C54" t="s">
        <v>366</v>
      </c>
      <c r="D54" t="s">
        <v>366</v>
      </c>
      <c r="E54" t="s">
        <v>369</v>
      </c>
    </row>
    <row r="55" spans="1:5" x14ac:dyDescent="0.25">
      <c r="A55" s="30" t="s">
        <v>455</v>
      </c>
      <c r="B55" t="s">
        <v>379</v>
      </c>
      <c r="C55" t="s">
        <v>475</v>
      </c>
      <c r="D55" t="s">
        <v>366</v>
      </c>
      <c r="E55" t="s">
        <v>366</v>
      </c>
    </row>
    <row r="56" spans="1:5" x14ac:dyDescent="0.25">
      <c r="A56" s="30" t="s">
        <v>456</v>
      </c>
      <c r="B56" t="s">
        <v>379</v>
      </c>
    </row>
    <row r="57" spans="1:5" x14ac:dyDescent="0.25">
      <c r="A57" s="30" t="s">
        <v>457</v>
      </c>
      <c r="B57" t="s">
        <v>379</v>
      </c>
    </row>
    <row r="58" spans="1:5" x14ac:dyDescent="0.25">
      <c r="A58" s="30" t="s">
        <v>458</v>
      </c>
      <c r="B58" t="s">
        <v>379</v>
      </c>
    </row>
    <row r="59" spans="1:5" x14ac:dyDescent="0.25">
      <c r="A59" s="30" t="s">
        <v>459</v>
      </c>
      <c r="B59" t="s">
        <v>379</v>
      </c>
    </row>
    <row r="60" spans="1:5" x14ac:dyDescent="0.25">
      <c r="A60" s="30" t="s">
        <v>460</v>
      </c>
      <c r="B60" t="s">
        <v>379</v>
      </c>
    </row>
    <row r="61" spans="1:5" x14ac:dyDescent="0.25">
      <c r="A61" s="30" t="s">
        <v>461</v>
      </c>
      <c r="B61" t="s">
        <v>379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7" sqref="F17:F21"/>
    </sheetView>
  </sheetViews>
  <sheetFormatPr defaultColWidth="11" defaultRowHeight="15.75" x14ac:dyDescent="0.25"/>
  <cols>
    <col min="2" max="2" width="15" bestFit="1" customWidth="1"/>
    <col min="3" max="3" width="11" style="126"/>
  </cols>
  <sheetData>
    <row r="1" spans="1:6" s="30" customFormat="1" x14ac:dyDescent="0.25">
      <c r="A1" s="30" t="s">
        <v>347</v>
      </c>
      <c r="B1" s="30" t="s">
        <v>548</v>
      </c>
      <c r="C1" s="127">
        <v>2017</v>
      </c>
      <c r="D1" s="30" t="s">
        <v>347</v>
      </c>
      <c r="E1" s="125">
        <v>42881</v>
      </c>
      <c r="F1" s="125">
        <v>42883</v>
      </c>
    </row>
    <row r="2" spans="1:6" x14ac:dyDescent="0.25">
      <c r="A2" s="30" t="s">
        <v>348</v>
      </c>
      <c r="B2" t="s">
        <v>366</v>
      </c>
      <c r="D2" s="30" t="s">
        <v>348</v>
      </c>
      <c r="E2" t="s">
        <v>367</v>
      </c>
      <c r="F2" t="s">
        <v>366</v>
      </c>
    </row>
    <row r="3" spans="1:6" x14ac:dyDescent="0.25">
      <c r="A3" s="30" t="s">
        <v>349</v>
      </c>
      <c r="B3" t="s">
        <v>366</v>
      </c>
      <c r="D3" s="30" t="s">
        <v>349</v>
      </c>
      <c r="E3" t="s">
        <v>367</v>
      </c>
      <c r="F3" t="s">
        <v>366</v>
      </c>
    </row>
    <row r="4" spans="1:6" x14ac:dyDescent="0.25">
      <c r="A4" s="30" t="s">
        <v>350</v>
      </c>
      <c r="B4" t="s">
        <v>366</v>
      </c>
      <c r="D4" s="30" t="s">
        <v>350</v>
      </c>
      <c r="E4" t="s">
        <v>367</v>
      </c>
      <c r="F4" t="s">
        <v>366</v>
      </c>
    </row>
    <row r="5" spans="1:6" x14ac:dyDescent="0.25">
      <c r="A5" s="30" t="s">
        <v>351</v>
      </c>
      <c r="B5" t="s">
        <v>366</v>
      </c>
      <c r="D5" s="30" t="s">
        <v>351</v>
      </c>
      <c r="E5" t="s">
        <v>366</v>
      </c>
      <c r="F5" t="s">
        <v>366</v>
      </c>
    </row>
    <row r="6" spans="1:6" x14ac:dyDescent="0.25">
      <c r="A6" s="30" t="s">
        <v>352</v>
      </c>
      <c r="B6" t="s">
        <v>368</v>
      </c>
      <c r="D6" s="30" t="s">
        <v>352</v>
      </c>
      <c r="E6" t="s">
        <v>366</v>
      </c>
      <c r="F6" t="s">
        <v>366</v>
      </c>
    </row>
    <row r="7" spans="1:6" x14ac:dyDescent="0.25">
      <c r="A7" s="30" t="s">
        <v>417</v>
      </c>
      <c r="B7" t="s">
        <v>366</v>
      </c>
      <c r="D7" s="30" t="s">
        <v>417</v>
      </c>
      <c r="E7" t="s">
        <v>368</v>
      </c>
      <c r="F7" t="s">
        <v>366</v>
      </c>
    </row>
    <row r="8" spans="1:6" x14ac:dyDescent="0.25">
      <c r="A8" s="30" t="s">
        <v>418</v>
      </c>
      <c r="B8" t="s">
        <v>366</v>
      </c>
      <c r="D8" s="30" t="s">
        <v>418</v>
      </c>
      <c r="E8" t="s">
        <v>368</v>
      </c>
      <c r="F8" t="s">
        <v>815</v>
      </c>
    </row>
    <row r="9" spans="1:6" x14ac:dyDescent="0.25">
      <c r="A9" s="30" t="s">
        <v>419</v>
      </c>
      <c r="B9" t="s">
        <v>366</v>
      </c>
      <c r="D9" s="30" t="s">
        <v>419</v>
      </c>
      <c r="E9" t="s">
        <v>366</v>
      </c>
      <c r="F9" t="s">
        <v>366</v>
      </c>
    </row>
    <row r="10" spans="1:6" x14ac:dyDescent="0.25">
      <c r="A10" s="30" t="s">
        <v>420</v>
      </c>
      <c r="B10" t="s">
        <v>366</v>
      </c>
      <c r="D10" s="30" t="s">
        <v>420</v>
      </c>
      <c r="E10" t="s">
        <v>366</v>
      </c>
      <c r="F10" t="s">
        <v>366</v>
      </c>
    </row>
    <row r="11" spans="1:6" x14ac:dyDescent="0.25">
      <c r="A11" s="30" t="s">
        <v>421</v>
      </c>
      <c r="B11" t="s">
        <v>366</v>
      </c>
      <c r="D11" s="30" t="s">
        <v>421</v>
      </c>
      <c r="E11" t="s">
        <v>366</v>
      </c>
      <c r="F11" t="s">
        <v>366</v>
      </c>
    </row>
    <row r="12" spans="1:6" x14ac:dyDescent="0.25">
      <c r="A12" s="30" t="s">
        <v>353</v>
      </c>
      <c r="B12" t="s">
        <v>366</v>
      </c>
      <c r="D12" s="30" t="s">
        <v>353</v>
      </c>
      <c r="E12" t="s">
        <v>366</v>
      </c>
      <c r="F12" t="s">
        <v>816</v>
      </c>
    </row>
    <row r="13" spans="1:6" x14ac:dyDescent="0.25">
      <c r="A13" s="30" t="s">
        <v>354</v>
      </c>
      <c r="B13" t="s">
        <v>368</v>
      </c>
      <c r="D13" s="30" t="s">
        <v>354</v>
      </c>
      <c r="E13" t="s">
        <v>366</v>
      </c>
      <c r="F13" t="s">
        <v>713</v>
      </c>
    </row>
    <row r="14" spans="1:6" x14ac:dyDescent="0.25">
      <c r="A14" s="30" t="s">
        <v>355</v>
      </c>
      <c r="B14" t="s">
        <v>366</v>
      </c>
      <c r="D14" s="30" t="s">
        <v>355</v>
      </c>
      <c r="E14" t="s">
        <v>367</v>
      </c>
      <c r="F14" t="s">
        <v>366</v>
      </c>
    </row>
    <row r="15" spans="1:6" x14ac:dyDescent="0.25">
      <c r="A15" s="30" t="s">
        <v>356</v>
      </c>
      <c r="B15" t="s">
        <v>366</v>
      </c>
      <c r="D15" s="30" t="s">
        <v>356</v>
      </c>
      <c r="E15" t="s">
        <v>366</v>
      </c>
      <c r="F15" t="s">
        <v>366</v>
      </c>
    </row>
    <row r="16" spans="1:6" x14ac:dyDescent="0.25">
      <c r="A16" s="30" t="s">
        <v>357</v>
      </c>
      <c r="B16" t="s">
        <v>366</v>
      </c>
      <c r="D16" s="30" t="s">
        <v>357</v>
      </c>
      <c r="E16" t="s">
        <v>366</v>
      </c>
      <c r="F16" t="s">
        <v>772</v>
      </c>
    </row>
    <row r="17" spans="1:6" x14ac:dyDescent="0.25">
      <c r="A17" s="30" t="s">
        <v>427</v>
      </c>
      <c r="B17" t="s">
        <v>366</v>
      </c>
      <c r="D17" s="30" t="s">
        <v>427</v>
      </c>
      <c r="E17" t="s">
        <v>366</v>
      </c>
      <c r="F17" t="s">
        <v>366</v>
      </c>
    </row>
    <row r="18" spans="1:6" x14ac:dyDescent="0.25">
      <c r="A18" s="30" t="s">
        <v>428</v>
      </c>
      <c r="B18" t="s">
        <v>549</v>
      </c>
      <c r="D18" s="30" t="s">
        <v>428</v>
      </c>
      <c r="E18" t="s">
        <v>366</v>
      </c>
      <c r="F18" t="s">
        <v>366</v>
      </c>
    </row>
    <row r="19" spans="1:6" x14ac:dyDescent="0.25">
      <c r="A19" s="30" t="s">
        <v>429</v>
      </c>
      <c r="B19" t="s">
        <v>366</v>
      </c>
      <c r="D19" s="30" t="s">
        <v>429</v>
      </c>
      <c r="E19" t="s">
        <v>366</v>
      </c>
      <c r="F19" t="s">
        <v>366</v>
      </c>
    </row>
    <row r="20" spans="1:6" x14ac:dyDescent="0.25">
      <c r="A20" s="30" t="s">
        <v>430</v>
      </c>
      <c r="B20" t="s">
        <v>366</v>
      </c>
      <c r="D20" s="30" t="s">
        <v>430</v>
      </c>
      <c r="E20" t="s">
        <v>366</v>
      </c>
      <c r="F20" t="s">
        <v>366</v>
      </c>
    </row>
    <row r="21" spans="1:6" x14ac:dyDescent="0.25">
      <c r="A21" s="30" t="s">
        <v>431</v>
      </c>
      <c r="B21" t="s">
        <v>366</v>
      </c>
      <c r="D21" s="30" t="s">
        <v>431</v>
      </c>
      <c r="E21" t="s">
        <v>366</v>
      </c>
      <c r="F21" t="s">
        <v>366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N27" sqref="N27"/>
    </sheetView>
  </sheetViews>
  <sheetFormatPr defaultColWidth="11" defaultRowHeight="15.75" x14ac:dyDescent="0.25"/>
  <cols>
    <col min="10" max="10" width="11" style="126"/>
    <col min="11" max="11" width="11" style="30"/>
  </cols>
  <sheetData>
    <row r="1" spans="1:14" x14ac:dyDescent="0.25">
      <c r="A1" s="30" t="s">
        <v>347</v>
      </c>
      <c r="B1" s="30" t="s">
        <v>359</v>
      </c>
      <c r="C1" s="30" t="s">
        <v>376</v>
      </c>
      <c r="D1" s="30" t="s">
        <v>365</v>
      </c>
      <c r="E1" s="30" t="s">
        <v>370</v>
      </c>
      <c r="F1" s="30" t="s">
        <v>411</v>
      </c>
      <c r="G1" s="30" t="s">
        <v>472</v>
      </c>
      <c r="H1" s="30" t="s">
        <v>480</v>
      </c>
      <c r="I1" s="30" t="s">
        <v>497</v>
      </c>
      <c r="J1" s="127">
        <v>2017</v>
      </c>
      <c r="K1" s="30" t="s">
        <v>347</v>
      </c>
      <c r="L1" s="125">
        <v>42877</v>
      </c>
      <c r="M1" s="125">
        <v>42878</v>
      </c>
      <c r="N1" s="125">
        <v>42901</v>
      </c>
    </row>
    <row r="2" spans="1:14" x14ac:dyDescent="0.25">
      <c r="A2" t="s">
        <v>348</v>
      </c>
      <c r="B2" t="s">
        <v>288</v>
      </c>
      <c r="C2" t="s">
        <v>380</v>
      </c>
      <c r="D2" t="s">
        <v>366</v>
      </c>
      <c r="E2" t="s">
        <v>366</v>
      </c>
      <c r="F2" t="s">
        <v>366</v>
      </c>
      <c r="G2" t="s">
        <v>416</v>
      </c>
      <c r="H2" t="s">
        <v>366</v>
      </c>
      <c r="I2" t="s">
        <v>366</v>
      </c>
      <c r="K2" s="30" t="s">
        <v>348</v>
      </c>
      <c r="L2" t="s">
        <v>366</v>
      </c>
      <c r="M2" t="s">
        <v>368</v>
      </c>
      <c r="N2" t="s">
        <v>772</v>
      </c>
    </row>
    <row r="3" spans="1:14" x14ac:dyDescent="0.25">
      <c r="A3" t="s">
        <v>348</v>
      </c>
      <c r="B3" t="s">
        <v>360</v>
      </c>
      <c r="C3" t="s">
        <v>366</v>
      </c>
      <c r="D3" t="s">
        <v>366</v>
      </c>
      <c r="E3" t="s">
        <v>366</v>
      </c>
      <c r="F3" t="s">
        <v>366</v>
      </c>
      <c r="G3" t="s">
        <v>366</v>
      </c>
      <c r="H3" t="s">
        <v>368</v>
      </c>
      <c r="I3" t="s">
        <v>368</v>
      </c>
      <c r="K3" s="30" t="s">
        <v>349</v>
      </c>
      <c r="L3" t="s">
        <v>366</v>
      </c>
      <c r="M3" t="s">
        <v>692</v>
      </c>
      <c r="N3" t="s">
        <v>772</v>
      </c>
    </row>
    <row r="4" spans="1:14" x14ac:dyDescent="0.25">
      <c r="A4" t="s">
        <v>348</v>
      </c>
      <c r="B4" t="s">
        <v>377</v>
      </c>
      <c r="C4" t="s">
        <v>366</v>
      </c>
      <c r="D4" t="s">
        <v>366</v>
      </c>
      <c r="E4" t="s">
        <v>366</v>
      </c>
      <c r="G4" t="s">
        <v>368</v>
      </c>
      <c r="H4" t="s">
        <v>368</v>
      </c>
      <c r="I4" t="s">
        <v>368</v>
      </c>
      <c r="K4" s="30" t="s">
        <v>350</v>
      </c>
      <c r="L4" t="s">
        <v>366</v>
      </c>
      <c r="M4" t="s">
        <v>366</v>
      </c>
      <c r="N4" t="s">
        <v>772</v>
      </c>
    </row>
    <row r="5" spans="1:14" x14ac:dyDescent="0.25">
      <c r="A5" t="s">
        <v>349</v>
      </c>
      <c r="B5" t="s">
        <v>288</v>
      </c>
      <c r="C5" t="s">
        <v>366</v>
      </c>
      <c r="D5" t="s">
        <v>366</v>
      </c>
      <c r="E5" t="s">
        <v>367</v>
      </c>
      <c r="F5" t="s">
        <v>366</v>
      </c>
      <c r="G5" t="s">
        <v>366</v>
      </c>
      <c r="H5" t="s">
        <v>366</v>
      </c>
      <c r="I5" t="s">
        <v>366</v>
      </c>
      <c r="K5" s="30" t="s">
        <v>351</v>
      </c>
      <c r="L5" t="s">
        <v>366</v>
      </c>
      <c r="M5" t="s">
        <v>366</v>
      </c>
      <c r="N5" t="s">
        <v>772</v>
      </c>
    </row>
    <row r="6" spans="1:14" x14ac:dyDescent="0.25">
      <c r="A6" t="s">
        <v>349</v>
      </c>
      <c r="B6" t="s">
        <v>360</v>
      </c>
      <c r="C6" t="s">
        <v>366</v>
      </c>
      <c r="D6" t="s">
        <v>379</v>
      </c>
      <c r="E6" t="s">
        <v>366</v>
      </c>
      <c r="F6" t="s">
        <v>382</v>
      </c>
      <c r="G6" t="s">
        <v>369</v>
      </c>
      <c r="H6" t="s">
        <v>367</v>
      </c>
      <c r="I6" t="s">
        <v>369</v>
      </c>
      <c r="K6" s="30" t="s">
        <v>352</v>
      </c>
      <c r="L6" t="s">
        <v>366</v>
      </c>
      <c r="M6" t="s">
        <v>366</v>
      </c>
      <c r="N6" t="s">
        <v>772</v>
      </c>
    </row>
    <row r="7" spans="1:14" x14ac:dyDescent="0.25">
      <c r="A7" t="s">
        <v>349</v>
      </c>
      <c r="B7" t="s">
        <v>377</v>
      </c>
      <c r="C7" t="s">
        <v>367</v>
      </c>
      <c r="D7" t="s">
        <v>367</v>
      </c>
      <c r="E7" t="s">
        <v>366</v>
      </c>
      <c r="G7" t="s">
        <v>366</v>
      </c>
      <c r="H7" t="s">
        <v>369</v>
      </c>
      <c r="I7" t="s">
        <v>369</v>
      </c>
      <c r="K7" s="30" t="s">
        <v>353</v>
      </c>
      <c r="L7" t="s">
        <v>366</v>
      </c>
      <c r="M7" t="s">
        <v>366</v>
      </c>
      <c r="N7" t="s">
        <v>772</v>
      </c>
    </row>
    <row r="8" spans="1:14" x14ac:dyDescent="0.25">
      <c r="A8" t="s">
        <v>350</v>
      </c>
      <c r="B8" t="s">
        <v>288</v>
      </c>
      <c r="C8" t="s">
        <v>366</v>
      </c>
      <c r="D8" t="s">
        <v>366</v>
      </c>
      <c r="E8" t="s">
        <v>368</v>
      </c>
      <c r="F8" t="s">
        <v>366</v>
      </c>
      <c r="G8" t="s">
        <v>366</v>
      </c>
      <c r="H8" t="s">
        <v>366</v>
      </c>
      <c r="I8" t="s">
        <v>366</v>
      </c>
      <c r="K8" s="30" t="s">
        <v>354</v>
      </c>
      <c r="L8" t="s">
        <v>366</v>
      </c>
      <c r="M8" t="s">
        <v>797</v>
      </c>
      <c r="N8" t="s">
        <v>772</v>
      </c>
    </row>
    <row r="9" spans="1:14" x14ac:dyDescent="0.25">
      <c r="A9" t="s">
        <v>350</v>
      </c>
      <c r="B9" t="s">
        <v>360</v>
      </c>
      <c r="C9" t="s">
        <v>366</v>
      </c>
      <c r="D9" t="s">
        <v>383</v>
      </c>
      <c r="E9" t="s">
        <v>369</v>
      </c>
      <c r="F9" t="s">
        <v>366</v>
      </c>
      <c r="G9" t="s">
        <v>366</v>
      </c>
      <c r="H9" t="s">
        <v>414</v>
      </c>
      <c r="I9" t="s">
        <v>369</v>
      </c>
      <c r="K9" s="30" t="s">
        <v>355</v>
      </c>
      <c r="L9" t="s">
        <v>797</v>
      </c>
      <c r="M9" t="s">
        <v>368</v>
      </c>
      <c r="N9" t="s">
        <v>772</v>
      </c>
    </row>
    <row r="10" spans="1:14" x14ac:dyDescent="0.25">
      <c r="A10" t="s">
        <v>350</v>
      </c>
      <c r="B10" t="s">
        <v>377</v>
      </c>
      <c r="C10" t="s">
        <v>367</v>
      </c>
      <c r="D10" t="s">
        <v>384</v>
      </c>
      <c r="E10" t="s">
        <v>366</v>
      </c>
      <c r="G10" t="s">
        <v>381</v>
      </c>
      <c r="H10" t="s">
        <v>368</v>
      </c>
      <c r="I10" t="s">
        <v>369</v>
      </c>
      <c r="K10" s="30" t="s">
        <v>356</v>
      </c>
      <c r="L10" t="s">
        <v>366</v>
      </c>
      <c r="M10" t="s">
        <v>366</v>
      </c>
      <c r="N10" t="s">
        <v>772</v>
      </c>
    </row>
    <row r="11" spans="1:14" x14ac:dyDescent="0.25">
      <c r="A11" t="s">
        <v>351</v>
      </c>
      <c r="B11" t="s">
        <v>288</v>
      </c>
      <c r="C11" t="s">
        <v>366</v>
      </c>
      <c r="D11" t="s">
        <v>366</v>
      </c>
      <c r="E11" t="s">
        <v>366</v>
      </c>
      <c r="F11" t="s">
        <v>367</v>
      </c>
      <c r="G11" t="s">
        <v>366</v>
      </c>
      <c r="H11" t="s">
        <v>366</v>
      </c>
      <c r="I11" t="s">
        <v>366</v>
      </c>
      <c r="K11" s="30" t="s">
        <v>357</v>
      </c>
      <c r="L11" t="s">
        <v>366</v>
      </c>
      <c r="M11" t="s">
        <v>476</v>
      </c>
      <c r="N11" t="s">
        <v>772</v>
      </c>
    </row>
    <row r="12" spans="1:14" x14ac:dyDescent="0.25">
      <c r="A12" t="s">
        <v>351</v>
      </c>
      <c r="B12" t="s">
        <v>360</v>
      </c>
      <c r="C12" t="s">
        <v>369</v>
      </c>
      <c r="D12" t="s">
        <v>367</v>
      </c>
      <c r="E12" t="s">
        <v>366</v>
      </c>
      <c r="F12" t="s">
        <v>366</v>
      </c>
      <c r="G12" t="s">
        <v>368</v>
      </c>
      <c r="H12" t="s">
        <v>368</v>
      </c>
      <c r="I12" t="s">
        <v>368</v>
      </c>
      <c r="K12" s="30" t="s">
        <v>358</v>
      </c>
      <c r="L12" t="s">
        <v>368</v>
      </c>
      <c r="M12" t="s">
        <v>366</v>
      </c>
      <c r="N12" t="s">
        <v>951</v>
      </c>
    </row>
    <row r="13" spans="1:14" x14ac:dyDescent="0.25">
      <c r="A13" t="s">
        <v>351</v>
      </c>
      <c r="B13" t="s">
        <v>377</v>
      </c>
      <c r="C13" t="s">
        <v>366</v>
      </c>
      <c r="D13" t="s">
        <v>368</v>
      </c>
      <c r="E13" t="s">
        <v>367</v>
      </c>
      <c r="F13" t="s">
        <v>379</v>
      </c>
      <c r="G13" t="s">
        <v>366</v>
      </c>
      <c r="H13" t="s">
        <v>366</v>
      </c>
      <c r="I13" t="s">
        <v>367</v>
      </c>
      <c r="K13" s="30" t="s">
        <v>362</v>
      </c>
      <c r="L13" t="s">
        <v>368</v>
      </c>
      <c r="M13" t="s">
        <v>368</v>
      </c>
      <c r="N13" t="s">
        <v>366</v>
      </c>
    </row>
    <row r="14" spans="1:14" x14ac:dyDescent="0.25">
      <c r="A14" t="s">
        <v>352</v>
      </c>
      <c r="B14" t="s">
        <v>288</v>
      </c>
      <c r="C14" t="s">
        <v>366</v>
      </c>
      <c r="D14" t="s">
        <v>367</v>
      </c>
      <c r="E14" t="s">
        <v>366</v>
      </c>
      <c r="F14" t="s">
        <v>366</v>
      </c>
      <c r="G14" t="s">
        <v>366</v>
      </c>
      <c r="H14" t="s">
        <v>366</v>
      </c>
      <c r="I14" t="s">
        <v>366</v>
      </c>
      <c r="K14" s="30" t="s">
        <v>363</v>
      </c>
      <c r="L14" t="s">
        <v>798</v>
      </c>
      <c r="M14" t="s">
        <v>366</v>
      </c>
      <c r="N14" t="s">
        <v>772</v>
      </c>
    </row>
    <row r="15" spans="1:14" x14ac:dyDescent="0.25">
      <c r="A15" t="s">
        <v>352</v>
      </c>
      <c r="B15" t="s">
        <v>360</v>
      </c>
      <c r="C15" t="s">
        <v>366</v>
      </c>
      <c r="D15" t="s">
        <v>369</v>
      </c>
      <c r="E15" t="s">
        <v>366</v>
      </c>
      <c r="F15" t="s">
        <v>413</v>
      </c>
      <c r="G15" t="s">
        <v>366</v>
      </c>
      <c r="H15" t="s">
        <v>368</v>
      </c>
      <c r="I15" t="s">
        <v>368</v>
      </c>
      <c r="K15" s="30" t="s">
        <v>364</v>
      </c>
      <c r="L15" t="s">
        <v>366</v>
      </c>
      <c r="M15" t="s">
        <v>366</v>
      </c>
      <c r="N15" t="s">
        <v>772</v>
      </c>
    </row>
    <row r="16" spans="1:14" x14ac:dyDescent="0.25">
      <c r="A16" t="s">
        <v>352</v>
      </c>
      <c r="B16" t="s">
        <v>377</v>
      </c>
      <c r="C16" s="94" t="s">
        <v>366</v>
      </c>
      <c r="D16" t="s">
        <v>367</v>
      </c>
      <c r="E16" t="s">
        <v>366</v>
      </c>
      <c r="F16" t="s">
        <v>379</v>
      </c>
      <c r="G16" t="s">
        <v>367</v>
      </c>
      <c r="H16" t="s">
        <v>366</v>
      </c>
      <c r="I16" t="s">
        <v>369</v>
      </c>
      <c r="K16" s="30" t="s">
        <v>361</v>
      </c>
      <c r="L16" t="s">
        <v>369</v>
      </c>
      <c r="M16" t="s">
        <v>366</v>
      </c>
      <c r="N16" t="s">
        <v>772</v>
      </c>
    </row>
    <row r="17" spans="1:14" x14ac:dyDescent="0.25">
      <c r="A17" t="s">
        <v>353</v>
      </c>
      <c r="B17" t="s">
        <v>288</v>
      </c>
      <c r="C17" t="s">
        <v>381</v>
      </c>
      <c r="D17" t="s">
        <v>297</v>
      </c>
      <c r="E17" t="s">
        <v>387</v>
      </c>
      <c r="F17" t="s">
        <v>366</v>
      </c>
      <c r="G17" t="s">
        <v>366</v>
      </c>
      <c r="H17" t="s">
        <v>486</v>
      </c>
      <c r="I17" t="s">
        <v>380</v>
      </c>
      <c r="K17" s="30" t="s">
        <v>447</v>
      </c>
      <c r="L17" t="s">
        <v>772</v>
      </c>
      <c r="M17" t="s">
        <v>366</v>
      </c>
      <c r="N17" t="s">
        <v>369</v>
      </c>
    </row>
    <row r="18" spans="1:14" x14ac:dyDescent="0.25">
      <c r="A18" t="s">
        <v>353</v>
      </c>
      <c r="B18" t="s">
        <v>360</v>
      </c>
      <c r="C18" t="s">
        <v>382</v>
      </c>
      <c r="D18" t="s">
        <v>367</v>
      </c>
      <c r="E18" t="s">
        <v>366</v>
      </c>
      <c r="F18" t="s">
        <v>368</v>
      </c>
      <c r="G18" t="s">
        <v>368</v>
      </c>
      <c r="H18" t="s">
        <v>368</v>
      </c>
      <c r="I18" t="s">
        <v>382</v>
      </c>
      <c r="K18" s="30" t="s">
        <v>448</v>
      </c>
      <c r="L18" t="s">
        <v>772</v>
      </c>
      <c r="M18" t="s">
        <v>368</v>
      </c>
      <c r="N18" t="s">
        <v>369</v>
      </c>
    </row>
    <row r="19" spans="1:14" x14ac:dyDescent="0.25">
      <c r="A19" t="s">
        <v>353</v>
      </c>
      <c r="B19" t="s">
        <v>377</v>
      </c>
      <c r="C19" t="s">
        <v>366</v>
      </c>
      <c r="D19" t="s">
        <v>369</v>
      </c>
      <c r="E19" t="s">
        <v>369</v>
      </c>
      <c r="F19" t="s">
        <v>379</v>
      </c>
      <c r="G19" t="s">
        <v>368</v>
      </c>
      <c r="H19" t="s">
        <v>368</v>
      </c>
      <c r="I19" t="s">
        <v>369</v>
      </c>
      <c r="K19" s="30" t="s">
        <v>449</v>
      </c>
      <c r="L19" t="s">
        <v>772</v>
      </c>
      <c r="M19" t="s">
        <v>366</v>
      </c>
      <c r="N19" t="s">
        <v>958</v>
      </c>
    </row>
    <row r="20" spans="1:14" x14ac:dyDescent="0.25">
      <c r="A20" t="s">
        <v>354</v>
      </c>
      <c r="B20" t="s">
        <v>288</v>
      </c>
      <c r="C20" t="s">
        <v>366</v>
      </c>
      <c r="D20" t="s">
        <v>366</v>
      </c>
      <c r="E20" t="s">
        <v>366</v>
      </c>
      <c r="F20" t="s">
        <v>381</v>
      </c>
      <c r="G20" t="s">
        <v>366</v>
      </c>
      <c r="H20" t="s">
        <v>380</v>
      </c>
      <c r="I20" t="s">
        <v>366</v>
      </c>
      <c r="K20" s="30" t="s">
        <v>450</v>
      </c>
      <c r="L20" t="s">
        <v>772</v>
      </c>
      <c r="M20" t="s">
        <v>366</v>
      </c>
      <c r="N20" t="s">
        <v>772</v>
      </c>
    </row>
    <row r="21" spans="1:14" x14ac:dyDescent="0.25">
      <c r="A21" t="s">
        <v>354</v>
      </c>
      <c r="B21" t="s">
        <v>360</v>
      </c>
      <c r="C21" t="s">
        <v>378</v>
      </c>
      <c r="D21" t="s">
        <v>366</v>
      </c>
      <c r="E21" t="s">
        <v>368</v>
      </c>
      <c r="F21" t="s">
        <v>414</v>
      </c>
      <c r="G21" t="s">
        <v>369</v>
      </c>
      <c r="H21" t="s">
        <v>382</v>
      </c>
      <c r="I21" t="s">
        <v>368</v>
      </c>
      <c r="K21" s="30" t="s">
        <v>451</v>
      </c>
      <c r="L21" t="s">
        <v>772</v>
      </c>
      <c r="M21" t="s">
        <v>366</v>
      </c>
      <c r="N21" t="s">
        <v>772</v>
      </c>
    </row>
    <row r="22" spans="1:14" x14ac:dyDescent="0.25">
      <c r="A22" t="s">
        <v>354</v>
      </c>
      <c r="B22" t="s">
        <v>377</v>
      </c>
      <c r="C22" t="s">
        <v>366</v>
      </c>
      <c r="D22" t="s">
        <v>368</v>
      </c>
      <c r="E22" t="s">
        <v>368</v>
      </c>
      <c r="F22" t="s">
        <v>379</v>
      </c>
      <c r="G22" t="s">
        <v>367</v>
      </c>
      <c r="H22" t="s">
        <v>367</v>
      </c>
      <c r="I22" t="s">
        <v>369</v>
      </c>
      <c r="K22" s="30" t="s">
        <v>776</v>
      </c>
      <c r="L22" t="s">
        <v>772</v>
      </c>
      <c r="M22" t="s">
        <v>772</v>
      </c>
      <c r="N22" t="s">
        <v>804</v>
      </c>
    </row>
    <row r="23" spans="1:14" x14ac:dyDescent="0.25">
      <c r="A23" t="s">
        <v>355</v>
      </c>
      <c r="B23" t="s">
        <v>288</v>
      </c>
      <c r="C23" t="s">
        <v>366</v>
      </c>
      <c r="D23" t="s">
        <v>368</v>
      </c>
      <c r="E23" t="s">
        <v>366</v>
      </c>
      <c r="F23" t="s">
        <v>366</v>
      </c>
      <c r="G23" t="s">
        <v>366</v>
      </c>
      <c r="H23" t="s">
        <v>366</v>
      </c>
      <c r="I23" t="s">
        <v>367</v>
      </c>
      <c r="K23" s="30" t="s">
        <v>777</v>
      </c>
      <c r="L23" t="s">
        <v>772</v>
      </c>
      <c r="M23" t="s">
        <v>772</v>
      </c>
      <c r="N23" t="s">
        <v>366</v>
      </c>
    </row>
    <row r="24" spans="1:14" x14ac:dyDescent="0.25">
      <c r="A24" t="s">
        <v>355</v>
      </c>
      <c r="B24" t="s">
        <v>360</v>
      </c>
      <c r="C24" t="s">
        <v>366</v>
      </c>
      <c r="D24" t="s">
        <v>368</v>
      </c>
      <c r="E24" t="s">
        <v>366</v>
      </c>
      <c r="F24" t="s">
        <v>368</v>
      </c>
      <c r="G24" t="s">
        <v>368</v>
      </c>
      <c r="H24" t="s">
        <v>368</v>
      </c>
      <c r="I24" t="s">
        <v>368</v>
      </c>
      <c r="K24" s="30" t="s">
        <v>778</v>
      </c>
      <c r="L24" t="s">
        <v>772</v>
      </c>
      <c r="M24" t="s">
        <v>772</v>
      </c>
      <c r="N24" t="s">
        <v>366</v>
      </c>
    </row>
    <row r="25" spans="1:14" x14ac:dyDescent="0.25">
      <c r="A25" t="s">
        <v>355</v>
      </c>
      <c r="B25" t="s">
        <v>377</v>
      </c>
      <c r="C25" t="s">
        <v>366</v>
      </c>
      <c r="D25" t="s">
        <v>366</v>
      </c>
      <c r="E25" t="s">
        <v>367</v>
      </c>
      <c r="F25" t="s">
        <v>379</v>
      </c>
      <c r="G25" t="s">
        <v>366</v>
      </c>
      <c r="H25" t="s">
        <v>366</v>
      </c>
      <c r="I25" t="s">
        <v>368</v>
      </c>
      <c r="K25" s="30" t="s">
        <v>779</v>
      </c>
      <c r="L25" t="s">
        <v>772</v>
      </c>
      <c r="M25" t="s">
        <v>772</v>
      </c>
      <c r="N25" t="s">
        <v>366</v>
      </c>
    </row>
    <row r="26" spans="1:14" x14ac:dyDescent="0.25">
      <c r="A26" t="s">
        <v>356</v>
      </c>
      <c r="B26" t="s">
        <v>288</v>
      </c>
      <c r="C26" t="s">
        <v>366</v>
      </c>
      <c r="D26" t="s">
        <v>366</v>
      </c>
      <c r="E26" t="s">
        <v>366</v>
      </c>
      <c r="F26" t="s">
        <v>366</v>
      </c>
      <c r="G26" t="s">
        <v>366</v>
      </c>
      <c r="H26" t="s">
        <v>366</v>
      </c>
      <c r="I26" t="s">
        <v>366</v>
      </c>
      <c r="K26" s="30" t="s">
        <v>780</v>
      </c>
      <c r="L26" t="s">
        <v>772</v>
      </c>
      <c r="M26" t="s">
        <v>772</v>
      </c>
      <c r="N26" t="s">
        <v>366</v>
      </c>
    </row>
    <row r="27" spans="1:14" x14ac:dyDescent="0.25">
      <c r="A27" t="s">
        <v>356</v>
      </c>
      <c r="B27" t="s">
        <v>360</v>
      </c>
      <c r="C27" t="s">
        <v>368</v>
      </c>
      <c r="D27" t="s">
        <v>385</v>
      </c>
      <c r="E27" t="s">
        <v>367</v>
      </c>
      <c r="F27" t="s">
        <v>373</v>
      </c>
      <c r="G27" t="s">
        <v>366</v>
      </c>
      <c r="H27" t="s">
        <v>366</v>
      </c>
      <c r="I27" t="s">
        <v>368</v>
      </c>
    </row>
    <row r="28" spans="1:14" x14ac:dyDescent="0.25">
      <c r="A28" t="s">
        <v>356</v>
      </c>
      <c r="B28" t="s">
        <v>377</v>
      </c>
      <c r="C28" t="s">
        <v>366</v>
      </c>
      <c r="D28" t="s">
        <v>367</v>
      </c>
      <c r="E28" t="s">
        <v>369</v>
      </c>
      <c r="F28" t="s">
        <v>379</v>
      </c>
      <c r="G28" t="s">
        <v>366</v>
      </c>
      <c r="H28" t="s">
        <v>366</v>
      </c>
      <c r="I28" t="s">
        <v>366</v>
      </c>
    </row>
    <row r="29" spans="1:14" x14ac:dyDescent="0.25">
      <c r="A29" t="s">
        <v>357</v>
      </c>
      <c r="B29" t="s">
        <v>288</v>
      </c>
      <c r="C29" t="s">
        <v>366</v>
      </c>
      <c r="D29" t="s">
        <v>367</v>
      </c>
      <c r="E29" t="s">
        <v>366</v>
      </c>
      <c r="F29" t="s">
        <v>379</v>
      </c>
      <c r="G29" t="s">
        <v>379</v>
      </c>
      <c r="H29" t="s">
        <v>381</v>
      </c>
      <c r="I29" t="s">
        <v>366</v>
      </c>
    </row>
    <row r="30" spans="1:14" x14ac:dyDescent="0.25">
      <c r="A30" t="s">
        <v>357</v>
      </c>
      <c r="B30" t="s">
        <v>360</v>
      </c>
      <c r="C30" t="s">
        <v>366</v>
      </c>
      <c r="D30" t="s">
        <v>385</v>
      </c>
      <c r="E30" t="s">
        <v>385</v>
      </c>
      <c r="F30" t="s">
        <v>366</v>
      </c>
      <c r="G30" t="s">
        <v>386</v>
      </c>
      <c r="H30" t="s">
        <v>366</v>
      </c>
      <c r="I30" t="s">
        <v>368</v>
      </c>
    </row>
    <row r="31" spans="1:14" x14ac:dyDescent="0.25">
      <c r="A31" t="s">
        <v>357</v>
      </c>
      <c r="B31" t="s">
        <v>377</v>
      </c>
      <c r="C31" t="s">
        <v>368</v>
      </c>
      <c r="D31" t="s">
        <v>368</v>
      </c>
      <c r="E31" t="s">
        <v>368</v>
      </c>
      <c r="F31" t="s">
        <v>379</v>
      </c>
      <c r="G31" t="s">
        <v>368</v>
      </c>
      <c r="H31" t="s">
        <v>368</v>
      </c>
      <c r="I31" t="s">
        <v>369</v>
      </c>
    </row>
    <row r="32" spans="1:14" x14ac:dyDescent="0.25">
      <c r="A32" t="s">
        <v>358</v>
      </c>
      <c r="B32" t="s">
        <v>288</v>
      </c>
      <c r="C32" t="s">
        <v>366</v>
      </c>
      <c r="D32" t="s">
        <v>366</v>
      </c>
      <c r="E32" t="s">
        <v>366</v>
      </c>
      <c r="F32" t="s">
        <v>366</v>
      </c>
      <c r="G32" t="s">
        <v>366</v>
      </c>
      <c r="H32" t="s">
        <v>366</v>
      </c>
      <c r="I32" t="s">
        <v>366</v>
      </c>
    </row>
    <row r="33" spans="1:9" x14ac:dyDescent="0.25">
      <c r="A33" t="s">
        <v>358</v>
      </c>
      <c r="B33" t="s">
        <v>360</v>
      </c>
      <c r="C33" t="s">
        <v>366</v>
      </c>
      <c r="D33" t="s">
        <v>368</v>
      </c>
      <c r="E33" t="s">
        <v>388</v>
      </c>
      <c r="F33" t="s">
        <v>368</v>
      </c>
      <c r="G33" t="s">
        <v>382</v>
      </c>
      <c r="H33" t="s">
        <v>368</v>
      </c>
      <c r="I33" t="s">
        <v>368</v>
      </c>
    </row>
    <row r="34" spans="1:9" x14ac:dyDescent="0.25">
      <c r="A34" t="s">
        <v>358</v>
      </c>
      <c r="B34" t="s">
        <v>377</v>
      </c>
      <c r="C34" t="s">
        <v>379</v>
      </c>
      <c r="D34" t="s">
        <v>379</v>
      </c>
      <c r="E34" t="s">
        <v>379</v>
      </c>
      <c r="F34" t="s">
        <v>379</v>
      </c>
      <c r="G34" t="s">
        <v>368</v>
      </c>
      <c r="H34" t="s">
        <v>369</v>
      </c>
      <c r="I34" t="s">
        <v>368</v>
      </c>
    </row>
    <row r="35" spans="1:9" x14ac:dyDescent="0.25">
      <c r="A35" t="s">
        <v>362</v>
      </c>
      <c r="B35" t="s">
        <v>288</v>
      </c>
      <c r="C35" t="s">
        <v>367</v>
      </c>
      <c r="D35" t="s">
        <v>366</v>
      </c>
      <c r="E35" t="s">
        <v>366</v>
      </c>
      <c r="F35" t="s">
        <v>366</v>
      </c>
      <c r="G35" t="s">
        <v>366</v>
      </c>
      <c r="H35" t="s">
        <v>366</v>
      </c>
      <c r="I35" t="s">
        <v>366</v>
      </c>
    </row>
    <row r="36" spans="1:9" x14ac:dyDescent="0.25">
      <c r="A36" t="s">
        <v>362</v>
      </c>
      <c r="B36" t="s">
        <v>360</v>
      </c>
      <c r="C36" t="s">
        <v>368</v>
      </c>
      <c r="D36" t="s">
        <v>386</v>
      </c>
      <c r="E36" t="s">
        <v>368</v>
      </c>
      <c r="F36" t="s">
        <v>368</v>
      </c>
      <c r="G36" t="s">
        <v>414</v>
      </c>
      <c r="H36" t="s">
        <v>368</v>
      </c>
      <c r="I36" t="s">
        <v>368</v>
      </c>
    </row>
    <row r="37" spans="1:9" x14ac:dyDescent="0.25">
      <c r="A37" t="s">
        <v>362</v>
      </c>
      <c r="B37" t="s">
        <v>377</v>
      </c>
      <c r="C37" t="s">
        <v>369</v>
      </c>
      <c r="D37" t="s">
        <v>369</v>
      </c>
      <c r="E37" t="s">
        <v>367</v>
      </c>
      <c r="F37" t="s">
        <v>379</v>
      </c>
      <c r="G37" t="s">
        <v>369</v>
      </c>
      <c r="H37" t="s">
        <v>366</v>
      </c>
      <c r="I37" t="s">
        <v>368</v>
      </c>
    </row>
    <row r="38" spans="1:9" x14ac:dyDescent="0.25">
      <c r="A38" t="s">
        <v>363</v>
      </c>
      <c r="B38" t="s">
        <v>288</v>
      </c>
      <c r="C38" t="s">
        <v>366</v>
      </c>
      <c r="D38" t="s">
        <v>293</v>
      </c>
      <c r="E38" t="s">
        <v>366</v>
      </c>
      <c r="F38" t="s">
        <v>366</v>
      </c>
      <c r="G38" t="s">
        <v>366</v>
      </c>
      <c r="H38" t="s">
        <v>366</v>
      </c>
      <c r="I38" t="s">
        <v>366</v>
      </c>
    </row>
    <row r="39" spans="1:9" x14ac:dyDescent="0.25">
      <c r="A39" t="s">
        <v>363</v>
      </c>
      <c r="B39" t="s">
        <v>360</v>
      </c>
      <c r="C39" t="s">
        <v>366</v>
      </c>
      <c r="D39" t="s">
        <v>368</v>
      </c>
      <c r="E39" t="s">
        <v>389</v>
      </c>
      <c r="F39" t="s">
        <v>415</v>
      </c>
      <c r="G39" t="s">
        <v>415</v>
      </c>
      <c r="H39" t="s">
        <v>366</v>
      </c>
      <c r="I39" t="s">
        <v>366</v>
      </c>
    </row>
    <row r="40" spans="1:9" x14ac:dyDescent="0.25">
      <c r="A40" t="s">
        <v>363</v>
      </c>
      <c r="B40" t="s">
        <v>377</v>
      </c>
      <c r="C40" t="s">
        <v>366</v>
      </c>
      <c r="D40" t="s">
        <v>366</v>
      </c>
      <c r="E40" t="s">
        <v>366</v>
      </c>
      <c r="F40" t="s">
        <v>379</v>
      </c>
      <c r="G40" t="s">
        <v>369</v>
      </c>
      <c r="H40" t="s">
        <v>368</v>
      </c>
      <c r="I40" t="s">
        <v>369</v>
      </c>
    </row>
    <row r="41" spans="1:9" x14ac:dyDescent="0.25">
      <c r="A41" t="s">
        <v>364</v>
      </c>
      <c r="B41" t="s">
        <v>288</v>
      </c>
      <c r="C41" t="s">
        <v>366</v>
      </c>
      <c r="D41" t="s">
        <v>366</v>
      </c>
      <c r="E41" t="s">
        <v>366</v>
      </c>
      <c r="F41" t="s">
        <v>366</v>
      </c>
      <c r="G41" t="s">
        <v>366</v>
      </c>
      <c r="H41" t="s">
        <v>367</v>
      </c>
      <c r="I41" t="s">
        <v>369</v>
      </c>
    </row>
    <row r="42" spans="1:9" x14ac:dyDescent="0.25">
      <c r="A42" t="s">
        <v>364</v>
      </c>
      <c r="B42" t="s">
        <v>360</v>
      </c>
      <c r="C42" t="s">
        <v>366</v>
      </c>
      <c r="D42" t="s">
        <v>366</v>
      </c>
      <c r="E42" t="s">
        <v>378</v>
      </c>
      <c r="F42" t="s">
        <v>366</v>
      </c>
      <c r="G42" t="s">
        <v>368</v>
      </c>
      <c r="H42" t="s">
        <v>378</v>
      </c>
      <c r="I42" t="s">
        <v>368</v>
      </c>
    </row>
    <row r="43" spans="1:9" x14ac:dyDescent="0.25">
      <c r="A43" t="s">
        <v>364</v>
      </c>
      <c r="B43" t="s">
        <v>377</v>
      </c>
      <c r="C43" t="s">
        <v>366</v>
      </c>
      <c r="D43" t="s">
        <v>369</v>
      </c>
      <c r="E43" t="s">
        <v>366</v>
      </c>
      <c r="F43" t="s">
        <v>379</v>
      </c>
      <c r="G43" t="s">
        <v>369</v>
      </c>
      <c r="H43" t="s">
        <v>368</v>
      </c>
      <c r="I43" t="s">
        <v>367</v>
      </c>
    </row>
    <row r="44" spans="1:9" x14ac:dyDescent="0.25">
      <c r="A44" t="s">
        <v>361</v>
      </c>
      <c r="B44" t="s">
        <v>288</v>
      </c>
      <c r="C44" t="s">
        <v>366</v>
      </c>
      <c r="D44" t="s">
        <v>366</v>
      </c>
      <c r="E44" t="s">
        <v>390</v>
      </c>
      <c r="F44" t="s">
        <v>366</v>
      </c>
      <c r="G44" t="s">
        <v>366</v>
      </c>
      <c r="H44" t="s">
        <v>366</v>
      </c>
      <c r="I44" t="s">
        <v>368</v>
      </c>
    </row>
    <row r="45" spans="1:9" x14ac:dyDescent="0.25">
      <c r="A45" t="s">
        <v>361</v>
      </c>
      <c r="B45" t="s">
        <v>360</v>
      </c>
      <c r="C45" t="s">
        <v>366</v>
      </c>
      <c r="D45" t="s">
        <v>366</v>
      </c>
      <c r="E45" t="s">
        <v>391</v>
      </c>
      <c r="F45" t="s">
        <v>366</v>
      </c>
      <c r="G45" t="s">
        <v>368</v>
      </c>
      <c r="H45" t="s">
        <v>487</v>
      </c>
      <c r="I45" t="s">
        <v>368</v>
      </c>
    </row>
    <row r="46" spans="1:9" x14ac:dyDescent="0.25">
      <c r="A46" t="s">
        <v>361</v>
      </c>
      <c r="B46" t="s">
        <v>377</v>
      </c>
      <c r="C46" t="s">
        <v>366</v>
      </c>
      <c r="D46" t="s">
        <v>367</v>
      </c>
      <c r="E46" t="s">
        <v>369</v>
      </c>
      <c r="F46" t="s">
        <v>379</v>
      </c>
      <c r="G46" t="s">
        <v>369</v>
      </c>
      <c r="H46" t="s">
        <v>368</v>
      </c>
      <c r="I46" t="s">
        <v>369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.75" x14ac:dyDescent="0.25"/>
  <cols>
    <col min="1" max="1" width="6.5" bestFit="1" customWidth="1"/>
    <col min="2" max="2" width="9.625" bestFit="1" customWidth="1"/>
    <col min="3" max="3" width="11.75" bestFit="1" customWidth="1"/>
  </cols>
  <sheetData>
    <row r="1" spans="1:3" x14ac:dyDescent="0.25">
      <c r="A1" s="30" t="s">
        <v>1664</v>
      </c>
      <c r="B1" s="125">
        <v>43229</v>
      </c>
      <c r="C1" s="125">
        <v>43230</v>
      </c>
    </row>
    <row r="2" spans="1:3" x14ac:dyDescent="0.25">
      <c r="A2" s="142" t="s">
        <v>1665</v>
      </c>
      <c r="B2" t="s">
        <v>366</v>
      </c>
      <c r="C2" t="s">
        <v>1333</v>
      </c>
    </row>
    <row r="3" spans="1:3" x14ac:dyDescent="0.25">
      <c r="A3" s="142" t="s">
        <v>1666</v>
      </c>
      <c r="B3" t="s">
        <v>1322</v>
      </c>
      <c r="C3" t="s">
        <v>369</v>
      </c>
    </row>
    <row r="4" spans="1:3" x14ac:dyDescent="0.25">
      <c r="A4" s="142" t="s">
        <v>1667</v>
      </c>
      <c r="B4" t="s">
        <v>366</v>
      </c>
      <c r="C4" t="s">
        <v>366</v>
      </c>
    </row>
    <row r="5" spans="1:3" x14ac:dyDescent="0.25">
      <c r="A5" s="142" t="s">
        <v>1668</v>
      </c>
      <c r="B5" t="s">
        <v>1326</v>
      </c>
      <c r="C5" t="s">
        <v>366</v>
      </c>
    </row>
    <row r="6" spans="1:3" x14ac:dyDescent="0.25">
      <c r="A6" s="142" t="s">
        <v>1669</v>
      </c>
      <c r="B6" t="s">
        <v>366</v>
      </c>
      <c r="C6" t="s">
        <v>1746</v>
      </c>
    </row>
    <row r="7" spans="1:3" x14ac:dyDescent="0.25">
      <c r="A7" s="142" t="s">
        <v>1670</v>
      </c>
      <c r="B7" t="s">
        <v>366</v>
      </c>
      <c r="C7" t="s">
        <v>366</v>
      </c>
    </row>
    <row r="8" spans="1:3" x14ac:dyDescent="0.25">
      <c r="A8" s="142" t="s">
        <v>1672</v>
      </c>
      <c r="B8" t="s">
        <v>366</v>
      </c>
      <c r="C8" t="s">
        <v>366</v>
      </c>
    </row>
    <row r="9" spans="1:3" x14ac:dyDescent="0.25">
      <c r="A9" s="142" t="s">
        <v>1673</v>
      </c>
      <c r="B9" t="s">
        <v>366</v>
      </c>
      <c r="C9" t="s">
        <v>366</v>
      </c>
    </row>
    <row r="10" spans="1:3" x14ac:dyDescent="0.25">
      <c r="A10" s="142" t="s">
        <v>1701</v>
      </c>
      <c r="B10" t="s">
        <v>366</v>
      </c>
      <c r="C10" t="s">
        <v>366</v>
      </c>
    </row>
    <row r="11" spans="1:3" x14ac:dyDescent="0.25">
      <c r="A11" s="142" t="s">
        <v>1702</v>
      </c>
      <c r="B11" t="s">
        <v>366</v>
      </c>
      <c r="C11" t="s">
        <v>366</v>
      </c>
    </row>
    <row r="12" spans="1:3" x14ac:dyDescent="0.25">
      <c r="A12" s="142" t="s">
        <v>1674</v>
      </c>
      <c r="B12" t="s">
        <v>366</v>
      </c>
      <c r="C12" t="s">
        <v>366</v>
      </c>
    </row>
    <row r="13" spans="1:3" x14ac:dyDescent="0.25">
      <c r="A13" s="142" t="s">
        <v>1675</v>
      </c>
      <c r="B13" t="s">
        <v>368</v>
      </c>
      <c r="C13" t="s">
        <v>366</v>
      </c>
    </row>
    <row r="14" spans="1:3" x14ac:dyDescent="0.25">
      <c r="A14" s="142" t="s">
        <v>1676</v>
      </c>
      <c r="B14" t="s">
        <v>368</v>
      </c>
      <c r="C14" t="s">
        <v>366</v>
      </c>
    </row>
    <row r="15" spans="1:3" x14ac:dyDescent="0.25">
      <c r="A15" s="142" t="s">
        <v>1677</v>
      </c>
      <c r="B15" t="s">
        <v>368</v>
      </c>
      <c r="C15" t="s">
        <v>366</v>
      </c>
    </row>
    <row r="16" spans="1:3" x14ac:dyDescent="0.25">
      <c r="A16" s="142" t="s">
        <v>1678</v>
      </c>
      <c r="B16" t="s">
        <v>366</v>
      </c>
      <c r="C16" t="s">
        <v>366</v>
      </c>
    </row>
    <row r="17" spans="1:3" x14ac:dyDescent="0.25">
      <c r="A17" s="142" t="s">
        <v>1680</v>
      </c>
      <c r="B17" t="s">
        <v>366</v>
      </c>
      <c r="C17" t="s">
        <v>366</v>
      </c>
    </row>
    <row r="18" spans="1:3" x14ac:dyDescent="0.25">
      <c r="A18" s="142" t="s">
        <v>1681</v>
      </c>
      <c r="B18" t="s">
        <v>1324</v>
      </c>
      <c r="C18" t="s">
        <v>366</v>
      </c>
    </row>
    <row r="19" spans="1:3" x14ac:dyDescent="0.25">
      <c r="A19" s="142" t="s">
        <v>1682</v>
      </c>
      <c r="B19" t="s">
        <v>367</v>
      </c>
      <c r="C19" t="s">
        <v>366</v>
      </c>
    </row>
    <row r="20" spans="1:3" x14ac:dyDescent="0.25">
      <c r="A20" s="142" t="s">
        <v>1683</v>
      </c>
      <c r="B20" t="s">
        <v>366</v>
      </c>
      <c r="C20" t="s">
        <v>366</v>
      </c>
    </row>
    <row r="21" spans="1:3" x14ac:dyDescent="0.25">
      <c r="A21" s="142" t="s">
        <v>1684</v>
      </c>
      <c r="B21" t="s">
        <v>366</v>
      </c>
      <c r="C21" t="s">
        <v>366</v>
      </c>
    </row>
    <row r="22" spans="1:3" x14ac:dyDescent="0.25">
      <c r="A22" s="142" t="s">
        <v>1689</v>
      </c>
      <c r="B22" t="s">
        <v>772</v>
      </c>
      <c r="C22" t="s">
        <v>366</v>
      </c>
    </row>
    <row r="23" spans="1:3" x14ac:dyDescent="0.25">
      <c r="A23" s="142" t="s">
        <v>1690</v>
      </c>
      <c r="B23" t="s">
        <v>772</v>
      </c>
      <c r="C23" t="s">
        <v>366</v>
      </c>
    </row>
    <row r="24" spans="1:3" x14ac:dyDescent="0.25">
      <c r="A24" s="142" t="s">
        <v>1691</v>
      </c>
      <c r="B24" t="s">
        <v>772</v>
      </c>
      <c r="C24" t="s">
        <v>366</v>
      </c>
    </row>
    <row r="25" spans="1:3" x14ac:dyDescent="0.25">
      <c r="A25" s="142" t="s">
        <v>1692</v>
      </c>
      <c r="B25" t="s">
        <v>772</v>
      </c>
      <c r="C25" t="s">
        <v>366</v>
      </c>
    </row>
    <row r="26" spans="1:3" x14ac:dyDescent="0.25">
      <c r="A26" s="142" t="s">
        <v>1693</v>
      </c>
      <c r="B26" t="s">
        <v>772</v>
      </c>
      <c r="C26" t="s">
        <v>366</v>
      </c>
    </row>
    <row r="27" spans="1:3" x14ac:dyDescent="0.25">
      <c r="A27" s="142" t="s">
        <v>1694</v>
      </c>
      <c r="B27" t="s">
        <v>772</v>
      </c>
      <c r="C27" t="s">
        <v>368</v>
      </c>
    </row>
    <row r="28" spans="1:3" x14ac:dyDescent="0.25">
      <c r="A28" s="142" t="s">
        <v>1695</v>
      </c>
      <c r="B28" t="s">
        <v>772</v>
      </c>
      <c r="C28" t="s">
        <v>366</v>
      </c>
    </row>
    <row r="29" spans="1:3" x14ac:dyDescent="0.25">
      <c r="A29" s="142" t="s">
        <v>1696</v>
      </c>
      <c r="B29" t="s">
        <v>772</v>
      </c>
      <c r="C29" t="s">
        <v>366</v>
      </c>
    </row>
    <row r="30" spans="1:3" x14ac:dyDescent="0.25">
      <c r="A30" s="142" t="s">
        <v>1697</v>
      </c>
      <c r="B30" t="s">
        <v>772</v>
      </c>
      <c r="C30" t="s">
        <v>368</v>
      </c>
    </row>
    <row r="31" spans="1:3" x14ac:dyDescent="0.25">
      <c r="A31" s="142" t="s">
        <v>1698</v>
      </c>
      <c r="B31" t="s">
        <v>772</v>
      </c>
      <c r="C31" t="s">
        <v>366</v>
      </c>
    </row>
    <row r="32" spans="1:3" x14ac:dyDescent="0.25">
      <c r="A32" s="142" t="s">
        <v>1716</v>
      </c>
      <c r="B32" t="s">
        <v>772</v>
      </c>
      <c r="C32" t="s">
        <v>366</v>
      </c>
    </row>
    <row r="33" spans="1:3" x14ac:dyDescent="0.25">
      <c r="A33" s="142" t="s">
        <v>1717</v>
      </c>
      <c r="B33" t="s">
        <v>772</v>
      </c>
      <c r="C33" t="s">
        <v>366</v>
      </c>
    </row>
    <row r="34" spans="1:3" x14ac:dyDescent="0.25">
      <c r="A34" s="142" t="s">
        <v>1718</v>
      </c>
      <c r="B34" t="s">
        <v>772</v>
      </c>
      <c r="C34" t="s">
        <v>366</v>
      </c>
    </row>
    <row r="35" spans="1:3" x14ac:dyDescent="0.25">
      <c r="A35" s="142" t="s">
        <v>1719</v>
      </c>
      <c r="B35" t="s">
        <v>772</v>
      </c>
      <c r="C35" t="s">
        <v>367</v>
      </c>
    </row>
    <row r="36" spans="1:3" x14ac:dyDescent="0.25">
      <c r="A36" s="142" t="s">
        <v>1720</v>
      </c>
      <c r="B36" t="s">
        <v>772</v>
      </c>
      <c r="C36" t="s">
        <v>366</v>
      </c>
    </row>
    <row r="37" spans="1:3" x14ac:dyDescent="0.25">
      <c r="A37" s="142" t="s">
        <v>1721</v>
      </c>
      <c r="B37" t="s">
        <v>772</v>
      </c>
      <c r="C37" t="s">
        <v>366</v>
      </c>
    </row>
    <row r="38" spans="1:3" x14ac:dyDescent="0.25">
      <c r="A38" s="142" t="s">
        <v>1722</v>
      </c>
      <c r="B38" t="s">
        <v>772</v>
      </c>
      <c r="C38" t="s">
        <v>366</v>
      </c>
    </row>
    <row r="39" spans="1:3" x14ac:dyDescent="0.25">
      <c r="A39" s="142" t="s">
        <v>1747</v>
      </c>
      <c r="B39" t="s">
        <v>772</v>
      </c>
      <c r="C39" t="s">
        <v>368</v>
      </c>
    </row>
    <row r="40" spans="1:3" x14ac:dyDescent="0.25">
      <c r="A40" s="142" t="s">
        <v>1748</v>
      </c>
      <c r="B40" t="s">
        <v>772</v>
      </c>
      <c r="C40" t="s">
        <v>366</v>
      </c>
    </row>
    <row r="41" spans="1:3" x14ac:dyDescent="0.25">
      <c r="A41" s="142" t="s">
        <v>1749</v>
      </c>
      <c r="B41" t="s">
        <v>772</v>
      </c>
      <c r="C41" t="s">
        <v>366</v>
      </c>
    </row>
    <row r="42" spans="1:3" x14ac:dyDescent="0.25">
      <c r="A42" s="142" t="s">
        <v>1723</v>
      </c>
      <c r="B42" t="s">
        <v>772</v>
      </c>
      <c r="C42" t="s">
        <v>366</v>
      </c>
    </row>
    <row r="43" spans="1:3" x14ac:dyDescent="0.25">
      <c r="A43" s="142" t="s">
        <v>1724</v>
      </c>
      <c r="B43" t="s">
        <v>772</v>
      </c>
      <c r="C43" t="s">
        <v>366</v>
      </c>
    </row>
    <row r="44" spans="1:3" x14ac:dyDescent="0.25">
      <c r="A44" s="142" t="s">
        <v>1725</v>
      </c>
      <c r="B44" t="s">
        <v>772</v>
      </c>
      <c r="C44" t="s">
        <v>366</v>
      </c>
    </row>
    <row r="45" spans="1:3" x14ac:dyDescent="0.25">
      <c r="A45" s="142" t="s">
        <v>1726</v>
      </c>
      <c r="B45" t="s">
        <v>772</v>
      </c>
      <c r="C45" t="s">
        <v>366</v>
      </c>
    </row>
    <row r="46" spans="1:3" x14ac:dyDescent="0.25">
      <c r="A46" s="142" t="s">
        <v>1727</v>
      </c>
      <c r="B46" t="s">
        <v>772</v>
      </c>
      <c r="C46" s="255" t="s">
        <v>1335</v>
      </c>
    </row>
    <row r="47" spans="1:3" x14ac:dyDescent="0.25">
      <c r="A47" s="142" t="s">
        <v>1728</v>
      </c>
      <c r="B47" t="s">
        <v>772</v>
      </c>
      <c r="C47" t="s">
        <v>366</v>
      </c>
    </row>
    <row r="48" spans="1:3" x14ac:dyDescent="0.25">
      <c r="A48" s="142" t="s">
        <v>1729</v>
      </c>
      <c r="B48" t="s">
        <v>772</v>
      </c>
      <c r="C48" t="s">
        <v>366</v>
      </c>
    </row>
    <row r="49" spans="1:3" x14ac:dyDescent="0.25">
      <c r="A49" s="142" t="s">
        <v>1730</v>
      </c>
      <c r="B49" t="s">
        <v>772</v>
      </c>
      <c r="C49" t="s">
        <v>366</v>
      </c>
    </row>
    <row r="50" spans="1:3" x14ac:dyDescent="0.25">
      <c r="A50" s="142" t="s">
        <v>1731</v>
      </c>
      <c r="B50" t="s">
        <v>772</v>
      </c>
      <c r="C50" t="s">
        <v>366</v>
      </c>
    </row>
    <row r="51" spans="1:3" x14ac:dyDescent="0.25">
      <c r="A51" s="142" t="s">
        <v>1732</v>
      </c>
      <c r="B51" t="s">
        <v>772</v>
      </c>
      <c r="C51" t="s">
        <v>366</v>
      </c>
    </row>
    <row r="52" spans="1:3" x14ac:dyDescent="0.25">
      <c r="A52" s="142" t="s">
        <v>1750</v>
      </c>
      <c r="B52" t="s">
        <v>772</v>
      </c>
      <c r="C52" t="s">
        <v>366</v>
      </c>
    </row>
    <row r="53" spans="1:3" x14ac:dyDescent="0.25">
      <c r="A53" s="142" t="s">
        <v>1751</v>
      </c>
      <c r="B53" t="s">
        <v>772</v>
      </c>
      <c r="C53" t="s">
        <v>366</v>
      </c>
    </row>
    <row r="54" spans="1:3" x14ac:dyDescent="0.25">
      <c r="A54" s="142" t="s">
        <v>1752</v>
      </c>
      <c r="B54" t="s">
        <v>772</v>
      </c>
      <c r="C54" t="s">
        <v>368</v>
      </c>
    </row>
    <row r="55" spans="1:3" x14ac:dyDescent="0.25">
      <c r="A55" s="142" t="s">
        <v>1753</v>
      </c>
      <c r="B55" t="s">
        <v>772</v>
      </c>
      <c r="C55" t="s">
        <v>366</v>
      </c>
    </row>
    <row r="56" spans="1:3" x14ac:dyDescent="0.25">
      <c r="A56" s="142" t="s">
        <v>1754</v>
      </c>
      <c r="B56" t="s">
        <v>772</v>
      </c>
      <c r="C56" t="s">
        <v>366</v>
      </c>
    </row>
    <row r="57" spans="1:3" x14ac:dyDescent="0.25">
      <c r="A57" s="142" t="s">
        <v>1755</v>
      </c>
      <c r="B57" t="s">
        <v>772</v>
      </c>
      <c r="C57" t="s">
        <v>1337</v>
      </c>
    </row>
    <row r="58" spans="1:3" x14ac:dyDescent="0.25">
      <c r="A58" s="142" t="s">
        <v>1756</v>
      </c>
      <c r="B58" t="s">
        <v>772</v>
      </c>
      <c r="C58" s="260" t="s">
        <v>1339</v>
      </c>
    </row>
    <row r="59" spans="1:3" x14ac:dyDescent="0.25">
      <c r="A59" s="142" t="s">
        <v>1757</v>
      </c>
      <c r="B59" t="s">
        <v>772</v>
      </c>
      <c r="C59" t="s">
        <v>366</v>
      </c>
    </row>
    <row r="60" spans="1:3" x14ac:dyDescent="0.25">
      <c r="A60" s="142" t="s">
        <v>1758</v>
      </c>
      <c r="B60" t="s">
        <v>772</v>
      </c>
      <c r="C60" t="s">
        <v>366</v>
      </c>
    </row>
    <row r="61" spans="1:3" x14ac:dyDescent="0.25">
      <c r="A61" s="142" t="s">
        <v>1759</v>
      </c>
      <c r="B61" t="s">
        <v>772</v>
      </c>
      <c r="C61" t="s">
        <v>366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workbookViewId="0">
      <selection activeCell="K61" sqref="K61"/>
    </sheetView>
  </sheetViews>
  <sheetFormatPr defaultRowHeight="15.75" x14ac:dyDescent="0.25"/>
  <cols>
    <col min="2" max="5" width="11"/>
    <col min="6" max="11" width="10.375" bestFit="1" customWidth="1"/>
  </cols>
  <sheetData>
    <row r="1" spans="1:11" x14ac:dyDescent="0.25">
      <c r="A1" s="142" t="s">
        <v>801</v>
      </c>
      <c r="B1" s="125">
        <v>43227</v>
      </c>
      <c r="C1" s="125">
        <v>43228</v>
      </c>
      <c r="D1" s="125">
        <v>43236</v>
      </c>
      <c r="E1" s="125">
        <v>43237</v>
      </c>
      <c r="F1" s="125">
        <v>43664</v>
      </c>
      <c r="G1" s="125">
        <v>43669</v>
      </c>
      <c r="H1" s="125">
        <v>43671</v>
      </c>
      <c r="I1" s="125">
        <v>43672</v>
      </c>
      <c r="J1" s="125">
        <v>43673</v>
      </c>
      <c r="K1" s="125">
        <v>43674</v>
      </c>
    </row>
    <row r="2" spans="1:11" x14ac:dyDescent="0.25">
      <c r="A2" s="30" t="s">
        <v>348</v>
      </c>
      <c r="B2" s="144" t="s">
        <v>367</v>
      </c>
      <c r="C2" s="144" t="s">
        <v>366</v>
      </c>
      <c r="D2" t="s">
        <v>772</v>
      </c>
      <c r="E2" t="s">
        <v>772</v>
      </c>
      <c r="F2" t="s">
        <v>772</v>
      </c>
      <c r="G2" t="s">
        <v>772</v>
      </c>
      <c r="H2" t="s">
        <v>772</v>
      </c>
      <c r="I2" t="s">
        <v>367</v>
      </c>
      <c r="J2" t="s">
        <v>368</v>
      </c>
      <c r="K2" t="s">
        <v>1885</v>
      </c>
    </row>
    <row r="3" spans="1:11" x14ac:dyDescent="0.25">
      <c r="A3" s="30" t="s">
        <v>349</v>
      </c>
      <c r="B3" s="144" t="s">
        <v>366</v>
      </c>
      <c r="C3" s="144" t="s">
        <v>367</v>
      </c>
      <c r="D3" t="s">
        <v>772</v>
      </c>
      <c r="E3" t="s">
        <v>772</v>
      </c>
      <c r="F3" t="s">
        <v>772</v>
      </c>
      <c r="G3" t="s">
        <v>772</v>
      </c>
      <c r="H3" t="s">
        <v>772</v>
      </c>
      <c r="I3" t="s">
        <v>366</v>
      </c>
      <c r="J3" t="s">
        <v>366</v>
      </c>
      <c r="K3" t="s">
        <v>366</v>
      </c>
    </row>
    <row r="4" spans="1:11" x14ac:dyDescent="0.25">
      <c r="A4" s="30" t="s">
        <v>350</v>
      </c>
      <c r="B4" s="144" t="s">
        <v>368</v>
      </c>
      <c r="C4" s="144" t="s">
        <v>366</v>
      </c>
      <c r="D4" t="s">
        <v>772</v>
      </c>
      <c r="E4" t="s">
        <v>772</v>
      </c>
      <c r="F4" t="s">
        <v>772</v>
      </c>
      <c r="G4" t="s">
        <v>772</v>
      </c>
      <c r="H4" t="s">
        <v>772</v>
      </c>
      <c r="I4" t="s">
        <v>367</v>
      </c>
      <c r="J4" t="s">
        <v>366</v>
      </c>
      <c r="K4" t="s">
        <v>1884</v>
      </c>
    </row>
    <row r="5" spans="1:11" x14ac:dyDescent="0.25">
      <c r="A5" s="30" t="s">
        <v>351</v>
      </c>
      <c r="B5" s="144" t="s">
        <v>366</v>
      </c>
      <c r="C5" s="144" t="s">
        <v>366</v>
      </c>
      <c r="D5" t="s">
        <v>772</v>
      </c>
      <c r="E5" t="s">
        <v>772</v>
      </c>
      <c r="F5" t="s">
        <v>772</v>
      </c>
      <c r="G5" t="s">
        <v>772</v>
      </c>
      <c r="H5" t="s">
        <v>772</v>
      </c>
      <c r="I5" t="s">
        <v>1875</v>
      </c>
      <c r="J5" t="s">
        <v>366</v>
      </c>
      <c r="K5" t="s">
        <v>366</v>
      </c>
    </row>
    <row r="6" spans="1:11" x14ac:dyDescent="0.25">
      <c r="A6" s="30" t="s">
        <v>352</v>
      </c>
      <c r="B6" s="144" t="s">
        <v>366</v>
      </c>
      <c r="C6" s="144" t="s">
        <v>366</v>
      </c>
      <c r="D6" t="s">
        <v>772</v>
      </c>
      <c r="E6" t="s">
        <v>772</v>
      </c>
      <c r="F6" t="s">
        <v>772</v>
      </c>
      <c r="G6" t="s">
        <v>772</v>
      </c>
      <c r="H6" t="s">
        <v>772</v>
      </c>
      <c r="I6" t="s">
        <v>366</v>
      </c>
      <c r="J6" t="s">
        <v>366</v>
      </c>
      <c r="K6" t="s">
        <v>366</v>
      </c>
    </row>
    <row r="7" spans="1:11" x14ac:dyDescent="0.25">
      <c r="A7" s="30" t="s">
        <v>417</v>
      </c>
      <c r="B7" s="144" t="s">
        <v>366</v>
      </c>
      <c r="C7" t="s">
        <v>1297</v>
      </c>
      <c r="D7" t="s">
        <v>772</v>
      </c>
      <c r="E7" t="s">
        <v>772</v>
      </c>
      <c r="F7" t="s">
        <v>772</v>
      </c>
      <c r="G7" t="s">
        <v>772</v>
      </c>
      <c r="H7" t="s">
        <v>772</v>
      </c>
      <c r="I7" t="s">
        <v>366</v>
      </c>
      <c r="J7" t="s">
        <v>366</v>
      </c>
      <c r="K7" t="s">
        <v>1883</v>
      </c>
    </row>
    <row r="8" spans="1:11" x14ac:dyDescent="0.25">
      <c r="A8" s="30" t="s">
        <v>418</v>
      </c>
      <c r="B8" s="144" t="s">
        <v>368</v>
      </c>
      <c r="C8" s="144" t="s">
        <v>366</v>
      </c>
      <c r="D8" t="s">
        <v>772</v>
      </c>
      <c r="E8" t="s">
        <v>772</v>
      </c>
      <c r="F8" t="s">
        <v>772</v>
      </c>
      <c r="G8" t="s">
        <v>772</v>
      </c>
      <c r="H8" t="s">
        <v>772</v>
      </c>
      <c r="I8" t="s">
        <v>366</v>
      </c>
      <c r="J8" t="s">
        <v>366</v>
      </c>
      <c r="K8" t="s">
        <v>366</v>
      </c>
    </row>
    <row r="9" spans="1:11" x14ac:dyDescent="0.25">
      <c r="A9" s="30" t="s">
        <v>419</v>
      </c>
      <c r="B9" s="144" t="s">
        <v>368</v>
      </c>
      <c r="C9" s="144" t="s">
        <v>366</v>
      </c>
      <c r="D9" t="s">
        <v>772</v>
      </c>
      <c r="E9" t="s">
        <v>772</v>
      </c>
      <c r="F9" t="s">
        <v>772</v>
      </c>
      <c r="G9" t="s">
        <v>772</v>
      </c>
      <c r="H9" t="s">
        <v>772</v>
      </c>
      <c r="I9" t="s">
        <v>366</v>
      </c>
      <c r="J9" t="s">
        <v>366</v>
      </c>
      <c r="K9" t="s">
        <v>366</v>
      </c>
    </row>
    <row r="10" spans="1:11" x14ac:dyDescent="0.25">
      <c r="A10" s="30" t="s">
        <v>420</v>
      </c>
      <c r="B10" s="144" t="s">
        <v>368</v>
      </c>
      <c r="C10" s="144" t="s">
        <v>368</v>
      </c>
      <c r="D10" t="s">
        <v>772</v>
      </c>
      <c r="E10" t="s">
        <v>772</v>
      </c>
      <c r="F10" t="s">
        <v>772</v>
      </c>
      <c r="G10" t="s">
        <v>772</v>
      </c>
      <c r="H10" t="s">
        <v>772</v>
      </c>
      <c r="I10" t="s">
        <v>369</v>
      </c>
      <c r="J10" t="s">
        <v>1877</v>
      </c>
      <c r="K10" t="s">
        <v>366</v>
      </c>
    </row>
    <row r="11" spans="1:11" x14ac:dyDescent="0.25">
      <c r="A11" s="30" t="s">
        <v>421</v>
      </c>
      <c r="B11" s="144" t="s">
        <v>366</v>
      </c>
      <c r="C11" s="144" t="s">
        <v>366</v>
      </c>
      <c r="D11" t="s">
        <v>772</v>
      </c>
      <c r="E11" t="s">
        <v>772</v>
      </c>
      <c r="F11" t="s">
        <v>772</v>
      </c>
      <c r="G11" t="s">
        <v>772</v>
      </c>
      <c r="H11" t="s">
        <v>772</v>
      </c>
      <c r="I11" t="s">
        <v>1852</v>
      </c>
      <c r="J11" t="s">
        <v>367</v>
      </c>
      <c r="K11" t="s">
        <v>368</v>
      </c>
    </row>
    <row r="12" spans="1:11" x14ac:dyDescent="0.25">
      <c r="A12" s="30" t="s">
        <v>353</v>
      </c>
      <c r="B12" s="144" t="s">
        <v>366</v>
      </c>
      <c r="C12" s="144" t="s">
        <v>366</v>
      </c>
      <c r="D12" t="s">
        <v>772</v>
      </c>
      <c r="E12" t="s">
        <v>772</v>
      </c>
      <c r="F12" t="s">
        <v>1653</v>
      </c>
      <c r="G12" t="s">
        <v>1797</v>
      </c>
      <c r="H12" t="s">
        <v>369</v>
      </c>
      <c r="I12" t="s">
        <v>366</v>
      </c>
      <c r="J12" t="s">
        <v>367</v>
      </c>
      <c r="K12" t="s">
        <v>367</v>
      </c>
    </row>
    <row r="13" spans="1:11" x14ac:dyDescent="0.25">
      <c r="A13" s="30" t="s">
        <v>354</v>
      </c>
      <c r="B13" s="144" t="s">
        <v>366</v>
      </c>
      <c r="C13" s="144" t="s">
        <v>366</v>
      </c>
      <c r="D13" t="s">
        <v>772</v>
      </c>
      <c r="E13" t="s">
        <v>772</v>
      </c>
      <c r="F13" t="s">
        <v>366</v>
      </c>
      <c r="G13" t="s">
        <v>1651</v>
      </c>
      <c r="H13" t="s">
        <v>368</v>
      </c>
      <c r="I13" t="s">
        <v>1876</v>
      </c>
      <c r="J13" t="s">
        <v>366</v>
      </c>
      <c r="K13" t="s">
        <v>1653</v>
      </c>
    </row>
    <row r="14" spans="1:11" x14ac:dyDescent="0.25">
      <c r="A14" s="30" t="s">
        <v>355</v>
      </c>
      <c r="B14" s="144" t="s">
        <v>369</v>
      </c>
      <c r="C14" s="144" t="s">
        <v>366</v>
      </c>
      <c r="D14" t="s">
        <v>772</v>
      </c>
      <c r="E14" t="s">
        <v>772</v>
      </c>
      <c r="F14" t="s">
        <v>1651</v>
      </c>
      <c r="G14" t="s">
        <v>367</v>
      </c>
      <c r="H14" t="s">
        <v>368</v>
      </c>
      <c r="I14" t="s">
        <v>368</v>
      </c>
      <c r="J14" t="s">
        <v>1876</v>
      </c>
      <c r="K14" t="s">
        <v>366</v>
      </c>
    </row>
    <row r="15" spans="1:11" x14ac:dyDescent="0.25">
      <c r="A15" s="30" t="s">
        <v>356</v>
      </c>
      <c r="B15" s="144" t="s">
        <v>366</v>
      </c>
      <c r="C15" s="144" t="s">
        <v>366</v>
      </c>
      <c r="D15" t="s">
        <v>772</v>
      </c>
      <c r="E15" t="s">
        <v>772</v>
      </c>
      <c r="F15" t="s">
        <v>366</v>
      </c>
      <c r="G15" t="s">
        <v>830</v>
      </c>
      <c r="H15" t="s">
        <v>367</v>
      </c>
      <c r="I15" t="s">
        <v>1876</v>
      </c>
      <c r="J15" t="s">
        <v>1876</v>
      </c>
      <c r="K15" t="s">
        <v>366</v>
      </c>
    </row>
    <row r="16" spans="1:11" x14ac:dyDescent="0.25">
      <c r="A16" s="30" t="s">
        <v>357</v>
      </c>
      <c r="B16" s="144" t="s">
        <v>366</v>
      </c>
      <c r="C16" s="144" t="s">
        <v>368</v>
      </c>
      <c r="D16" t="s">
        <v>772</v>
      </c>
      <c r="E16" t="s">
        <v>772</v>
      </c>
      <c r="F16" t="s">
        <v>366</v>
      </c>
      <c r="G16" t="s">
        <v>830</v>
      </c>
      <c r="H16" t="s">
        <v>1871</v>
      </c>
      <c r="I16" t="s">
        <v>366</v>
      </c>
      <c r="J16" t="s">
        <v>1651</v>
      </c>
      <c r="K16" t="s">
        <v>366</v>
      </c>
    </row>
    <row r="17" spans="1:11" x14ac:dyDescent="0.25">
      <c r="A17" s="30" t="s">
        <v>427</v>
      </c>
      <c r="B17" s="144" t="s">
        <v>366</v>
      </c>
      <c r="C17" s="144" t="s">
        <v>366</v>
      </c>
      <c r="D17" t="s">
        <v>772</v>
      </c>
      <c r="E17" t="s">
        <v>772</v>
      </c>
      <c r="F17" t="s">
        <v>378</v>
      </c>
      <c r="G17" t="s">
        <v>368</v>
      </c>
      <c r="H17" t="s">
        <v>366</v>
      </c>
      <c r="I17" t="s">
        <v>1876</v>
      </c>
      <c r="J17" t="s">
        <v>1878</v>
      </c>
      <c r="K17" t="s">
        <v>1651</v>
      </c>
    </row>
    <row r="18" spans="1:11" x14ac:dyDescent="0.25">
      <c r="A18" s="30" t="s">
        <v>428</v>
      </c>
      <c r="B18" s="144" t="s">
        <v>366</v>
      </c>
      <c r="C18" s="144" t="s">
        <v>366</v>
      </c>
      <c r="D18" t="s">
        <v>772</v>
      </c>
      <c r="E18" t="s">
        <v>772</v>
      </c>
      <c r="F18" t="s">
        <v>366</v>
      </c>
      <c r="G18" t="s">
        <v>830</v>
      </c>
      <c r="H18" t="s">
        <v>366</v>
      </c>
      <c r="I18" t="s">
        <v>1876</v>
      </c>
      <c r="J18" t="s">
        <v>366</v>
      </c>
      <c r="K18" t="s">
        <v>1877</v>
      </c>
    </row>
    <row r="19" spans="1:11" x14ac:dyDescent="0.25">
      <c r="A19" s="30" t="s">
        <v>429</v>
      </c>
      <c r="B19" s="144" t="s">
        <v>366</v>
      </c>
      <c r="C19" s="144" t="s">
        <v>366</v>
      </c>
      <c r="D19" t="s">
        <v>772</v>
      </c>
      <c r="E19" t="s">
        <v>772</v>
      </c>
      <c r="F19" t="s">
        <v>366</v>
      </c>
      <c r="G19" t="s">
        <v>366</v>
      </c>
      <c r="H19" t="s">
        <v>830</v>
      </c>
      <c r="I19" t="s">
        <v>366</v>
      </c>
      <c r="J19" t="s">
        <v>366</v>
      </c>
      <c r="K19" t="s">
        <v>366</v>
      </c>
    </row>
    <row r="20" spans="1:11" x14ac:dyDescent="0.25">
      <c r="A20" s="30" t="s">
        <v>430</v>
      </c>
      <c r="B20" s="144" t="s">
        <v>366</v>
      </c>
      <c r="C20" s="144" t="s">
        <v>366</v>
      </c>
      <c r="D20" t="s">
        <v>772</v>
      </c>
      <c r="E20" t="s">
        <v>772</v>
      </c>
      <c r="F20" t="s">
        <v>1294</v>
      </c>
      <c r="G20" t="s">
        <v>366</v>
      </c>
      <c r="H20" t="s">
        <v>772</v>
      </c>
      <c r="I20" t="s">
        <v>1876</v>
      </c>
      <c r="J20" t="s">
        <v>366</v>
      </c>
      <c r="K20" t="s">
        <v>366</v>
      </c>
    </row>
    <row r="21" spans="1:11" x14ac:dyDescent="0.25">
      <c r="A21" s="30" t="s">
        <v>431</v>
      </c>
      <c r="B21" s="144" t="s">
        <v>368</v>
      </c>
      <c r="C21" t="s">
        <v>1294</v>
      </c>
      <c r="D21" t="s">
        <v>772</v>
      </c>
      <c r="E21" t="s">
        <v>772</v>
      </c>
      <c r="F21" t="s">
        <v>366</v>
      </c>
      <c r="G21" t="s">
        <v>366</v>
      </c>
      <c r="H21" t="s">
        <v>772</v>
      </c>
      <c r="I21" t="s">
        <v>1294</v>
      </c>
      <c r="J21" t="s">
        <v>368</v>
      </c>
      <c r="K21" t="s">
        <v>369</v>
      </c>
    </row>
    <row r="22" spans="1:11" x14ac:dyDescent="0.25">
      <c r="A22" s="30" t="s">
        <v>358</v>
      </c>
      <c r="B22" s="144" t="s">
        <v>772</v>
      </c>
      <c r="C22" s="144" t="s">
        <v>366</v>
      </c>
      <c r="D22" t="s">
        <v>772</v>
      </c>
      <c r="E22" t="s">
        <v>772</v>
      </c>
      <c r="F22" t="s">
        <v>366</v>
      </c>
      <c r="G22" t="s">
        <v>772</v>
      </c>
      <c r="H22" t="s">
        <v>772</v>
      </c>
      <c r="I22" t="s">
        <v>368</v>
      </c>
      <c r="J22" t="s">
        <v>366</v>
      </c>
      <c r="K22" t="s">
        <v>366</v>
      </c>
    </row>
    <row r="23" spans="1:11" x14ac:dyDescent="0.25">
      <c r="A23" s="30" t="s">
        <v>362</v>
      </c>
      <c r="B23" s="144" t="s">
        <v>772</v>
      </c>
      <c r="C23" s="144" t="s">
        <v>366</v>
      </c>
      <c r="D23" t="s">
        <v>772</v>
      </c>
      <c r="E23" t="s">
        <v>772</v>
      </c>
      <c r="F23" t="s">
        <v>366</v>
      </c>
      <c r="G23" t="s">
        <v>772</v>
      </c>
      <c r="H23" t="s">
        <v>772</v>
      </c>
      <c r="I23" t="s">
        <v>366</v>
      </c>
      <c r="J23" t="s">
        <v>368</v>
      </c>
      <c r="K23" t="s">
        <v>366</v>
      </c>
    </row>
    <row r="24" spans="1:11" x14ac:dyDescent="0.25">
      <c r="A24" s="30" t="s">
        <v>363</v>
      </c>
      <c r="B24" s="144" t="s">
        <v>772</v>
      </c>
      <c r="C24" s="144" t="s">
        <v>366</v>
      </c>
      <c r="D24" t="s">
        <v>772</v>
      </c>
      <c r="E24" t="s">
        <v>772</v>
      </c>
      <c r="F24" t="s">
        <v>366</v>
      </c>
      <c r="G24" t="s">
        <v>772</v>
      </c>
      <c r="H24" t="s">
        <v>772</v>
      </c>
      <c r="I24" t="s">
        <v>958</v>
      </c>
      <c r="J24" t="s">
        <v>366</v>
      </c>
      <c r="K24" t="s">
        <v>366</v>
      </c>
    </row>
    <row r="25" spans="1:11" x14ac:dyDescent="0.25">
      <c r="A25" s="30" t="s">
        <v>364</v>
      </c>
      <c r="B25" s="144" t="s">
        <v>772</v>
      </c>
      <c r="C25" s="144" t="s">
        <v>366</v>
      </c>
      <c r="D25" t="s">
        <v>772</v>
      </c>
      <c r="E25" t="s">
        <v>772</v>
      </c>
      <c r="F25" t="s">
        <v>366</v>
      </c>
      <c r="G25" t="s">
        <v>772</v>
      </c>
      <c r="H25" t="s">
        <v>772</v>
      </c>
      <c r="I25" t="s">
        <v>958</v>
      </c>
      <c r="J25" t="s">
        <v>369</v>
      </c>
      <c r="K25" t="s">
        <v>1883</v>
      </c>
    </row>
    <row r="26" spans="1:11" x14ac:dyDescent="0.25">
      <c r="A26" s="30" t="s">
        <v>361</v>
      </c>
      <c r="B26" s="144" t="s">
        <v>772</v>
      </c>
      <c r="C26" s="144" t="s">
        <v>367</v>
      </c>
      <c r="D26" t="s">
        <v>772</v>
      </c>
      <c r="E26" t="s">
        <v>772</v>
      </c>
      <c r="F26" t="s">
        <v>772</v>
      </c>
      <c r="G26" t="s">
        <v>772</v>
      </c>
      <c r="H26" t="s">
        <v>772</v>
      </c>
      <c r="I26" t="s">
        <v>958</v>
      </c>
      <c r="J26" t="s">
        <v>366</v>
      </c>
      <c r="K26" t="s">
        <v>366</v>
      </c>
    </row>
    <row r="27" spans="1:11" x14ac:dyDescent="0.25">
      <c r="A27" s="30" t="s">
        <v>437</v>
      </c>
      <c r="B27" s="144" t="s">
        <v>772</v>
      </c>
      <c r="C27" s="144" t="s">
        <v>366</v>
      </c>
      <c r="D27" t="s">
        <v>772</v>
      </c>
      <c r="E27" t="s">
        <v>772</v>
      </c>
      <c r="F27" t="s">
        <v>772</v>
      </c>
      <c r="G27" t="s">
        <v>772</v>
      </c>
      <c r="H27" t="s">
        <v>772</v>
      </c>
      <c r="I27" t="s">
        <v>958</v>
      </c>
      <c r="J27" t="s">
        <v>369</v>
      </c>
      <c r="K27" t="s">
        <v>368</v>
      </c>
    </row>
    <row r="28" spans="1:11" x14ac:dyDescent="0.25">
      <c r="A28" s="30" t="s">
        <v>438</v>
      </c>
      <c r="B28" s="144" t="s">
        <v>772</v>
      </c>
      <c r="C28" s="144" t="s">
        <v>366</v>
      </c>
      <c r="D28" t="s">
        <v>772</v>
      </c>
      <c r="E28" t="s">
        <v>772</v>
      </c>
      <c r="F28" t="s">
        <v>772</v>
      </c>
      <c r="G28" t="s">
        <v>772</v>
      </c>
      <c r="H28" t="s">
        <v>772</v>
      </c>
      <c r="I28" t="s">
        <v>958</v>
      </c>
      <c r="J28" t="s">
        <v>366</v>
      </c>
      <c r="K28" t="s">
        <v>366</v>
      </c>
    </row>
    <row r="29" spans="1:11" x14ac:dyDescent="0.25">
      <c r="A29" s="30" t="s">
        <v>439</v>
      </c>
      <c r="B29" s="144" t="s">
        <v>772</v>
      </c>
      <c r="C29" t="s">
        <v>1299</v>
      </c>
      <c r="D29" t="s">
        <v>772</v>
      </c>
      <c r="E29" t="s">
        <v>772</v>
      </c>
      <c r="F29" t="s">
        <v>772</v>
      </c>
      <c r="G29" t="s">
        <v>772</v>
      </c>
      <c r="H29" t="s">
        <v>772</v>
      </c>
      <c r="I29" t="s">
        <v>368</v>
      </c>
      <c r="J29" t="s">
        <v>366</v>
      </c>
      <c r="K29" t="s">
        <v>369</v>
      </c>
    </row>
    <row r="30" spans="1:11" x14ac:dyDescent="0.25">
      <c r="A30" s="30" t="s">
        <v>440</v>
      </c>
      <c r="B30" s="144" t="s">
        <v>772</v>
      </c>
      <c r="C30" s="144" t="s">
        <v>366</v>
      </c>
      <c r="D30" t="s">
        <v>772</v>
      </c>
      <c r="E30" t="s">
        <v>772</v>
      </c>
      <c r="F30" t="s">
        <v>772</v>
      </c>
      <c r="G30" t="s">
        <v>772</v>
      </c>
      <c r="H30" t="s">
        <v>772</v>
      </c>
      <c r="I30" t="s">
        <v>1299</v>
      </c>
      <c r="J30" t="s">
        <v>366</v>
      </c>
      <c r="K30" t="s">
        <v>369</v>
      </c>
    </row>
    <row r="31" spans="1:11" x14ac:dyDescent="0.25">
      <c r="A31" s="30" t="s">
        <v>441</v>
      </c>
      <c r="B31" s="144" t="s">
        <v>772</v>
      </c>
      <c r="C31" s="144" t="s">
        <v>368</v>
      </c>
      <c r="D31" t="s">
        <v>772</v>
      </c>
      <c r="E31" t="s">
        <v>772</v>
      </c>
      <c r="F31" t="s">
        <v>772</v>
      </c>
      <c r="G31" t="s">
        <v>772</v>
      </c>
      <c r="H31" t="s">
        <v>772</v>
      </c>
      <c r="I31" t="s">
        <v>366</v>
      </c>
      <c r="J31" t="s">
        <v>366</v>
      </c>
      <c r="K31" t="s">
        <v>366</v>
      </c>
    </row>
    <row r="32" spans="1:11" x14ac:dyDescent="0.25">
      <c r="A32" s="30" t="s">
        <v>447</v>
      </c>
      <c r="B32" s="144" t="s">
        <v>772</v>
      </c>
      <c r="C32" s="144" t="s">
        <v>366</v>
      </c>
      <c r="D32" t="s">
        <v>772</v>
      </c>
      <c r="E32" t="s">
        <v>772</v>
      </c>
      <c r="F32" t="s">
        <v>366</v>
      </c>
      <c r="G32" t="s">
        <v>366</v>
      </c>
      <c r="H32" t="s">
        <v>1872</v>
      </c>
      <c r="I32" t="s">
        <v>368</v>
      </c>
      <c r="J32" t="s">
        <v>366</v>
      </c>
      <c r="K32" t="s">
        <v>366</v>
      </c>
    </row>
    <row r="33" spans="1:11" x14ac:dyDescent="0.25">
      <c r="A33" s="30" t="s">
        <v>448</v>
      </c>
      <c r="B33" s="144" t="s">
        <v>772</v>
      </c>
      <c r="C33" s="144" t="s">
        <v>366</v>
      </c>
      <c r="D33" t="s">
        <v>772</v>
      </c>
      <c r="E33" t="s">
        <v>772</v>
      </c>
      <c r="F33" t="s">
        <v>366</v>
      </c>
      <c r="G33" t="s">
        <v>366</v>
      </c>
      <c r="H33" t="s">
        <v>369</v>
      </c>
      <c r="I33" t="s">
        <v>369</v>
      </c>
      <c r="J33" t="s">
        <v>1879</v>
      </c>
      <c r="K33" t="s">
        <v>366</v>
      </c>
    </row>
    <row r="34" spans="1:11" x14ac:dyDescent="0.25">
      <c r="A34" s="30" t="s">
        <v>449</v>
      </c>
      <c r="B34" s="144" t="s">
        <v>772</v>
      </c>
      <c r="C34" s="144" t="s">
        <v>366</v>
      </c>
      <c r="D34" t="s">
        <v>772</v>
      </c>
      <c r="E34" t="s">
        <v>772</v>
      </c>
      <c r="F34" t="s">
        <v>366</v>
      </c>
      <c r="G34" t="s">
        <v>366</v>
      </c>
      <c r="H34" t="s">
        <v>368</v>
      </c>
      <c r="I34" t="s">
        <v>368</v>
      </c>
      <c r="J34" t="s">
        <v>366</v>
      </c>
      <c r="K34" t="s">
        <v>1886</v>
      </c>
    </row>
    <row r="35" spans="1:11" x14ac:dyDescent="0.25">
      <c r="A35" s="30" t="s">
        <v>450</v>
      </c>
      <c r="B35" s="144" t="s">
        <v>772</v>
      </c>
      <c r="C35" s="144" t="s">
        <v>366</v>
      </c>
      <c r="D35" t="s">
        <v>772</v>
      </c>
      <c r="E35" t="s">
        <v>772</v>
      </c>
      <c r="F35" t="s">
        <v>366</v>
      </c>
      <c r="G35" t="s">
        <v>1868</v>
      </c>
      <c r="H35" t="s">
        <v>368</v>
      </c>
      <c r="I35" t="s">
        <v>366</v>
      </c>
      <c r="J35" t="s">
        <v>366</v>
      </c>
      <c r="K35" t="s">
        <v>366</v>
      </c>
    </row>
    <row r="36" spans="1:11" x14ac:dyDescent="0.25">
      <c r="A36" s="30" t="s">
        <v>451</v>
      </c>
      <c r="B36" s="144" t="s">
        <v>772</v>
      </c>
      <c r="C36" s="144" t="s">
        <v>368</v>
      </c>
      <c r="D36" t="s">
        <v>772</v>
      </c>
      <c r="E36" t="s">
        <v>772</v>
      </c>
      <c r="F36" t="s">
        <v>1663</v>
      </c>
      <c r="G36" t="s">
        <v>1869</v>
      </c>
      <c r="H36" t="s">
        <v>367</v>
      </c>
      <c r="I36" t="s">
        <v>367</v>
      </c>
      <c r="J36" t="s">
        <v>367</v>
      </c>
      <c r="K36" t="s">
        <v>1883</v>
      </c>
    </row>
    <row r="37" spans="1:11" x14ac:dyDescent="0.25">
      <c r="A37" s="30" t="s">
        <v>452</v>
      </c>
      <c r="B37" s="144" t="s">
        <v>772</v>
      </c>
      <c r="C37" s="144" t="s">
        <v>366</v>
      </c>
      <c r="D37" t="s">
        <v>772</v>
      </c>
      <c r="E37" t="s">
        <v>772</v>
      </c>
      <c r="F37" t="s">
        <v>366</v>
      </c>
      <c r="G37" t="s">
        <v>1870</v>
      </c>
      <c r="H37" t="s">
        <v>368</v>
      </c>
      <c r="I37" t="s">
        <v>369</v>
      </c>
      <c r="J37" t="s">
        <v>1299</v>
      </c>
      <c r="K37" t="s">
        <v>1887</v>
      </c>
    </row>
    <row r="38" spans="1:11" x14ac:dyDescent="0.25">
      <c r="A38" s="30" t="s">
        <v>453</v>
      </c>
      <c r="B38" s="144" t="s">
        <v>772</v>
      </c>
      <c r="C38" s="144" t="s">
        <v>366</v>
      </c>
      <c r="D38" t="s">
        <v>772</v>
      </c>
      <c r="E38" t="s">
        <v>772</v>
      </c>
      <c r="F38" t="s">
        <v>366</v>
      </c>
      <c r="G38" t="s">
        <v>1299</v>
      </c>
      <c r="H38" t="s">
        <v>1873</v>
      </c>
      <c r="I38" t="s">
        <v>1805</v>
      </c>
      <c r="J38" t="s">
        <v>366</v>
      </c>
      <c r="K38" t="s">
        <v>368</v>
      </c>
    </row>
    <row r="39" spans="1:11" x14ac:dyDescent="0.25">
      <c r="A39" s="30" t="s">
        <v>454</v>
      </c>
      <c r="B39" s="144" t="s">
        <v>772</v>
      </c>
      <c r="C39" s="111" t="s">
        <v>366</v>
      </c>
      <c r="D39" t="s">
        <v>772</v>
      </c>
      <c r="E39" t="s">
        <v>772</v>
      </c>
      <c r="F39" t="s">
        <v>1299</v>
      </c>
      <c r="G39" t="s">
        <v>523</v>
      </c>
      <c r="H39" t="s">
        <v>830</v>
      </c>
      <c r="I39" t="s">
        <v>368</v>
      </c>
      <c r="J39" t="s">
        <v>366</v>
      </c>
      <c r="K39" t="s">
        <v>366</v>
      </c>
    </row>
    <row r="40" spans="1:11" x14ac:dyDescent="0.25">
      <c r="A40" s="30" t="s">
        <v>455</v>
      </c>
      <c r="B40" s="144" t="s">
        <v>772</v>
      </c>
      <c r="C40" s="111" t="s">
        <v>1301</v>
      </c>
      <c r="D40" t="s">
        <v>772</v>
      </c>
      <c r="E40" t="s">
        <v>772</v>
      </c>
      <c r="F40" t="s">
        <v>366</v>
      </c>
      <c r="G40" t="s">
        <v>366</v>
      </c>
      <c r="H40" t="s">
        <v>1797</v>
      </c>
      <c r="I40" t="s">
        <v>366</v>
      </c>
      <c r="J40" t="s">
        <v>366</v>
      </c>
      <c r="K40" t="s">
        <v>1883</v>
      </c>
    </row>
    <row r="41" spans="1:11" x14ac:dyDescent="0.25">
      <c r="A41" s="30" t="s">
        <v>456</v>
      </c>
      <c r="B41" s="144" t="s">
        <v>772</v>
      </c>
      <c r="C41" s="144" t="s">
        <v>368</v>
      </c>
      <c r="D41" t="s">
        <v>772</v>
      </c>
      <c r="E41" t="s">
        <v>772</v>
      </c>
      <c r="F41" t="s">
        <v>366</v>
      </c>
      <c r="G41" t="s">
        <v>366</v>
      </c>
      <c r="H41" t="s">
        <v>368</v>
      </c>
      <c r="I41" t="s">
        <v>1843</v>
      </c>
      <c r="J41" t="s">
        <v>1880</v>
      </c>
      <c r="K41" t="s">
        <v>1299</v>
      </c>
    </row>
    <row r="42" spans="1:11" x14ac:dyDescent="0.25">
      <c r="A42" s="30" t="s">
        <v>776</v>
      </c>
      <c r="B42" s="144" t="s">
        <v>772</v>
      </c>
      <c r="C42" s="144" t="s">
        <v>772</v>
      </c>
      <c r="D42" t="s">
        <v>1397</v>
      </c>
      <c r="E42" t="s">
        <v>366</v>
      </c>
      <c r="F42" t="s">
        <v>772</v>
      </c>
      <c r="G42" t="s">
        <v>772</v>
      </c>
      <c r="H42" t="s">
        <v>772</v>
      </c>
      <c r="I42" t="s">
        <v>1881</v>
      </c>
      <c r="J42" t="s">
        <v>366</v>
      </c>
      <c r="K42" t="s">
        <v>366</v>
      </c>
    </row>
    <row r="43" spans="1:11" x14ac:dyDescent="0.25">
      <c r="A43" s="30" t="s">
        <v>777</v>
      </c>
      <c r="B43" s="144" t="s">
        <v>772</v>
      </c>
      <c r="C43" s="144" t="s">
        <v>772</v>
      </c>
      <c r="D43" s="144" t="s">
        <v>1736</v>
      </c>
      <c r="E43" t="s">
        <v>366</v>
      </c>
      <c r="F43" t="s">
        <v>772</v>
      </c>
      <c r="G43" t="s">
        <v>772</v>
      </c>
      <c r="H43" t="s">
        <v>772</v>
      </c>
      <c r="I43" t="s">
        <v>366</v>
      </c>
      <c r="J43" t="s">
        <v>366</v>
      </c>
      <c r="K43" t="s">
        <v>366</v>
      </c>
    </row>
    <row r="44" spans="1:11" x14ac:dyDescent="0.25">
      <c r="A44" s="30" t="s">
        <v>778</v>
      </c>
      <c r="B44" s="144" t="s">
        <v>772</v>
      </c>
      <c r="C44" s="144" t="s">
        <v>772</v>
      </c>
      <c r="D44" s="144" t="s">
        <v>366</v>
      </c>
      <c r="E44" t="s">
        <v>366</v>
      </c>
      <c r="F44" t="s">
        <v>772</v>
      </c>
      <c r="G44" t="s">
        <v>772</v>
      </c>
      <c r="H44" t="s">
        <v>772</v>
      </c>
      <c r="I44" t="s">
        <v>366</v>
      </c>
      <c r="J44" t="s">
        <v>366</v>
      </c>
      <c r="K44" t="s">
        <v>366</v>
      </c>
    </row>
    <row r="45" spans="1:11" x14ac:dyDescent="0.25">
      <c r="A45" s="30" t="s">
        <v>779</v>
      </c>
      <c r="B45" s="144" t="s">
        <v>772</v>
      </c>
      <c r="C45" s="144" t="s">
        <v>772</v>
      </c>
      <c r="D45" s="144" t="s">
        <v>366</v>
      </c>
      <c r="E45" t="s">
        <v>1737</v>
      </c>
      <c r="F45" t="s">
        <v>772</v>
      </c>
      <c r="G45" t="s">
        <v>772</v>
      </c>
      <c r="H45" t="s">
        <v>772</v>
      </c>
      <c r="I45" t="s">
        <v>366</v>
      </c>
      <c r="J45" t="s">
        <v>366</v>
      </c>
      <c r="K45" t="s">
        <v>366</v>
      </c>
    </row>
    <row r="46" spans="1:11" x14ac:dyDescent="0.25">
      <c r="A46" s="30" t="s">
        <v>780</v>
      </c>
      <c r="B46" s="144" t="s">
        <v>772</v>
      </c>
      <c r="C46" s="144" t="s">
        <v>772</v>
      </c>
      <c r="D46" s="144" t="s">
        <v>368</v>
      </c>
      <c r="E46" t="s">
        <v>366</v>
      </c>
      <c r="F46" t="s">
        <v>772</v>
      </c>
      <c r="G46" t="s">
        <v>772</v>
      </c>
      <c r="H46" t="s">
        <v>772</v>
      </c>
      <c r="I46" t="s">
        <v>366</v>
      </c>
      <c r="J46" t="s">
        <v>366</v>
      </c>
      <c r="K46" t="s">
        <v>1888</v>
      </c>
    </row>
    <row r="47" spans="1:11" x14ac:dyDescent="0.25">
      <c r="A47" s="30" t="s">
        <v>807</v>
      </c>
      <c r="B47" s="144" t="s">
        <v>772</v>
      </c>
      <c r="C47" s="144" t="s">
        <v>772</v>
      </c>
      <c r="D47" t="s">
        <v>1400</v>
      </c>
      <c r="E47" t="s">
        <v>369</v>
      </c>
      <c r="F47" t="s">
        <v>772</v>
      </c>
      <c r="G47" t="s">
        <v>772</v>
      </c>
      <c r="H47" t="s">
        <v>772</v>
      </c>
      <c r="I47" t="s">
        <v>772</v>
      </c>
      <c r="J47" t="s">
        <v>772</v>
      </c>
      <c r="K47" t="s">
        <v>772</v>
      </c>
    </row>
    <row r="48" spans="1:11" x14ac:dyDescent="0.25">
      <c r="A48" s="30" t="s">
        <v>808</v>
      </c>
      <c r="B48" s="144" t="s">
        <v>772</v>
      </c>
      <c r="C48" s="144" t="s">
        <v>772</v>
      </c>
      <c r="D48" s="144" t="s">
        <v>366</v>
      </c>
      <c r="E48" t="s">
        <v>366</v>
      </c>
      <c r="F48" t="s">
        <v>772</v>
      </c>
      <c r="G48" t="s">
        <v>772</v>
      </c>
      <c r="H48" t="s">
        <v>772</v>
      </c>
      <c r="I48" t="s">
        <v>772</v>
      </c>
      <c r="J48" t="s">
        <v>772</v>
      </c>
      <c r="K48" t="s">
        <v>772</v>
      </c>
    </row>
    <row r="49" spans="1:11" x14ac:dyDescent="0.25">
      <c r="A49" s="30" t="s">
        <v>809</v>
      </c>
      <c r="B49" s="144" t="s">
        <v>772</v>
      </c>
      <c r="C49" s="144" t="s">
        <v>772</v>
      </c>
      <c r="D49" s="144" t="s">
        <v>367</v>
      </c>
      <c r="E49" t="s">
        <v>366</v>
      </c>
      <c r="F49" t="s">
        <v>772</v>
      </c>
      <c r="G49" t="s">
        <v>772</v>
      </c>
      <c r="H49" t="s">
        <v>772</v>
      </c>
      <c r="I49" t="s">
        <v>772</v>
      </c>
      <c r="J49" t="s">
        <v>772</v>
      </c>
      <c r="K49" t="s">
        <v>772</v>
      </c>
    </row>
    <row r="50" spans="1:11" x14ac:dyDescent="0.25">
      <c r="A50" s="30" t="s">
        <v>810</v>
      </c>
      <c r="B50" s="144" t="s">
        <v>772</v>
      </c>
      <c r="C50" s="144" t="s">
        <v>772</v>
      </c>
      <c r="D50" t="s">
        <v>1391</v>
      </c>
      <c r="E50" t="s">
        <v>366</v>
      </c>
      <c r="F50" t="s">
        <v>772</v>
      </c>
      <c r="G50" t="s">
        <v>772</v>
      </c>
      <c r="H50" t="s">
        <v>772</v>
      </c>
      <c r="I50" t="s">
        <v>772</v>
      </c>
      <c r="J50" t="s">
        <v>772</v>
      </c>
      <c r="K50" t="s">
        <v>772</v>
      </c>
    </row>
    <row r="51" spans="1:11" x14ac:dyDescent="0.25">
      <c r="A51" s="30" t="s">
        <v>811</v>
      </c>
      <c r="B51" s="144" t="s">
        <v>772</v>
      </c>
      <c r="C51" s="144" t="s">
        <v>772</v>
      </c>
      <c r="D51" s="144" t="s">
        <v>366</v>
      </c>
      <c r="E51" t="s">
        <v>366</v>
      </c>
      <c r="F51" t="s">
        <v>772</v>
      </c>
      <c r="G51" t="s">
        <v>772</v>
      </c>
      <c r="H51" t="s">
        <v>772</v>
      </c>
      <c r="I51" t="s">
        <v>772</v>
      </c>
      <c r="J51" t="s">
        <v>772</v>
      </c>
      <c r="K51" t="s">
        <v>772</v>
      </c>
    </row>
    <row r="52" spans="1:11" x14ac:dyDescent="0.25">
      <c r="A52" s="30" t="s">
        <v>781</v>
      </c>
      <c r="B52" s="144" t="s">
        <v>772</v>
      </c>
      <c r="C52" s="144" t="s">
        <v>772</v>
      </c>
      <c r="D52" s="144" t="s">
        <v>366</v>
      </c>
      <c r="E52" t="s">
        <v>366</v>
      </c>
      <c r="F52" t="s">
        <v>772</v>
      </c>
      <c r="G52" s="144" t="s">
        <v>1835</v>
      </c>
      <c r="H52" s="144" t="s">
        <v>366</v>
      </c>
      <c r="I52" t="s">
        <v>366</v>
      </c>
      <c r="J52" t="s">
        <v>1294</v>
      </c>
      <c r="K52" t="s">
        <v>1294</v>
      </c>
    </row>
    <row r="53" spans="1:11" x14ac:dyDescent="0.25">
      <c r="A53" s="30" t="s">
        <v>782</v>
      </c>
      <c r="B53" s="144" t="s">
        <v>772</v>
      </c>
      <c r="C53" s="144" t="s">
        <v>772</v>
      </c>
      <c r="D53" s="144" t="s">
        <v>1294</v>
      </c>
      <c r="E53" t="s">
        <v>366</v>
      </c>
      <c r="F53" t="s">
        <v>772</v>
      </c>
      <c r="G53" s="144" t="s">
        <v>772</v>
      </c>
      <c r="H53" s="144" t="s">
        <v>772</v>
      </c>
      <c r="I53" t="s">
        <v>369</v>
      </c>
      <c r="J53" t="s">
        <v>369</v>
      </c>
      <c r="K53" t="s">
        <v>366</v>
      </c>
    </row>
    <row r="54" spans="1:11" x14ac:dyDescent="0.25">
      <c r="A54" s="30" t="s">
        <v>783</v>
      </c>
      <c r="B54" s="144" t="s">
        <v>772</v>
      </c>
      <c r="C54" s="144" t="s">
        <v>772</v>
      </c>
      <c r="D54" s="260" t="s">
        <v>1399</v>
      </c>
      <c r="E54" t="s">
        <v>366</v>
      </c>
      <c r="F54" t="s">
        <v>772</v>
      </c>
      <c r="G54" t="s">
        <v>772</v>
      </c>
      <c r="H54" t="s">
        <v>772</v>
      </c>
      <c r="I54" t="s">
        <v>369</v>
      </c>
      <c r="J54" t="s">
        <v>369</v>
      </c>
      <c r="K54" t="s">
        <v>366</v>
      </c>
    </row>
    <row r="55" spans="1:11" x14ac:dyDescent="0.25">
      <c r="A55" s="30" t="s">
        <v>784</v>
      </c>
      <c r="B55" s="144" t="s">
        <v>772</v>
      </c>
      <c r="C55" s="144" t="s">
        <v>772</v>
      </c>
      <c r="D55" s="260" t="s">
        <v>1394</v>
      </c>
      <c r="E55" t="s">
        <v>366</v>
      </c>
      <c r="F55" t="s">
        <v>772</v>
      </c>
      <c r="G55" t="s">
        <v>1294</v>
      </c>
      <c r="H55" t="s">
        <v>366</v>
      </c>
      <c r="I55" t="s">
        <v>366</v>
      </c>
      <c r="J55" t="s">
        <v>1882</v>
      </c>
      <c r="K55" t="s">
        <v>1889</v>
      </c>
    </row>
    <row r="56" spans="1:11" x14ac:dyDescent="0.25">
      <c r="A56" s="30" t="s">
        <v>785</v>
      </c>
      <c r="B56" s="144" t="s">
        <v>772</v>
      </c>
      <c r="C56" s="144" t="s">
        <v>772</v>
      </c>
      <c r="D56" s="144" t="s">
        <v>1738</v>
      </c>
      <c r="E56" t="s">
        <v>1739</v>
      </c>
      <c r="F56" t="s">
        <v>772</v>
      </c>
      <c r="G56" s="144" t="s">
        <v>772</v>
      </c>
      <c r="H56" s="144" t="s">
        <v>772</v>
      </c>
      <c r="I56" t="s">
        <v>369</v>
      </c>
      <c r="J56" t="s">
        <v>369</v>
      </c>
      <c r="K56" t="s">
        <v>366</v>
      </c>
    </row>
    <row r="57" spans="1:11" x14ac:dyDescent="0.25">
      <c r="A57" s="30" t="s">
        <v>1741</v>
      </c>
      <c r="B57" s="144" t="s">
        <v>772</v>
      </c>
      <c r="C57" s="144" t="s">
        <v>772</v>
      </c>
      <c r="D57" s="144" t="s">
        <v>366</v>
      </c>
      <c r="E57" t="s">
        <v>1740</v>
      </c>
      <c r="F57" t="s">
        <v>772</v>
      </c>
      <c r="G57" s="144" t="s">
        <v>1874</v>
      </c>
      <c r="H57" s="144" t="s">
        <v>369</v>
      </c>
      <c r="I57" t="s">
        <v>366</v>
      </c>
      <c r="J57" t="s">
        <v>1856</v>
      </c>
      <c r="K57" t="s">
        <v>1849</v>
      </c>
    </row>
    <row r="58" spans="1:11" x14ac:dyDescent="0.25">
      <c r="A58" s="30" t="s">
        <v>1742</v>
      </c>
      <c r="B58" s="144" t="s">
        <v>772</v>
      </c>
      <c r="C58" s="144" t="s">
        <v>772</v>
      </c>
      <c r="D58" s="144" t="s">
        <v>366</v>
      </c>
      <c r="E58" t="s">
        <v>368</v>
      </c>
      <c r="F58" t="s">
        <v>772</v>
      </c>
      <c r="G58" s="144" t="s">
        <v>772</v>
      </c>
      <c r="H58" s="144" t="s">
        <v>772</v>
      </c>
      <c r="I58" s="144" t="s">
        <v>369</v>
      </c>
      <c r="J58" s="144" t="s">
        <v>1397</v>
      </c>
      <c r="K58" s="144" t="s">
        <v>1397</v>
      </c>
    </row>
    <row r="59" spans="1:11" x14ac:dyDescent="0.25">
      <c r="A59" s="30" t="s">
        <v>1743</v>
      </c>
      <c r="B59" s="144" t="s">
        <v>772</v>
      </c>
      <c r="C59" s="144" t="s">
        <v>772</v>
      </c>
      <c r="D59" s="144" t="s">
        <v>366</v>
      </c>
      <c r="E59" t="s">
        <v>366</v>
      </c>
      <c r="F59" t="s">
        <v>772</v>
      </c>
      <c r="G59" s="144" t="s">
        <v>369</v>
      </c>
      <c r="H59" s="144" t="s">
        <v>1299</v>
      </c>
      <c r="I59" s="144" t="s">
        <v>1397</v>
      </c>
      <c r="J59" s="144" t="s">
        <v>1835</v>
      </c>
      <c r="K59" s="144" t="s">
        <v>366</v>
      </c>
    </row>
    <row r="60" spans="1:11" x14ac:dyDescent="0.25">
      <c r="A60" s="30" t="s">
        <v>1744</v>
      </c>
      <c r="B60" s="144" t="s">
        <v>772</v>
      </c>
      <c r="C60" s="144" t="s">
        <v>772</v>
      </c>
      <c r="D60" s="144" t="s">
        <v>366</v>
      </c>
      <c r="E60" t="s">
        <v>366</v>
      </c>
      <c r="F60" t="s">
        <v>772</v>
      </c>
      <c r="G60" s="144" t="s">
        <v>772</v>
      </c>
      <c r="H60" s="144" t="s">
        <v>772</v>
      </c>
      <c r="I60" s="144" t="s">
        <v>1849</v>
      </c>
      <c r="J60" s="144" t="s">
        <v>1849</v>
      </c>
      <c r="K60" s="144" t="s">
        <v>1883</v>
      </c>
    </row>
    <row r="61" spans="1:11" x14ac:dyDescent="0.25">
      <c r="A61" s="30" t="s">
        <v>1745</v>
      </c>
      <c r="B61" s="144" t="s">
        <v>772</v>
      </c>
      <c r="C61" s="144" t="s">
        <v>772</v>
      </c>
      <c r="D61" s="144" t="s">
        <v>367</v>
      </c>
      <c r="E61" t="s">
        <v>369</v>
      </c>
      <c r="F61" t="s">
        <v>772</v>
      </c>
      <c r="G61" s="144" t="s">
        <v>772</v>
      </c>
      <c r="H61" s="144" t="s">
        <v>772</v>
      </c>
      <c r="I61" s="144" t="s">
        <v>772</v>
      </c>
      <c r="J61" s="144" t="s">
        <v>772</v>
      </c>
      <c r="K61" s="144" t="s">
        <v>772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" sqref="E1"/>
    </sheetView>
  </sheetViews>
  <sheetFormatPr defaultColWidth="11" defaultRowHeight="15.75" x14ac:dyDescent="0.25"/>
  <sheetData>
    <row r="1" spans="1:5" x14ac:dyDescent="0.25">
      <c r="A1" s="30" t="s">
        <v>347</v>
      </c>
      <c r="B1" s="125">
        <v>42886</v>
      </c>
      <c r="C1" s="125">
        <v>42887</v>
      </c>
      <c r="D1" s="125">
        <v>42888</v>
      </c>
      <c r="E1" s="125">
        <v>42891</v>
      </c>
    </row>
    <row r="2" spans="1:5" x14ac:dyDescent="0.25">
      <c r="A2" t="s">
        <v>348</v>
      </c>
      <c r="B2" t="s">
        <v>772</v>
      </c>
      <c r="C2" t="s">
        <v>772</v>
      </c>
      <c r="D2" t="s">
        <v>772</v>
      </c>
      <c r="E2" t="s">
        <v>772</v>
      </c>
    </row>
    <row r="3" spans="1:5" x14ac:dyDescent="0.25">
      <c r="A3" t="s">
        <v>349</v>
      </c>
      <c r="B3" t="s">
        <v>772</v>
      </c>
      <c r="C3" t="s">
        <v>772</v>
      </c>
      <c r="D3" t="s">
        <v>772</v>
      </c>
      <c r="E3" t="s">
        <v>772</v>
      </c>
    </row>
    <row r="4" spans="1:5" x14ac:dyDescent="0.25">
      <c r="A4" t="s">
        <v>350</v>
      </c>
      <c r="B4" t="s">
        <v>772</v>
      </c>
      <c r="C4" t="s">
        <v>772</v>
      </c>
      <c r="D4" t="s">
        <v>772</v>
      </c>
      <c r="E4" t="s">
        <v>772</v>
      </c>
    </row>
    <row r="5" spans="1:5" x14ac:dyDescent="0.25">
      <c r="A5" t="s">
        <v>351</v>
      </c>
      <c r="B5" t="s">
        <v>772</v>
      </c>
      <c r="C5" t="s">
        <v>772</v>
      </c>
      <c r="D5" t="s">
        <v>772</v>
      </c>
      <c r="E5" t="s">
        <v>772</v>
      </c>
    </row>
    <row r="6" spans="1:5" x14ac:dyDescent="0.25">
      <c r="A6" t="s">
        <v>352</v>
      </c>
      <c r="B6" t="s">
        <v>772</v>
      </c>
      <c r="C6" t="s">
        <v>772</v>
      </c>
      <c r="D6" t="s">
        <v>772</v>
      </c>
      <c r="E6" t="s">
        <v>772</v>
      </c>
    </row>
    <row r="7" spans="1:5" x14ac:dyDescent="0.25">
      <c r="A7" t="s">
        <v>417</v>
      </c>
      <c r="B7" t="s">
        <v>772</v>
      </c>
      <c r="C7" t="s">
        <v>772</v>
      </c>
      <c r="D7" t="s">
        <v>772</v>
      </c>
      <c r="E7" t="s">
        <v>772</v>
      </c>
    </row>
    <row r="8" spans="1:5" x14ac:dyDescent="0.25">
      <c r="A8" t="s">
        <v>418</v>
      </c>
      <c r="B8" t="s">
        <v>772</v>
      </c>
      <c r="C8" t="s">
        <v>772</v>
      </c>
      <c r="D8" t="s">
        <v>772</v>
      </c>
      <c r="E8" t="s">
        <v>772</v>
      </c>
    </row>
    <row r="9" spans="1:5" x14ac:dyDescent="0.25">
      <c r="A9" t="s">
        <v>419</v>
      </c>
      <c r="B9" t="s">
        <v>772</v>
      </c>
      <c r="C9" t="s">
        <v>772</v>
      </c>
      <c r="D9" t="s">
        <v>772</v>
      </c>
      <c r="E9" t="s">
        <v>772</v>
      </c>
    </row>
    <row r="10" spans="1:5" x14ac:dyDescent="0.25">
      <c r="A10" t="s">
        <v>420</v>
      </c>
      <c r="B10" t="s">
        <v>772</v>
      </c>
      <c r="C10" t="s">
        <v>772</v>
      </c>
      <c r="D10" t="s">
        <v>772</v>
      </c>
      <c r="E10" t="s">
        <v>772</v>
      </c>
    </row>
    <row r="11" spans="1:5" x14ac:dyDescent="0.25">
      <c r="A11" t="s">
        <v>421</v>
      </c>
      <c r="B11" t="s">
        <v>772</v>
      </c>
      <c r="C11" t="s">
        <v>772</v>
      </c>
      <c r="D11" t="s">
        <v>772</v>
      </c>
      <c r="E11" t="s">
        <v>772</v>
      </c>
    </row>
    <row r="12" spans="1:5" x14ac:dyDescent="0.25">
      <c r="A12" t="s">
        <v>353</v>
      </c>
      <c r="B12" t="s">
        <v>366</v>
      </c>
      <c r="C12" t="s">
        <v>366</v>
      </c>
      <c r="D12" t="s">
        <v>366</v>
      </c>
      <c r="E12" t="s">
        <v>772</v>
      </c>
    </row>
    <row r="13" spans="1:5" x14ac:dyDescent="0.25">
      <c r="A13" t="s">
        <v>354</v>
      </c>
      <c r="B13" t="s">
        <v>366</v>
      </c>
      <c r="C13" t="s">
        <v>366</v>
      </c>
      <c r="D13" t="s">
        <v>366</v>
      </c>
      <c r="E13" t="s">
        <v>772</v>
      </c>
    </row>
    <row r="14" spans="1:5" x14ac:dyDescent="0.25">
      <c r="A14" t="s">
        <v>355</v>
      </c>
      <c r="B14" t="s">
        <v>369</v>
      </c>
      <c r="C14" t="s">
        <v>366</v>
      </c>
      <c r="D14" t="s">
        <v>366</v>
      </c>
      <c r="E14" t="s">
        <v>772</v>
      </c>
    </row>
    <row r="15" spans="1:5" x14ac:dyDescent="0.25">
      <c r="A15" t="s">
        <v>356</v>
      </c>
      <c r="B15" t="s">
        <v>367</v>
      </c>
      <c r="C15" t="s">
        <v>366</v>
      </c>
      <c r="D15" t="s">
        <v>367</v>
      </c>
      <c r="E15" t="s">
        <v>772</v>
      </c>
    </row>
    <row r="16" spans="1:5" x14ac:dyDescent="0.25">
      <c r="A16" t="s">
        <v>357</v>
      </c>
      <c r="B16" t="s">
        <v>369</v>
      </c>
      <c r="C16" t="s">
        <v>366</v>
      </c>
      <c r="D16" t="s">
        <v>366</v>
      </c>
      <c r="E16" t="s">
        <v>772</v>
      </c>
    </row>
    <row r="17" spans="1:5" x14ac:dyDescent="0.25">
      <c r="A17" t="s">
        <v>427</v>
      </c>
      <c r="B17" t="s">
        <v>366</v>
      </c>
      <c r="C17" t="s">
        <v>366</v>
      </c>
      <c r="D17" t="s">
        <v>366</v>
      </c>
      <c r="E17" t="s">
        <v>772</v>
      </c>
    </row>
    <row r="18" spans="1:5" x14ac:dyDescent="0.25">
      <c r="A18" t="s">
        <v>428</v>
      </c>
      <c r="B18" t="s">
        <v>366</v>
      </c>
      <c r="C18" t="s">
        <v>366</v>
      </c>
      <c r="D18" t="s">
        <v>366</v>
      </c>
      <c r="E18" t="s">
        <v>772</v>
      </c>
    </row>
    <row r="19" spans="1:5" x14ac:dyDescent="0.25">
      <c r="A19" t="s">
        <v>429</v>
      </c>
      <c r="B19" t="s">
        <v>366</v>
      </c>
      <c r="C19" t="s">
        <v>366</v>
      </c>
      <c r="D19" t="s">
        <v>366</v>
      </c>
      <c r="E19" t="s">
        <v>772</v>
      </c>
    </row>
    <row r="20" spans="1:5" x14ac:dyDescent="0.25">
      <c r="A20" t="s">
        <v>430</v>
      </c>
      <c r="B20" t="s">
        <v>366</v>
      </c>
      <c r="C20" t="s">
        <v>366</v>
      </c>
      <c r="D20" t="s">
        <v>366</v>
      </c>
      <c r="E20" t="s">
        <v>772</v>
      </c>
    </row>
    <row r="21" spans="1:5" x14ac:dyDescent="0.25">
      <c r="A21" t="s">
        <v>431</v>
      </c>
      <c r="B21" t="s">
        <v>366</v>
      </c>
      <c r="C21" t="s">
        <v>366</v>
      </c>
      <c r="D21" t="s">
        <v>366</v>
      </c>
      <c r="E21" t="s">
        <v>772</v>
      </c>
    </row>
    <row r="22" spans="1:5" x14ac:dyDescent="0.25">
      <c r="A22" t="s">
        <v>358</v>
      </c>
      <c r="B22" t="s">
        <v>366</v>
      </c>
      <c r="C22" t="s">
        <v>366</v>
      </c>
      <c r="D22" t="s">
        <v>369</v>
      </c>
      <c r="E22" t="s">
        <v>366</v>
      </c>
    </row>
    <row r="23" spans="1:5" x14ac:dyDescent="0.25">
      <c r="A23" t="s">
        <v>362</v>
      </c>
      <c r="B23" t="s">
        <v>366</v>
      </c>
      <c r="C23" t="s">
        <v>366</v>
      </c>
      <c r="D23" t="s">
        <v>366</v>
      </c>
      <c r="E23" t="s">
        <v>366</v>
      </c>
    </row>
    <row r="24" spans="1:5" x14ac:dyDescent="0.25">
      <c r="A24" t="s">
        <v>363</v>
      </c>
      <c r="B24" t="s">
        <v>366</v>
      </c>
      <c r="C24" t="s">
        <v>366</v>
      </c>
      <c r="D24" t="s">
        <v>366</v>
      </c>
      <c r="E24" t="s">
        <v>366</v>
      </c>
    </row>
    <row r="25" spans="1:5" x14ac:dyDescent="0.25">
      <c r="A25" t="s">
        <v>364</v>
      </c>
      <c r="B25" t="s">
        <v>366</v>
      </c>
      <c r="C25" t="s">
        <v>366</v>
      </c>
      <c r="D25" t="s">
        <v>366</v>
      </c>
      <c r="E25" t="s">
        <v>366</v>
      </c>
    </row>
    <row r="26" spans="1:5" x14ac:dyDescent="0.25">
      <c r="A26" t="s">
        <v>361</v>
      </c>
      <c r="B26" t="s">
        <v>366</v>
      </c>
      <c r="C26" t="s">
        <v>366</v>
      </c>
      <c r="D26" t="s">
        <v>366</v>
      </c>
      <c r="E26" t="s">
        <v>366</v>
      </c>
    </row>
    <row r="27" spans="1:5" x14ac:dyDescent="0.25">
      <c r="A27" t="s">
        <v>437</v>
      </c>
      <c r="B27" t="s">
        <v>366</v>
      </c>
      <c r="C27" t="s">
        <v>366</v>
      </c>
      <c r="D27" t="s">
        <v>366</v>
      </c>
      <c r="E27" t="s">
        <v>826</v>
      </c>
    </row>
    <row r="28" spans="1:5" x14ac:dyDescent="0.25">
      <c r="A28" t="s">
        <v>438</v>
      </c>
      <c r="B28" t="s">
        <v>366</v>
      </c>
      <c r="C28" t="s">
        <v>366</v>
      </c>
      <c r="D28" t="s">
        <v>366</v>
      </c>
      <c r="E28" t="s">
        <v>366</v>
      </c>
    </row>
    <row r="29" spans="1:5" x14ac:dyDescent="0.25">
      <c r="A29" t="s">
        <v>439</v>
      </c>
      <c r="B29" t="s">
        <v>740</v>
      </c>
      <c r="C29" t="s">
        <v>369</v>
      </c>
      <c r="D29" t="s">
        <v>366</v>
      </c>
      <c r="E29" t="s">
        <v>366</v>
      </c>
    </row>
    <row r="30" spans="1:5" x14ac:dyDescent="0.25">
      <c r="A30" t="s">
        <v>440</v>
      </c>
      <c r="B30" t="s">
        <v>366</v>
      </c>
      <c r="C30" t="s">
        <v>366</v>
      </c>
      <c r="D30" t="s">
        <v>366</v>
      </c>
      <c r="E30" t="s">
        <v>366</v>
      </c>
    </row>
    <row r="31" spans="1:5" x14ac:dyDescent="0.25">
      <c r="A31" t="s">
        <v>441</v>
      </c>
      <c r="B31" t="s">
        <v>366</v>
      </c>
      <c r="C31" t="s">
        <v>368</v>
      </c>
      <c r="D31" t="s">
        <v>368</v>
      </c>
      <c r="E31" t="s">
        <v>366</v>
      </c>
    </row>
    <row r="32" spans="1:5" x14ac:dyDescent="0.25">
      <c r="A32" t="s">
        <v>447</v>
      </c>
      <c r="B32" t="s">
        <v>366</v>
      </c>
      <c r="C32" t="s">
        <v>366</v>
      </c>
      <c r="D32" t="s">
        <v>366</v>
      </c>
      <c r="E32" t="s">
        <v>366</v>
      </c>
    </row>
    <row r="33" spans="1:5" x14ac:dyDescent="0.25">
      <c r="A33" t="s">
        <v>448</v>
      </c>
      <c r="B33" t="s">
        <v>368</v>
      </c>
      <c r="C33" t="s">
        <v>366</v>
      </c>
      <c r="D33" t="s">
        <v>366</v>
      </c>
      <c r="E33" t="s">
        <v>366</v>
      </c>
    </row>
    <row r="34" spans="1:5" x14ac:dyDescent="0.25">
      <c r="A34" t="s">
        <v>449</v>
      </c>
      <c r="B34" t="s">
        <v>366</v>
      </c>
      <c r="C34" t="s">
        <v>366</v>
      </c>
      <c r="D34" t="s">
        <v>366</v>
      </c>
      <c r="E34" t="s">
        <v>366</v>
      </c>
    </row>
    <row r="35" spans="1:5" x14ac:dyDescent="0.25">
      <c r="A35" t="s">
        <v>450</v>
      </c>
      <c r="B35" t="s">
        <v>366</v>
      </c>
      <c r="C35" t="s">
        <v>366</v>
      </c>
      <c r="D35" t="s">
        <v>366</v>
      </c>
      <c r="E35" t="s">
        <v>366</v>
      </c>
    </row>
    <row r="36" spans="1:5" x14ac:dyDescent="0.25">
      <c r="A36" t="s">
        <v>451</v>
      </c>
      <c r="B36" t="s">
        <v>366</v>
      </c>
      <c r="C36" t="s">
        <v>744</v>
      </c>
      <c r="D36" t="s">
        <v>366</v>
      </c>
      <c r="E36" t="s">
        <v>366</v>
      </c>
    </row>
    <row r="37" spans="1:5" x14ac:dyDescent="0.25">
      <c r="A37" t="s">
        <v>452</v>
      </c>
      <c r="B37" t="s">
        <v>366</v>
      </c>
      <c r="C37" t="s">
        <v>368</v>
      </c>
      <c r="D37" t="s">
        <v>369</v>
      </c>
      <c r="E37" t="s">
        <v>368</v>
      </c>
    </row>
    <row r="38" spans="1:5" x14ac:dyDescent="0.25">
      <c r="A38" t="s">
        <v>453</v>
      </c>
      <c r="B38" t="s">
        <v>366</v>
      </c>
      <c r="C38" t="s">
        <v>368</v>
      </c>
      <c r="D38" t="s">
        <v>366</v>
      </c>
      <c r="E38" t="s">
        <v>366</v>
      </c>
    </row>
    <row r="39" spans="1:5" x14ac:dyDescent="0.25">
      <c r="A39" t="s">
        <v>454</v>
      </c>
      <c r="B39" t="s">
        <v>366</v>
      </c>
      <c r="C39" t="s">
        <v>366</v>
      </c>
      <c r="D39" t="s">
        <v>366</v>
      </c>
      <c r="E39" t="s">
        <v>366</v>
      </c>
    </row>
    <row r="40" spans="1:5" x14ac:dyDescent="0.25">
      <c r="A40" t="s">
        <v>455</v>
      </c>
      <c r="B40" t="s">
        <v>366</v>
      </c>
      <c r="C40" t="s">
        <v>366</v>
      </c>
      <c r="D40" t="s">
        <v>366</v>
      </c>
      <c r="E40" t="s">
        <v>367</v>
      </c>
    </row>
    <row r="41" spans="1:5" x14ac:dyDescent="0.25">
      <c r="A41" t="s">
        <v>456</v>
      </c>
      <c r="B41" t="s">
        <v>366</v>
      </c>
      <c r="C41" t="s">
        <v>366</v>
      </c>
      <c r="D41" t="s">
        <v>769</v>
      </c>
      <c r="E41" t="s">
        <v>827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" sqref="E1"/>
    </sheetView>
  </sheetViews>
  <sheetFormatPr defaultColWidth="11" defaultRowHeight="15.75" x14ac:dyDescent="0.25"/>
  <cols>
    <col min="1" max="1" width="11" style="30"/>
  </cols>
  <sheetData>
    <row r="1" spans="1:4" x14ac:dyDescent="0.25">
      <c r="A1" s="142" t="s">
        <v>347</v>
      </c>
      <c r="B1" s="143">
        <v>42887</v>
      </c>
      <c r="C1" s="125">
        <v>42888</v>
      </c>
      <c r="D1" s="125">
        <v>42891</v>
      </c>
    </row>
    <row r="2" spans="1:4" x14ac:dyDescent="0.25">
      <c r="A2" s="30" t="s">
        <v>348</v>
      </c>
      <c r="B2" t="s">
        <v>366</v>
      </c>
      <c r="C2" t="s">
        <v>366</v>
      </c>
      <c r="D2" t="s">
        <v>366</v>
      </c>
    </row>
    <row r="3" spans="1:4" x14ac:dyDescent="0.25">
      <c r="A3" s="30" t="s">
        <v>349</v>
      </c>
      <c r="B3" t="s">
        <v>366</v>
      </c>
      <c r="C3" t="s">
        <v>366</v>
      </c>
      <c r="D3" t="s">
        <v>753</v>
      </c>
    </row>
    <row r="4" spans="1:4" x14ac:dyDescent="0.25">
      <c r="A4" s="30" t="s">
        <v>350</v>
      </c>
      <c r="B4" t="s">
        <v>366</v>
      </c>
      <c r="C4" t="s">
        <v>366</v>
      </c>
      <c r="D4" t="s">
        <v>366</v>
      </c>
    </row>
    <row r="5" spans="1:4" x14ac:dyDescent="0.25">
      <c r="A5" s="30" t="s">
        <v>351</v>
      </c>
      <c r="B5" t="s">
        <v>366</v>
      </c>
      <c r="C5" t="s">
        <v>759</v>
      </c>
      <c r="D5" t="s">
        <v>366</v>
      </c>
    </row>
    <row r="6" spans="1:4" x14ac:dyDescent="0.25">
      <c r="A6" s="30" t="s">
        <v>352</v>
      </c>
      <c r="B6" t="s">
        <v>366</v>
      </c>
      <c r="C6" t="s">
        <v>366</v>
      </c>
      <c r="D6" t="s">
        <v>366</v>
      </c>
    </row>
    <row r="7" spans="1:4" x14ac:dyDescent="0.25">
      <c r="A7" s="30" t="s">
        <v>353</v>
      </c>
      <c r="B7" t="s">
        <v>366</v>
      </c>
      <c r="C7" t="s">
        <v>366</v>
      </c>
      <c r="D7" t="s">
        <v>828</v>
      </c>
    </row>
    <row r="8" spans="1:4" x14ac:dyDescent="0.25">
      <c r="A8" s="30" t="s">
        <v>354</v>
      </c>
      <c r="B8" t="s">
        <v>366</v>
      </c>
      <c r="C8" t="s">
        <v>366</v>
      </c>
      <c r="D8" t="s">
        <v>366</v>
      </c>
    </row>
    <row r="9" spans="1:4" x14ac:dyDescent="0.25">
      <c r="A9" s="30" t="s">
        <v>355</v>
      </c>
      <c r="B9" t="s">
        <v>366</v>
      </c>
      <c r="C9" t="s">
        <v>366</v>
      </c>
      <c r="D9" t="s">
        <v>366</v>
      </c>
    </row>
    <row r="10" spans="1:4" x14ac:dyDescent="0.25">
      <c r="A10" s="30" t="s">
        <v>356</v>
      </c>
      <c r="B10" t="s">
        <v>366</v>
      </c>
      <c r="C10" t="s">
        <v>366</v>
      </c>
      <c r="D10" t="s">
        <v>750</v>
      </c>
    </row>
    <row r="11" spans="1:4" x14ac:dyDescent="0.25">
      <c r="A11" s="30" t="s">
        <v>357</v>
      </c>
      <c r="B11" t="s">
        <v>753</v>
      </c>
      <c r="C11" t="s">
        <v>761</v>
      </c>
      <c r="D11" t="s">
        <v>368</v>
      </c>
    </row>
    <row r="12" spans="1:4" x14ac:dyDescent="0.25">
      <c r="A12" s="30" t="s">
        <v>358</v>
      </c>
      <c r="B12" t="s">
        <v>366</v>
      </c>
      <c r="C12" t="s">
        <v>366</v>
      </c>
      <c r="D12" t="s">
        <v>366</v>
      </c>
    </row>
    <row r="13" spans="1:4" x14ac:dyDescent="0.25">
      <c r="A13" s="30" t="s">
        <v>362</v>
      </c>
      <c r="B13" t="s">
        <v>366</v>
      </c>
      <c r="C13" t="s">
        <v>366</v>
      </c>
      <c r="D13" t="s">
        <v>366</v>
      </c>
    </row>
    <row r="14" spans="1:4" x14ac:dyDescent="0.25">
      <c r="A14" s="30" t="s">
        <v>363</v>
      </c>
      <c r="B14" t="s">
        <v>366</v>
      </c>
      <c r="C14" t="s">
        <v>366</v>
      </c>
      <c r="D14" t="s">
        <v>829</v>
      </c>
    </row>
    <row r="15" spans="1:4" x14ac:dyDescent="0.25">
      <c r="A15" s="30" t="s">
        <v>364</v>
      </c>
      <c r="B15" t="s">
        <v>748</v>
      </c>
      <c r="C15" t="s">
        <v>366</v>
      </c>
      <c r="D15" t="s">
        <v>830</v>
      </c>
    </row>
    <row r="16" spans="1:4" x14ac:dyDescent="0.25">
      <c r="A16" s="30" t="s">
        <v>361</v>
      </c>
      <c r="B16" t="s">
        <v>366</v>
      </c>
      <c r="C16" t="s">
        <v>768</v>
      </c>
      <c r="D16" t="s">
        <v>366</v>
      </c>
    </row>
    <row r="17" spans="1:4" x14ac:dyDescent="0.25">
      <c r="A17" s="30" t="s">
        <v>447</v>
      </c>
      <c r="B17" t="s">
        <v>366</v>
      </c>
      <c r="C17" t="s">
        <v>758</v>
      </c>
      <c r="D17" t="s">
        <v>366</v>
      </c>
    </row>
    <row r="18" spans="1:4" x14ac:dyDescent="0.25">
      <c r="A18" s="30" t="s">
        <v>448</v>
      </c>
      <c r="B18" t="s">
        <v>366</v>
      </c>
      <c r="C18" t="s">
        <v>366</v>
      </c>
      <c r="D18" t="s">
        <v>366</v>
      </c>
    </row>
    <row r="19" spans="1:4" x14ac:dyDescent="0.25">
      <c r="A19" s="30" t="s">
        <v>449</v>
      </c>
      <c r="B19" t="s">
        <v>750</v>
      </c>
      <c r="C19" t="s">
        <v>764</v>
      </c>
      <c r="D19" t="s">
        <v>825</v>
      </c>
    </row>
    <row r="20" spans="1:4" x14ac:dyDescent="0.25">
      <c r="A20" s="30" t="s">
        <v>450</v>
      </c>
      <c r="B20" t="s">
        <v>367</v>
      </c>
      <c r="C20" t="s">
        <v>366</v>
      </c>
      <c r="D20" t="s">
        <v>366</v>
      </c>
    </row>
    <row r="21" spans="1:4" x14ac:dyDescent="0.25">
      <c r="A21" s="30" t="s">
        <v>451</v>
      </c>
      <c r="B21" t="s">
        <v>366</v>
      </c>
      <c r="C21" t="s">
        <v>366</v>
      </c>
      <c r="D21" t="s">
        <v>764</v>
      </c>
    </row>
    <row r="22" spans="1:4" x14ac:dyDescent="0.25">
      <c r="A22" s="30" t="s">
        <v>776</v>
      </c>
      <c r="B22" t="s">
        <v>772</v>
      </c>
      <c r="C22" t="s">
        <v>366</v>
      </c>
      <c r="D22" t="s">
        <v>366</v>
      </c>
    </row>
    <row r="23" spans="1:4" x14ac:dyDescent="0.25">
      <c r="A23" s="30" t="s">
        <v>777</v>
      </c>
      <c r="B23" t="s">
        <v>772</v>
      </c>
      <c r="C23" t="s">
        <v>366</v>
      </c>
      <c r="D23" t="s">
        <v>366</v>
      </c>
    </row>
    <row r="24" spans="1:4" x14ac:dyDescent="0.25">
      <c r="A24" s="30" t="s">
        <v>778</v>
      </c>
      <c r="B24" t="s">
        <v>772</v>
      </c>
      <c r="C24" t="s">
        <v>366</v>
      </c>
      <c r="D24" t="s">
        <v>367</v>
      </c>
    </row>
    <row r="25" spans="1:4" x14ac:dyDescent="0.25">
      <c r="A25" s="30" t="s">
        <v>779</v>
      </c>
      <c r="B25" t="s">
        <v>772</v>
      </c>
      <c r="C25" t="s">
        <v>366</v>
      </c>
      <c r="D25" t="s">
        <v>758</v>
      </c>
    </row>
    <row r="26" spans="1:4" x14ac:dyDescent="0.25">
      <c r="A26" s="30" t="s">
        <v>780</v>
      </c>
      <c r="B26" t="s">
        <v>772</v>
      </c>
      <c r="C26" t="s">
        <v>366</v>
      </c>
      <c r="D26" t="s">
        <v>824</v>
      </c>
    </row>
    <row r="27" spans="1:4" x14ac:dyDescent="0.25">
      <c r="A27" s="30" t="s">
        <v>781</v>
      </c>
      <c r="B27" t="s">
        <v>772</v>
      </c>
      <c r="C27" t="s">
        <v>366</v>
      </c>
      <c r="D27" t="s">
        <v>366</v>
      </c>
    </row>
    <row r="28" spans="1:4" x14ac:dyDescent="0.25">
      <c r="A28" s="30" t="s">
        <v>782</v>
      </c>
      <c r="B28" t="s">
        <v>772</v>
      </c>
      <c r="C28" t="s">
        <v>796</v>
      </c>
      <c r="D28" t="s">
        <v>366</v>
      </c>
    </row>
    <row r="29" spans="1:4" x14ac:dyDescent="0.25">
      <c r="A29" s="30" t="s">
        <v>783</v>
      </c>
      <c r="B29" t="s">
        <v>772</v>
      </c>
      <c r="C29" t="s">
        <v>366</v>
      </c>
      <c r="D29" t="s">
        <v>366</v>
      </c>
    </row>
    <row r="30" spans="1:4" x14ac:dyDescent="0.25">
      <c r="A30" s="30" t="s">
        <v>784</v>
      </c>
      <c r="B30" t="s">
        <v>772</v>
      </c>
      <c r="C30" t="s">
        <v>366</v>
      </c>
      <c r="D30" t="s">
        <v>366</v>
      </c>
    </row>
    <row r="31" spans="1:4" x14ac:dyDescent="0.25">
      <c r="A31" s="30" t="s">
        <v>785</v>
      </c>
      <c r="B31" t="s">
        <v>772</v>
      </c>
      <c r="C31" t="s">
        <v>366</v>
      </c>
      <c r="D31" t="s">
        <v>366</v>
      </c>
    </row>
    <row r="32" spans="1:4" x14ac:dyDescent="0.25">
      <c r="A32" s="30" t="s">
        <v>791</v>
      </c>
      <c r="B32" t="s">
        <v>772</v>
      </c>
      <c r="C32" t="s">
        <v>772</v>
      </c>
      <c r="D32" t="s">
        <v>366</v>
      </c>
    </row>
    <row r="33" spans="1:4" x14ac:dyDescent="0.25">
      <c r="A33" s="30" t="s">
        <v>792</v>
      </c>
      <c r="B33" t="s">
        <v>772</v>
      </c>
      <c r="C33" t="s">
        <v>772</v>
      </c>
      <c r="D33" t="s">
        <v>368</v>
      </c>
    </row>
    <row r="34" spans="1:4" x14ac:dyDescent="0.25">
      <c r="A34" s="30" t="s">
        <v>793</v>
      </c>
      <c r="B34" t="s">
        <v>772</v>
      </c>
      <c r="C34" t="s">
        <v>772</v>
      </c>
      <c r="D34" t="s">
        <v>366</v>
      </c>
    </row>
    <row r="35" spans="1:4" x14ac:dyDescent="0.25">
      <c r="A35" s="30" t="s">
        <v>794</v>
      </c>
      <c r="B35" t="s">
        <v>772</v>
      </c>
      <c r="C35" t="s">
        <v>772</v>
      </c>
      <c r="D35" t="s">
        <v>366</v>
      </c>
    </row>
    <row r="36" spans="1:4" x14ac:dyDescent="0.25">
      <c r="A36" s="30" t="s">
        <v>795</v>
      </c>
      <c r="B36" t="s">
        <v>772</v>
      </c>
      <c r="C36" t="s">
        <v>772</v>
      </c>
      <c r="D36" t="s">
        <v>740</v>
      </c>
    </row>
    <row r="37" spans="1:4" x14ac:dyDescent="0.25">
      <c r="A37" s="30" t="s">
        <v>786</v>
      </c>
      <c r="B37" t="s">
        <v>772</v>
      </c>
      <c r="C37" t="s">
        <v>772</v>
      </c>
      <c r="D37" t="s">
        <v>366</v>
      </c>
    </row>
    <row r="38" spans="1:4" x14ac:dyDescent="0.25">
      <c r="A38" s="30" t="s">
        <v>787</v>
      </c>
      <c r="B38" t="s">
        <v>772</v>
      </c>
      <c r="C38" t="s">
        <v>772</v>
      </c>
      <c r="D38" t="s">
        <v>366</v>
      </c>
    </row>
    <row r="39" spans="1:4" x14ac:dyDescent="0.25">
      <c r="A39" s="30" t="s">
        <v>788</v>
      </c>
      <c r="B39" t="s">
        <v>772</v>
      </c>
      <c r="C39" t="s">
        <v>772</v>
      </c>
      <c r="D39" t="s">
        <v>368</v>
      </c>
    </row>
    <row r="40" spans="1:4" x14ac:dyDescent="0.25">
      <c r="A40" s="30" t="s">
        <v>789</v>
      </c>
      <c r="B40" t="s">
        <v>772</v>
      </c>
      <c r="C40" t="s">
        <v>772</v>
      </c>
      <c r="D40" t="s">
        <v>819</v>
      </c>
    </row>
    <row r="41" spans="1:4" x14ac:dyDescent="0.25">
      <c r="A41" s="30" t="s">
        <v>790</v>
      </c>
      <c r="B41" t="s">
        <v>772</v>
      </c>
      <c r="C41" t="s">
        <v>772</v>
      </c>
      <c r="D41" t="s">
        <v>366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A15"/>
    </sheetView>
  </sheetViews>
  <sheetFormatPr defaultColWidth="11" defaultRowHeight="15.75" x14ac:dyDescent="0.25"/>
  <cols>
    <col min="1" max="1" width="11" style="30"/>
  </cols>
  <sheetData>
    <row r="1" spans="1:2" x14ac:dyDescent="0.25">
      <c r="A1" s="30" t="s">
        <v>801</v>
      </c>
      <c r="B1" s="125">
        <v>42885</v>
      </c>
    </row>
    <row r="2" spans="1:2" x14ac:dyDescent="0.25">
      <c r="A2" s="30" t="s">
        <v>348</v>
      </c>
      <c r="B2" t="s">
        <v>366</v>
      </c>
    </row>
    <row r="3" spans="1:2" x14ac:dyDescent="0.25">
      <c r="A3" s="30" t="s">
        <v>349</v>
      </c>
      <c r="B3" t="s">
        <v>366</v>
      </c>
    </row>
    <row r="4" spans="1:2" x14ac:dyDescent="0.25">
      <c r="A4" s="30" t="s">
        <v>350</v>
      </c>
      <c r="B4" t="s">
        <v>366</v>
      </c>
    </row>
    <row r="5" spans="1:2" x14ac:dyDescent="0.25">
      <c r="A5" s="30" t="s">
        <v>351</v>
      </c>
      <c r="B5" t="s">
        <v>366</v>
      </c>
    </row>
    <row r="6" spans="1:2" x14ac:dyDescent="0.25">
      <c r="A6" s="30" t="s">
        <v>352</v>
      </c>
      <c r="B6" t="s">
        <v>366</v>
      </c>
    </row>
    <row r="7" spans="1:2" x14ac:dyDescent="0.25">
      <c r="A7" s="30" t="s">
        <v>417</v>
      </c>
      <c r="B7" t="s">
        <v>366</v>
      </c>
    </row>
    <row r="8" spans="1:2" x14ac:dyDescent="0.25">
      <c r="A8" s="30" t="s">
        <v>418</v>
      </c>
      <c r="B8" t="s">
        <v>737</v>
      </c>
    </row>
    <row r="9" spans="1:2" x14ac:dyDescent="0.25">
      <c r="A9" s="30" t="s">
        <v>353</v>
      </c>
      <c r="B9" t="s">
        <v>366</v>
      </c>
    </row>
    <row r="10" spans="1:2" x14ac:dyDescent="0.25">
      <c r="A10" s="30" t="s">
        <v>354</v>
      </c>
      <c r="B10" t="s">
        <v>366</v>
      </c>
    </row>
    <row r="11" spans="1:2" x14ac:dyDescent="0.25">
      <c r="A11" s="30" t="s">
        <v>355</v>
      </c>
      <c r="B11" t="s">
        <v>367</v>
      </c>
    </row>
    <row r="12" spans="1:2" x14ac:dyDescent="0.25">
      <c r="A12" s="30" t="s">
        <v>356</v>
      </c>
      <c r="B12" t="s">
        <v>366</v>
      </c>
    </row>
    <row r="13" spans="1:2" x14ac:dyDescent="0.25">
      <c r="A13" s="30" t="s">
        <v>357</v>
      </c>
      <c r="B13" t="s">
        <v>366</v>
      </c>
    </row>
    <row r="14" spans="1:2" x14ac:dyDescent="0.25">
      <c r="A14" s="30" t="s">
        <v>427</v>
      </c>
      <c r="B14" t="s">
        <v>816</v>
      </c>
    </row>
    <row r="15" spans="1:2" x14ac:dyDescent="0.25">
      <c r="A15" s="30" t="s">
        <v>428</v>
      </c>
      <c r="B15" t="s">
        <v>366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A21"/>
    </sheetView>
  </sheetViews>
  <sheetFormatPr defaultColWidth="11" defaultRowHeight="15.75" x14ac:dyDescent="0.25"/>
  <sheetData>
    <row r="1" spans="1:3" x14ac:dyDescent="0.25">
      <c r="A1" s="30" t="s">
        <v>801</v>
      </c>
      <c r="B1" s="100">
        <v>42892</v>
      </c>
      <c r="C1" s="100">
        <v>42893</v>
      </c>
    </row>
    <row r="2" spans="1:3" x14ac:dyDescent="0.25">
      <c r="A2" s="30" t="s">
        <v>348</v>
      </c>
      <c r="B2" t="s">
        <v>840</v>
      </c>
      <c r="C2" t="s">
        <v>366</v>
      </c>
    </row>
    <row r="3" spans="1:3" x14ac:dyDescent="0.25">
      <c r="A3" s="30" t="s">
        <v>349</v>
      </c>
      <c r="B3" t="s">
        <v>366</v>
      </c>
      <c r="C3" t="s">
        <v>366</v>
      </c>
    </row>
    <row r="4" spans="1:3" x14ac:dyDescent="0.25">
      <c r="A4" s="30" t="s">
        <v>350</v>
      </c>
      <c r="B4" t="s">
        <v>366</v>
      </c>
      <c r="C4" t="s">
        <v>366</v>
      </c>
    </row>
    <row r="5" spans="1:3" x14ac:dyDescent="0.25">
      <c r="A5" s="30" t="s">
        <v>351</v>
      </c>
      <c r="B5" t="s">
        <v>366</v>
      </c>
      <c r="C5" t="s">
        <v>366</v>
      </c>
    </row>
    <row r="6" spans="1:3" x14ac:dyDescent="0.25">
      <c r="A6" s="30" t="s">
        <v>352</v>
      </c>
      <c r="B6" t="s">
        <v>852</v>
      </c>
      <c r="C6" t="s">
        <v>366</v>
      </c>
    </row>
    <row r="7" spans="1:3" x14ac:dyDescent="0.25">
      <c r="A7" s="30" t="s">
        <v>417</v>
      </c>
      <c r="B7" t="s">
        <v>366</v>
      </c>
      <c r="C7" t="s">
        <v>366</v>
      </c>
    </row>
    <row r="8" spans="1:3" x14ac:dyDescent="0.25">
      <c r="A8" s="30" t="s">
        <v>418</v>
      </c>
      <c r="B8" t="s">
        <v>366</v>
      </c>
      <c r="C8" t="s">
        <v>366</v>
      </c>
    </row>
    <row r="9" spans="1:3" x14ac:dyDescent="0.25">
      <c r="A9" s="30" t="s">
        <v>419</v>
      </c>
      <c r="B9" t="s">
        <v>368</v>
      </c>
      <c r="C9" t="s">
        <v>856</v>
      </c>
    </row>
    <row r="10" spans="1:3" x14ac:dyDescent="0.25">
      <c r="A10" s="30" t="s">
        <v>420</v>
      </c>
      <c r="B10" t="s">
        <v>366</v>
      </c>
      <c r="C10" t="s">
        <v>366</v>
      </c>
    </row>
    <row r="11" spans="1:3" x14ac:dyDescent="0.25">
      <c r="A11" s="30" t="s">
        <v>421</v>
      </c>
      <c r="B11" t="s">
        <v>366</v>
      </c>
      <c r="C11" t="s">
        <v>366</v>
      </c>
    </row>
    <row r="12" spans="1:3" x14ac:dyDescent="0.25">
      <c r="A12" s="30" t="s">
        <v>353</v>
      </c>
      <c r="B12" t="s">
        <v>837</v>
      </c>
      <c r="C12" t="s">
        <v>859</v>
      </c>
    </row>
    <row r="13" spans="1:3" x14ac:dyDescent="0.25">
      <c r="A13" s="30" t="s">
        <v>354</v>
      </c>
      <c r="B13" t="s">
        <v>366</v>
      </c>
      <c r="C13" t="s">
        <v>368</v>
      </c>
    </row>
    <row r="14" spans="1:3" x14ac:dyDescent="0.25">
      <c r="A14" s="30" t="s">
        <v>355</v>
      </c>
      <c r="B14" t="s">
        <v>366</v>
      </c>
      <c r="C14" t="s">
        <v>366</v>
      </c>
    </row>
    <row r="15" spans="1:3" x14ac:dyDescent="0.25">
      <c r="A15" s="30" t="s">
        <v>356</v>
      </c>
      <c r="B15" t="s">
        <v>366</v>
      </c>
      <c r="C15" t="s">
        <v>366</v>
      </c>
    </row>
    <row r="16" spans="1:3" x14ac:dyDescent="0.25">
      <c r="A16" s="30" t="s">
        <v>357</v>
      </c>
      <c r="B16" t="s">
        <v>851</v>
      </c>
      <c r="C16" t="s">
        <v>366</v>
      </c>
    </row>
    <row r="17" spans="1:3" x14ac:dyDescent="0.25">
      <c r="A17" s="30" t="s">
        <v>427</v>
      </c>
      <c r="B17" t="s">
        <v>853</v>
      </c>
      <c r="C17" t="s">
        <v>366</v>
      </c>
    </row>
    <row r="18" spans="1:3" x14ac:dyDescent="0.25">
      <c r="A18" s="30" t="s">
        <v>428</v>
      </c>
      <c r="B18" t="s">
        <v>366</v>
      </c>
      <c r="C18" t="s">
        <v>366</v>
      </c>
    </row>
    <row r="19" spans="1:3" x14ac:dyDescent="0.25">
      <c r="A19" s="30" t="s">
        <v>429</v>
      </c>
      <c r="B19" t="s">
        <v>366</v>
      </c>
      <c r="C19" t="s">
        <v>366</v>
      </c>
    </row>
    <row r="20" spans="1:3" x14ac:dyDescent="0.25">
      <c r="A20" s="30" t="s">
        <v>430</v>
      </c>
      <c r="B20" t="s">
        <v>848</v>
      </c>
      <c r="C20" t="s">
        <v>366</v>
      </c>
    </row>
    <row r="21" spans="1:3" x14ac:dyDescent="0.25">
      <c r="A21" s="30" t="s">
        <v>431</v>
      </c>
      <c r="B21" t="s">
        <v>366</v>
      </c>
      <c r="C21" t="s">
        <v>366</v>
      </c>
    </row>
    <row r="22" spans="1:3" x14ac:dyDescent="0.25">
      <c r="A22" s="30" t="s">
        <v>358</v>
      </c>
      <c r="B22" t="s">
        <v>772</v>
      </c>
      <c r="C22" t="s">
        <v>861</v>
      </c>
    </row>
    <row r="23" spans="1:3" x14ac:dyDescent="0.25">
      <c r="A23" s="30" t="s">
        <v>362</v>
      </c>
      <c r="B23" t="s">
        <v>772</v>
      </c>
      <c r="C23" t="s">
        <v>366</v>
      </c>
    </row>
    <row r="24" spans="1:3" x14ac:dyDescent="0.25">
      <c r="A24" s="30" t="s">
        <v>363</v>
      </c>
      <c r="B24" t="s">
        <v>772</v>
      </c>
      <c r="C24" t="s">
        <v>863</v>
      </c>
    </row>
    <row r="25" spans="1:3" x14ac:dyDescent="0.25">
      <c r="A25" s="30" t="s">
        <v>364</v>
      </c>
      <c r="B25" t="s">
        <v>772</v>
      </c>
      <c r="C25" t="s">
        <v>366</v>
      </c>
    </row>
    <row r="26" spans="1:3" x14ac:dyDescent="0.25">
      <c r="A26" s="30" t="s">
        <v>361</v>
      </c>
      <c r="B26" t="s">
        <v>772</v>
      </c>
      <c r="C26" t="s">
        <v>366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.75" x14ac:dyDescent="0.25"/>
  <cols>
    <col min="2" max="3" width="9.625" bestFit="1" customWidth="1"/>
  </cols>
  <sheetData>
    <row r="1" spans="1:3" x14ac:dyDescent="0.25">
      <c r="A1" s="30" t="s">
        <v>1664</v>
      </c>
      <c r="B1" s="125">
        <v>43225</v>
      </c>
      <c r="C1" s="125">
        <v>43226</v>
      </c>
    </row>
    <row r="2" spans="1:3" x14ac:dyDescent="0.25">
      <c r="A2" s="142" t="s">
        <v>1665</v>
      </c>
      <c r="B2" t="s">
        <v>1249</v>
      </c>
      <c r="C2" t="s">
        <v>1270</v>
      </c>
    </row>
    <row r="3" spans="1:3" x14ac:dyDescent="0.25">
      <c r="A3" s="142" t="s">
        <v>1666</v>
      </c>
      <c r="B3" t="s">
        <v>366</v>
      </c>
      <c r="C3" t="s">
        <v>366</v>
      </c>
    </row>
    <row r="4" spans="1:3" x14ac:dyDescent="0.25">
      <c r="A4" s="142" t="s">
        <v>1667</v>
      </c>
      <c r="B4" t="s">
        <v>366</v>
      </c>
      <c r="C4" t="s">
        <v>1265</v>
      </c>
    </row>
    <row r="5" spans="1:3" x14ac:dyDescent="0.25">
      <c r="A5" s="142" t="s">
        <v>1668</v>
      </c>
      <c r="B5" t="s">
        <v>367</v>
      </c>
      <c r="C5" t="s">
        <v>366</v>
      </c>
    </row>
    <row r="6" spans="1:3" x14ac:dyDescent="0.25">
      <c r="A6" s="142" t="s">
        <v>1669</v>
      </c>
      <c r="B6" t="s">
        <v>366</v>
      </c>
      <c r="C6" t="s">
        <v>366</v>
      </c>
    </row>
    <row r="7" spans="1:3" x14ac:dyDescent="0.25">
      <c r="A7" s="142" t="s">
        <v>1670</v>
      </c>
      <c r="B7" t="s">
        <v>366</v>
      </c>
      <c r="C7" t="s">
        <v>1671</v>
      </c>
    </row>
    <row r="8" spans="1:3" x14ac:dyDescent="0.25">
      <c r="A8" s="142" t="s">
        <v>1672</v>
      </c>
      <c r="B8" t="s">
        <v>366</v>
      </c>
      <c r="C8" t="s">
        <v>366</v>
      </c>
    </row>
    <row r="9" spans="1:3" x14ac:dyDescent="0.25">
      <c r="A9" s="142" t="s">
        <v>1673</v>
      </c>
      <c r="B9" t="s">
        <v>366</v>
      </c>
      <c r="C9" t="s">
        <v>366</v>
      </c>
    </row>
    <row r="10" spans="1:3" x14ac:dyDescent="0.25">
      <c r="A10" s="142" t="s">
        <v>1674</v>
      </c>
      <c r="B10" t="s">
        <v>1259</v>
      </c>
      <c r="C10" t="s">
        <v>367</v>
      </c>
    </row>
    <row r="11" spans="1:3" x14ac:dyDescent="0.25">
      <c r="A11" s="142" t="s">
        <v>1675</v>
      </c>
      <c r="B11" t="s">
        <v>366</v>
      </c>
      <c r="C11" t="s">
        <v>1262</v>
      </c>
    </row>
    <row r="12" spans="1:3" x14ac:dyDescent="0.25">
      <c r="A12" s="142" t="s">
        <v>1676</v>
      </c>
      <c r="B12" t="s">
        <v>366</v>
      </c>
      <c r="C12" t="s">
        <v>367</v>
      </c>
    </row>
    <row r="13" spans="1:3" x14ac:dyDescent="0.25">
      <c r="A13" s="142" t="s">
        <v>1677</v>
      </c>
      <c r="B13" t="s">
        <v>366</v>
      </c>
      <c r="C13" t="s">
        <v>366</v>
      </c>
    </row>
    <row r="14" spans="1:3" x14ac:dyDescent="0.25">
      <c r="A14" s="142" t="s">
        <v>1678</v>
      </c>
      <c r="B14" t="s">
        <v>367</v>
      </c>
      <c r="C14" t="s">
        <v>1679</v>
      </c>
    </row>
    <row r="15" spans="1:3" x14ac:dyDescent="0.25">
      <c r="A15" s="142" t="s">
        <v>1680</v>
      </c>
      <c r="B15" t="s">
        <v>366</v>
      </c>
      <c r="C15" t="s">
        <v>366</v>
      </c>
    </row>
    <row r="16" spans="1:3" x14ac:dyDescent="0.25">
      <c r="A16" s="142" t="s">
        <v>1681</v>
      </c>
      <c r="B16" t="s">
        <v>1256</v>
      </c>
      <c r="C16" t="s">
        <v>366</v>
      </c>
    </row>
    <row r="17" spans="1:3" x14ac:dyDescent="0.25">
      <c r="A17" s="142" t="s">
        <v>1682</v>
      </c>
      <c r="B17" t="s">
        <v>369</v>
      </c>
      <c r="C17" t="s">
        <v>366</v>
      </c>
    </row>
    <row r="18" spans="1:3" x14ac:dyDescent="0.25">
      <c r="A18" s="142" t="s">
        <v>1683</v>
      </c>
      <c r="B18" t="s">
        <v>368</v>
      </c>
      <c r="C18" t="s">
        <v>368</v>
      </c>
    </row>
    <row r="19" spans="1:3" x14ac:dyDescent="0.25">
      <c r="A19" s="142" t="s">
        <v>1684</v>
      </c>
      <c r="B19" t="s">
        <v>366</v>
      </c>
      <c r="C19" t="s">
        <v>1685</v>
      </c>
    </row>
    <row r="20" spans="1:3" x14ac:dyDescent="0.25">
      <c r="A20" s="142" t="s">
        <v>1686</v>
      </c>
      <c r="B20" t="s">
        <v>1254</v>
      </c>
      <c r="C20" t="s">
        <v>1261</v>
      </c>
    </row>
    <row r="21" spans="1:3" x14ac:dyDescent="0.25">
      <c r="A21" s="142" t="s">
        <v>1687</v>
      </c>
      <c r="B21" t="s">
        <v>1688</v>
      </c>
      <c r="C21" t="s">
        <v>366</v>
      </c>
    </row>
    <row r="22" spans="1:3" x14ac:dyDescent="0.25">
      <c r="A22" s="142" t="s">
        <v>1689</v>
      </c>
      <c r="B22" t="s">
        <v>772</v>
      </c>
      <c r="C22" t="s">
        <v>368</v>
      </c>
    </row>
    <row r="23" spans="1:3" x14ac:dyDescent="0.25">
      <c r="A23" s="142" t="s">
        <v>1690</v>
      </c>
      <c r="B23" t="s">
        <v>772</v>
      </c>
      <c r="C23" t="s">
        <v>1267</v>
      </c>
    </row>
    <row r="24" spans="1:3" x14ac:dyDescent="0.25">
      <c r="A24" s="142" t="s">
        <v>1691</v>
      </c>
      <c r="B24" t="s">
        <v>772</v>
      </c>
      <c r="C24" t="s">
        <v>366</v>
      </c>
    </row>
    <row r="25" spans="1:3" x14ac:dyDescent="0.25">
      <c r="A25" s="142" t="s">
        <v>1692</v>
      </c>
      <c r="B25" t="s">
        <v>772</v>
      </c>
      <c r="C25" t="s">
        <v>366</v>
      </c>
    </row>
    <row r="26" spans="1:3" x14ac:dyDescent="0.25">
      <c r="A26" s="142" t="s">
        <v>1693</v>
      </c>
      <c r="B26" t="s">
        <v>772</v>
      </c>
      <c r="C26" t="s">
        <v>366</v>
      </c>
    </row>
    <row r="27" spans="1:3" x14ac:dyDescent="0.25">
      <c r="A27" s="142" t="s">
        <v>1694</v>
      </c>
      <c r="B27" t="s">
        <v>772</v>
      </c>
      <c r="C27" t="s">
        <v>366</v>
      </c>
    </row>
    <row r="28" spans="1:3" x14ac:dyDescent="0.25">
      <c r="A28" s="142" t="s">
        <v>1695</v>
      </c>
      <c r="B28" t="s">
        <v>772</v>
      </c>
      <c r="C28" t="s">
        <v>366</v>
      </c>
    </row>
    <row r="29" spans="1:3" x14ac:dyDescent="0.25">
      <c r="A29" s="142" t="s">
        <v>1696</v>
      </c>
      <c r="B29" t="s">
        <v>772</v>
      </c>
      <c r="C29" t="s">
        <v>366</v>
      </c>
    </row>
    <row r="30" spans="1:3" x14ac:dyDescent="0.25">
      <c r="A30" s="142" t="s">
        <v>1697</v>
      </c>
      <c r="B30" t="s">
        <v>772</v>
      </c>
      <c r="C30" t="s">
        <v>366</v>
      </c>
    </row>
    <row r="31" spans="1:3" x14ac:dyDescent="0.25">
      <c r="A31" s="142" t="s">
        <v>1698</v>
      </c>
      <c r="B31" t="s">
        <v>772</v>
      </c>
      <c r="C31" t="s">
        <v>366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.75" x14ac:dyDescent="0.25"/>
  <cols>
    <col min="2" max="2" width="10.625" bestFit="1" customWidth="1"/>
    <col min="3" max="3" width="25.5" bestFit="1" customWidth="1"/>
  </cols>
  <sheetData>
    <row r="1" spans="1:3" x14ac:dyDescent="0.25">
      <c r="A1" s="30" t="s">
        <v>1664</v>
      </c>
      <c r="B1" s="125">
        <v>43236</v>
      </c>
      <c r="C1" s="125">
        <v>43237</v>
      </c>
    </row>
    <row r="2" spans="1:3" x14ac:dyDescent="0.25">
      <c r="A2" s="142" t="s">
        <v>1665</v>
      </c>
      <c r="B2" s="260" t="s">
        <v>1408</v>
      </c>
      <c r="C2" t="s">
        <v>1699</v>
      </c>
    </row>
    <row r="3" spans="1:3" x14ac:dyDescent="0.25">
      <c r="A3" s="142" t="s">
        <v>1666</v>
      </c>
      <c r="B3" s="260" t="s">
        <v>1404</v>
      </c>
      <c r="C3" t="s">
        <v>369</v>
      </c>
    </row>
    <row r="4" spans="1:3" x14ac:dyDescent="0.25">
      <c r="A4" s="142" t="s">
        <v>1667</v>
      </c>
      <c r="B4" t="s">
        <v>1700</v>
      </c>
      <c r="C4" t="s">
        <v>366</v>
      </c>
    </row>
    <row r="5" spans="1:3" x14ac:dyDescent="0.25">
      <c r="A5" s="142" t="s">
        <v>1668</v>
      </c>
      <c r="B5" t="s">
        <v>366</v>
      </c>
      <c r="C5" t="s">
        <v>367</v>
      </c>
    </row>
    <row r="6" spans="1:3" x14ac:dyDescent="0.25">
      <c r="A6" s="142" t="s">
        <v>1669</v>
      </c>
      <c r="B6" t="s">
        <v>366</v>
      </c>
      <c r="C6" t="s">
        <v>1414</v>
      </c>
    </row>
    <row r="7" spans="1:3" x14ac:dyDescent="0.25">
      <c r="A7" s="142" t="s">
        <v>1670</v>
      </c>
      <c r="B7" t="s">
        <v>1418</v>
      </c>
      <c r="C7" t="s">
        <v>1422</v>
      </c>
    </row>
    <row r="8" spans="1:3" x14ac:dyDescent="0.25">
      <c r="A8" s="142" t="s">
        <v>1672</v>
      </c>
      <c r="B8" t="s">
        <v>366</v>
      </c>
      <c r="C8" t="s">
        <v>366</v>
      </c>
    </row>
    <row r="9" spans="1:3" x14ac:dyDescent="0.25">
      <c r="A9" s="142" t="s">
        <v>1673</v>
      </c>
      <c r="B9" t="s">
        <v>366</v>
      </c>
      <c r="C9" t="s">
        <v>366</v>
      </c>
    </row>
    <row r="10" spans="1:3" x14ac:dyDescent="0.25">
      <c r="A10" s="142" t="s">
        <v>1701</v>
      </c>
      <c r="B10" s="260" t="s">
        <v>1412</v>
      </c>
      <c r="C10" t="s">
        <v>1425</v>
      </c>
    </row>
    <row r="11" spans="1:3" x14ac:dyDescent="0.25">
      <c r="A11" s="142" t="s">
        <v>1702</v>
      </c>
      <c r="B11" t="s">
        <v>368</v>
      </c>
      <c r="C11" t="s">
        <v>368</v>
      </c>
    </row>
    <row r="12" spans="1:3" x14ac:dyDescent="0.25">
      <c r="A12" s="142" t="s">
        <v>1674</v>
      </c>
      <c r="B12" t="s">
        <v>366</v>
      </c>
      <c r="C12" t="s">
        <v>1428</v>
      </c>
    </row>
    <row r="13" spans="1:3" x14ac:dyDescent="0.25">
      <c r="A13" s="142" t="s">
        <v>1675</v>
      </c>
      <c r="B13" t="s">
        <v>366</v>
      </c>
      <c r="C13" t="s">
        <v>366</v>
      </c>
    </row>
    <row r="14" spans="1:3" x14ac:dyDescent="0.25">
      <c r="A14" s="142" t="s">
        <v>1676</v>
      </c>
      <c r="B14" t="s">
        <v>366</v>
      </c>
      <c r="C14" t="s">
        <v>366</v>
      </c>
    </row>
    <row r="15" spans="1:3" x14ac:dyDescent="0.25">
      <c r="A15" s="142" t="s">
        <v>1677</v>
      </c>
      <c r="B15" t="s">
        <v>366</v>
      </c>
      <c r="C15" t="s">
        <v>366</v>
      </c>
    </row>
    <row r="16" spans="1:3" x14ac:dyDescent="0.25">
      <c r="A16" s="142" t="s">
        <v>1678</v>
      </c>
      <c r="B16" t="s">
        <v>1414</v>
      </c>
      <c r="C16" t="s">
        <v>366</v>
      </c>
    </row>
    <row r="17" spans="1:3" x14ac:dyDescent="0.25">
      <c r="A17" s="142" t="s">
        <v>1680</v>
      </c>
      <c r="B17" t="s">
        <v>366</v>
      </c>
      <c r="C17" t="s">
        <v>366</v>
      </c>
    </row>
    <row r="18" spans="1:3" x14ac:dyDescent="0.25">
      <c r="A18" s="142" t="s">
        <v>1681</v>
      </c>
      <c r="B18" t="s">
        <v>366</v>
      </c>
      <c r="C18" t="s">
        <v>1418</v>
      </c>
    </row>
    <row r="19" spans="1:3" x14ac:dyDescent="0.25">
      <c r="A19" s="142" t="s">
        <v>1682</v>
      </c>
      <c r="B19" t="s">
        <v>366</v>
      </c>
      <c r="C19" t="s">
        <v>366</v>
      </c>
    </row>
    <row r="20" spans="1:3" x14ac:dyDescent="0.25">
      <c r="A20" s="142" t="s">
        <v>1683</v>
      </c>
      <c r="B20" t="s">
        <v>366</v>
      </c>
      <c r="C20" t="s">
        <v>366</v>
      </c>
    </row>
    <row r="21" spans="1:3" x14ac:dyDescent="0.25">
      <c r="A21" s="142" t="s">
        <v>1684</v>
      </c>
      <c r="B21" t="s">
        <v>366</v>
      </c>
      <c r="C21" t="s">
        <v>366</v>
      </c>
    </row>
    <row r="22" spans="1:3" x14ac:dyDescent="0.25">
      <c r="A22" s="142" t="s">
        <v>1689</v>
      </c>
      <c r="B22" t="s">
        <v>366</v>
      </c>
      <c r="C22" t="s">
        <v>366</v>
      </c>
    </row>
    <row r="23" spans="1:3" x14ac:dyDescent="0.25">
      <c r="A23" s="142" t="s">
        <v>1690</v>
      </c>
      <c r="B23" t="s">
        <v>366</v>
      </c>
      <c r="C23" t="s">
        <v>366</v>
      </c>
    </row>
    <row r="24" spans="1:3" x14ac:dyDescent="0.25">
      <c r="A24" s="142" t="s">
        <v>1691</v>
      </c>
      <c r="B24" t="s">
        <v>1406</v>
      </c>
      <c r="C24" t="s">
        <v>366</v>
      </c>
    </row>
    <row r="25" spans="1:3" x14ac:dyDescent="0.25">
      <c r="A25" s="142" t="s">
        <v>1692</v>
      </c>
      <c r="B25" s="260" t="s">
        <v>1416</v>
      </c>
      <c r="C25" t="s">
        <v>366</v>
      </c>
    </row>
    <row r="26" spans="1:3" x14ac:dyDescent="0.25">
      <c r="A26" s="142" t="s">
        <v>1693</v>
      </c>
      <c r="B26" t="s">
        <v>366</v>
      </c>
      <c r="C26" s="260" t="s">
        <v>1423</v>
      </c>
    </row>
    <row r="27" spans="1:3" x14ac:dyDescent="0.25">
      <c r="A27" s="142" t="s">
        <v>1694</v>
      </c>
      <c r="B27" t="s">
        <v>366</v>
      </c>
      <c r="C27" t="s">
        <v>366</v>
      </c>
    </row>
    <row r="28" spans="1:3" x14ac:dyDescent="0.25">
      <c r="A28" s="142" t="s">
        <v>1695</v>
      </c>
      <c r="B28" t="s">
        <v>366</v>
      </c>
      <c r="C28" s="260" t="s">
        <v>1420</v>
      </c>
    </row>
    <row r="29" spans="1:3" x14ac:dyDescent="0.25">
      <c r="A29" s="142" t="s">
        <v>1696</v>
      </c>
      <c r="B29" t="s">
        <v>366</v>
      </c>
      <c r="C29" t="s">
        <v>1416</v>
      </c>
    </row>
    <row r="30" spans="1:3" x14ac:dyDescent="0.25">
      <c r="A30" s="142" t="s">
        <v>1697</v>
      </c>
      <c r="B30" t="s">
        <v>1410</v>
      </c>
      <c r="C30" s="260" t="s">
        <v>366</v>
      </c>
    </row>
    <row r="31" spans="1:3" x14ac:dyDescent="0.25">
      <c r="A31" s="142" t="s">
        <v>1698</v>
      </c>
      <c r="B31" t="s">
        <v>366</v>
      </c>
      <c r="C31" s="260" t="s">
        <v>1426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ColWidth="11" defaultRowHeight="15.75" x14ac:dyDescent="0.25"/>
  <cols>
    <col min="5" max="5" width="13.375" bestFit="1" customWidth="1"/>
  </cols>
  <sheetData>
    <row r="1" spans="1:5" x14ac:dyDescent="0.25">
      <c r="A1" s="142" t="s">
        <v>801</v>
      </c>
      <c r="B1" s="125">
        <v>42900</v>
      </c>
      <c r="C1" s="125">
        <v>42901</v>
      </c>
      <c r="D1" s="125">
        <v>43231</v>
      </c>
      <c r="E1" s="125">
        <v>43232</v>
      </c>
    </row>
    <row r="2" spans="1:5" x14ac:dyDescent="0.25">
      <c r="A2" s="30" t="s">
        <v>348</v>
      </c>
      <c r="B2" t="s">
        <v>934</v>
      </c>
      <c r="C2" t="s">
        <v>367</v>
      </c>
      <c r="D2" t="s">
        <v>366</v>
      </c>
      <c r="E2" t="s">
        <v>366</v>
      </c>
    </row>
    <row r="3" spans="1:5" x14ac:dyDescent="0.25">
      <c r="A3" s="30" t="s">
        <v>349</v>
      </c>
      <c r="B3" t="s">
        <v>366</v>
      </c>
      <c r="C3" t="s">
        <v>366</v>
      </c>
      <c r="D3" s="111" t="s">
        <v>1355</v>
      </c>
      <c r="E3" t="s">
        <v>366</v>
      </c>
    </row>
    <row r="4" spans="1:5" x14ac:dyDescent="0.25">
      <c r="A4" s="30" t="s">
        <v>350</v>
      </c>
      <c r="B4" t="s">
        <v>366</v>
      </c>
      <c r="C4" t="s">
        <v>366</v>
      </c>
      <c r="D4" t="s">
        <v>1353</v>
      </c>
      <c r="E4" t="s">
        <v>366</v>
      </c>
    </row>
    <row r="5" spans="1:5" x14ac:dyDescent="0.25">
      <c r="A5" s="30" t="s">
        <v>351</v>
      </c>
      <c r="B5" t="s">
        <v>366</v>
      </c>
      <c r="C5" t="s">
        <v>366</v>
      </c>
      <c r="D5" t="s">
        <v>366</v>
      </c>
      <c r="E5" t="s">
        <v>366</v>
      </c>
    </row>
    <row r="6" spans="1:5" x14ac:dyDescent="0.25">
      <c r="A6" s="30" t="s">
        <v>352</v>
      </c>
      <c r="B6" t="s">
        <v>366</v>
      </c>
      <c r="C6" t="s">
        <v>366</v>
      </c>
      <c r="D6" t="s">
        <v>366</v>
      </c>
      <c r="E6" t="s">
        <v>366</v>
      </c>
    </row>
    <row r="7" spans="1:5" x14ac:dyDescent="0.25">
      <c r="A7" s="30" t="s">
        <v>417</v>
      </c>
      <c r="B7" t="s">
        <v>367</v>
      </c>
      <c r="C7" t="s">
        <v>366</v>
      </c>
      <c r="D7" t="s">
        <v>366</v>
      </c>
      <c r="E7" t="s">
        <v>366</v>
      </c>
    </row>
    <row r="8" spans="1:5" x14ac:dyDescent="0.25">
      <c r="A8" s="30" t="s">
        <v>418</v>
      </c>
      <c r="B8" t="s">
        <v>366</v>
      </c>
      <c r="C8" t="s">
        <v>366</v>
      </c>
      <c r="D8" t="s">
        <v>1362</v>
      </c>
      <c r="E8" t="s">
        <v>1362</v>
      </c>
    </row>
    <row r="9" spans="1:5" x14ac:dyDescent="0.25">
      <c r="A9" s="30" t="s">
        <v>419</v>
      </c>
      <c r="B9" t="s">
        <v>368</v>
      </c>
      <c r="C9" t="s">
        <v>955</v>
      </c>
      <c r="D9" t="s">
        <v>772</v>
      </c>
      <c r="E9" t="s">
        <v>367</v>
      </c>
    </row>
    <row r="10" spans="1:5" x14ac:dyDescent="0.25">
      <c r="A10" s="30" t="s">
        <v>420</v>
      </c>
      <c r="B10" t="s">
        <v>366</v>
      </c>
      <c r="C10" t="s">
        <v>366</v>
      </c>
      <c r="D10" t="s">
        <v>772</v>
      </c>
      <c r="E10" t="s">
        <v>366</v>
      </c>
    </row>
    <row r="11" spans="1:5" x14ac:dyDescent="0.25">
      <c r="A11" s="30" t="s">
        <v>421</v>
      </c>
      <c r="B11" t="s">
        <v>366</v>
      </c>
      <c r="C11" t="s">
        <v>952</v>
      </c>
      <c r="D11" t="s">
        <v>772</v>
      </c>
      <c r="E11" t="s">
        <v>366</v>
      </c>
    </row>
    <row r="12" spans="1:5" x14ac:dyDescent="0.25">
      <c r="A12" s="30" t="s">
        <v>353</v>
      </c>
      <c r="B12" t="s">
        <v>366</v>
      </c>
      <c r="C12" t="s">
        <v>946</v>
      </c>
      <c r="D12" t="s">
        <v>366</v>
      </c>
      <c r="E12" t="s">
        <v>1703</v>
      </c>
    </row>
    <row r="13" spans="1:5" x14ac:dyDescent="0.25">
      <c r="A13" s="30" t="s">
        <v>354</v>
      </c>
      <c r="B13" t="s">
        <v>932</v>
      </c>
      <c r="C13" t="s">
        <v>369</v>
      </c>
      <c r="D13" t="s">
        <v>366</v>
      </c>
      <c r="E13" t="s">
        <v>366</v>
      </c>
    </row>
    <row r="14" spans="1:5" x14ac:dyDescent="0.25">
      <c r="A14" s="30" t="s">
        <v>355</v>
      </c>
      <c r="B14" t="s">
        <v>366</v>
      </c>
      <c r="C14" t="s">
        <v>366</v>
      </c>
      <c r="D14" s="260" t="s">
        <v>1351</v>
      </c>
      <c r="E14" t="s">
        <v>1353</v>
      </c>
    </row>
    <row r="15" spans="1:5" x14ac:dyDescent="0.25">
      <c r="A15" s="30" t="s">
        <v>356</v>
      </c>
      <c r="B15" t="s">
        <v>929</v>
      </c>
      <c r="C15" t="s">
        <v>366</v>
      </c>
      <c r="D15" t="s">
        <v>368</v>
      </c>
      <c r="E15" t="s">
        <v>1357</v>
      </c>
    </row>
    <row r="16" spans="1:5" x14ac:dyDescent="0.25">
      <c r="A16" s="30" t="s">
        <v>357</v>
      </c>
      <c r="B16" t="s">
        <v>366</v>
      </c>
      <c r="C16" t="s">
        <v>366</v>
      </c>
      <c r="D16" s="260" t="s">
        <v>1357</v>
      </c>
      <c r="E16" t="s">
        <v>369</v>
      </c>
    </row>
    <row r="17" spans="1:5" x14ac:dyDescent="0.25">
      <c r="A17" s="30" t="s">
        <v>427</v>
      </c>
      <c r="B17" t="s">
        <v>366</v>
      </c>
      <c r="C17" t="s">
        <v>366</v>
      </c>
      <c r="D17" t="s">
        <v>1359</v>
      </c>
      <c r="E17" t="s">
        <v>367</v>
      </c>
    </row>
    <row r="18" spans="1:5" x14ac:dyDescent="0.25">
      <c r="A18" s="30" t="s">
        <v>428</v>
      </c>
      <c r="B18" t="s">
        <v>366</v>
      </c>
      <c r="C18" t="s">
        <v>366</v>
      </c>
      <c r="D18" s="260" t="s">
        <v>366</v>
      </c>
      <c r="E18" t="s">
        <v>1359</v>
      </c>
    </row>
    <row r="19" spans="1:5" x14ac:dyDescent="0.25">
      <c r="A19" s="30" t="s">
        <v>429</v>
      </c>
      <c r="B19" t="s">
        <v>366</v>
      </c>
      <c r="C19" t="s">
        <v>366</v>
      </c>
      <c r="D19" t="s">
        <v>366</v>
      </c>
      <c r="E19" t="s">
        <v>366</v>
      </c>
    </row>
    <row r="20" spans="1:5" x14ac:dyDescent="0.25">
      <c r="A20" s="30" t="s">
        <v>430</v>
      </c>
      <c r="B20" t="s">
        <v>368</v>
      </c>
      <c r="C20" t="s">
        <v>366</v>
      </c>
      <c r="D20" t="s">
        <v>366</v>
      </c>
      <c r="E20" t="s">
        <v>366</v>
      </c>
    </row>
    <row r="21" spans="1:5" x14ac:dyDescent="0.25">
      <c r="A21" s="30" t="s">
        <v>431</v>
      </c>
      <c r="B21" t="s">
        <v>366</v>
      </c>
      <c r="C21" t="s">
        <v>366</v>
      </c>
      <c r="D21" t="s">
        <v>366</v>
      </c>
      <c r="E21" t="s">
        <v>1366</v>
      </c>
    </row>
    <row r="22" spans="1:5" x14ac:dyDescent="0.25">
      <c r="A22" s="30" t="s">
        <v>358</v>
      </c>
      <c r="B22" t="s">
        <v>772</v>
      </c>
      <c r="C22" t="s">
        <v>772</v>
      </c>
      <c r="D22" t="s">
        <v>366</v>
      </c>
      <c r="E22" t="s">
        <v>366</v>
      </c>
    </row>
    <row r="23" spans="1:5" x14ac:dyDescent="0.25">
      <c r="A23" s="30" t="s">
        <v>362</v>
      </c>
      <c r="B23" t="s">
        <v>772</v>
      </c>
      <c r="C23" t="s">
        <v>772</v>
      </c>
      <c r="D23" t="s">
        <v>366</v>
      </c>
      <c r="E23" t="s">
        <v>367</v>
      </c>
    </row>
    <row r="24" spans="1:5" x14ac:dyDescent="0.25">
      <c r="A24" s="30" t="s">
        <v>363</v>
      </c>
      <c r="B24" t="s">
        <v>772</v>
      </c>
      <c r="C24" t="s">
        <v>772</v>
      </c>
      <c r="D24" t="s">
        <v>367</v>
      </c>
      <c r="E24" t="s">
        <v>366</v>
      </c>
    </row>
    <row r="25" spans="1:5" x14ac:dyDescent="0.25">
      <c r="A25" s="30" t="s">
        <v>364</v>
      </c>
      <c r="B25" t="s">
        <v>772</v>
      </c>
      <c r="C25" t="s">
        <v>772</v>
      </c>
      <c r="D25" t="s">
        <v>368</v>
      </c>
      <c r="E25" t="s">
        <v>367</v>
      </c>
    </row>
    <row r="26" spans="1:5" x14ac:dyDescent="0.25">
      <c r="A26" s="30" t="s">
        <v>361</v>
      </c>
      <c r="B26" t="s">
        <v>772</v>
      </c>
      <c r="C26" t="s">
        <v>772</v>
      </c>
      <c r="D26" t="s">
        <v>366</v>
      </c>
      <c r="E26" s="260" t="s">
        <v>1368</v>
      </c>
    </row>
    <row r="27" spans="1:5" x14ac:dyDescent="0.25">
      <c r="A27" s="30" t="s">
        <v>437</v>
      </c>
      <c r="B27" t="s">
        <v>772</v>
      </c>
      <c r="C27" t="s">
        <v>772</v>
      </c>
      <c r="D27" t="s">
        <v>366</v>
      </c>
      <c r="E27" s="260" t="s">
        <v>1355</v>
      </c>
    </row>
    <row r="28" spans="1:5" x14ac:dyDescent="0.25">
      <c r="A28" s="30" t="s">
        <v>438</v>
      </c>
      <c r="B28" t="s">
        <v>772</v>
      </c>
      <c r="C28" t="s">
        <v>772</v>
      </c>
      <c r="D28" t="s">
        <v>367</v>
      </c>
      <c r="E28" s="260" t="s">
        <v>1364</v>
      </c>
    </row>
    <row r="29" spans="1:5" x14ac:dyDescent="0.25">
      <c r="A29" s="30" t="s">
        <v>439</v>
      </c>
      <c r="B29" t="s">
        <v>772</v>
      </c>
      <c r="C29" t="s">
        <v>772</v>
      </c>
      <c r="D29" t="s">
        <v>366</v>
      </c>
      <c r="E29" s="260" t="s">
        <v>366</v>
      </c>
    </row>
    <row r="30" spans="1:5" x14ac:dyDescent="0.25">
      <c r="A30" s="30" t="s">
        <v>440</v>
      </c>
      <c r="B30" t="s">
        <v>772</v>
      </c>
      <c r="C30" t="s">
        <v>772</v>
      </c>
      <c r="D30" t="s">
        <v>366</v>
      </c>
      <c r="E30" s="260" t="s">
        <v>366</v>
      </c>
    </row>
    <row r="31" spans="1:5" x14ac:dyDescent="0.25">
      <c r="A31" s="30" t="s">
        <v>441</v>
      </c>
      <c r="B31" t="s">
        <v>772</v>
      </c>
      <c r="C31" t="s">
        <v>772</v>
      </c>
      <c r="D31" t="s">
        <v>366</v>
      </c>
      <c r="E31" t="s">
        <v>1370</v>
      </c>
    </row>
    <row r="32" spans="1:5" x14ac:dyDescent="0.25">
      <c r="A32" s="30" t="s">
        <v>776</v>
      </c>
      <c r="B32" t="s">
        <v>772</v>
      </c>
      <c r="C32" t="s">
        <v>939</v>
      </c>
      <c r="D32" t="s">
        <v>772</v>
      </c>
      <c r="E32" t="s">
        <v>772</v>
      </c>
    </row>
    <row r="33" spans="1:5" x14ac:dyDescent="0.25">
      <c r="A33" s="30" t="s">
        <v>777</v>
      </c>
      <c r="B33" t="s">
        <v>772</v>
      </c>
      <c r="C33" t="s">
        <v>938</v>
      </c>
      <c r="D33" t="s">
        <v>772</v>
      </c>
      <c r="E33" t="s">
        <v>772</v>
      </c>
    </row>
    <row r="34" spans="1:5" x14ac:dyDescent="0.25">
      <c r="A34" s="30" t="s">
        <v>778</v>
      </c>
      <c r="B34" t="s">
        <v>772</v>
      </c>
      <c r="C34" t="s">
        <v>367</v>
      </c>
      <c r="D34" t="s">
        <v>772</v>
      </c>
      <c r="E34" t="s">
        <v>772</v>
      </c>
    </row>
    <row r="35" spans="1:5" x14ac:dyDescent="0.25">
      <c r="A35" s="30" t="s">
        <v>779</v>
      </c>
      <c r="B35" t="s">
        <v>772</v>
      </c>
      <c r="C35" t="s">
        <v>366</v>
      </c>
      <c r="D35" t="s">
        <v>772</v>
      </c>
      <c r="E35" t="s">
        <v>772</v>
      </c>
    </row>
    <row r="36" spans="1:5" x14ac:dyDescent="0.25">
      <c r="A36" s="30" t="s">
        <v>780</v>
      </c>
      <c r="B36" t="s">
        <v>772</v>
      </c>
      <c r="C36" t="s">
        <v>366</v>
      </c>
      <c r="D36" t="s">
        <v>772</v>
      </c>
      <c r="E36" t="s">
        <v>772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topLeftCell="A35" workbookViewId="0">
      <selection activeCell="M65" sqref="M65"/>
    </sheetView>
  </sheetViews>
  <sheetFormatPr defaultRowHeight="15.75" x14ac:dyDescent="0.25"/>
  <cols>
    <col min="2" max="2" width="11"/>
    <col min="3" max="8" width="10.375" bestFit="1" customWidth="1"/>
    <col min="9" max="12" width="10.625" bestFit="1" customWidth="1"/>
    <col min="13" max="13" width="9.625" bestFit="1" customWidth="1"/>
  </cols>
  <sheetData>
    <row r="1" spans="1:14" x14ac:dyDescent="0.25">
      <c r="A1" s="142" t="s">
        <v>801</v>
      </c>
      <c r="B1" s="125">
        <v>43238</v>
      </c>
      <c r="C1" s="125">
        <v>43662</v>
      </c>
      <c r="D1" s="125">
        <v>43663</v>
      </c>
      <c r="E1" s="125">
        <v>43667</v>
      </c>
      <c r="F1" s="125">
        <v>43668</v>
      </c>
      <c r="G1" s="125">
        <v>43669</v>
      </c>
      <c r="H1" s="125">
        <v>43671</v>
      </c>
      <c r="I1" s="125">
        <v>43673</v>
      </c>
      <c r="J1" s="125">
        <v>43674</v>
      </c>
      <c r="K1" s="125">
        <v>43675</v>
      </c>
      <c r="L1" s="125">
        <v>43677</v>
      </c>
      <c r="M1" s="125">
        <v>43683</v>
      </c>
      <c r="N1" s="30"/>
    </row>
    <row r="2" spans="1:14" x14ac:dyDescent="0.25">
      <c r="A2" s="30" t="s">
        <v>348</v>
      </c>
      <c r="B2" t="s">
        <v>1440</v>
      </c>
      <c r="C2" t="s">
        <v>1633</v>
      </c>
      <c r="D2" t="s">
        <v>1645</v>
      </c>
      <c r="E2" t="s">
        <v>368</v>
      </c>
      <c r="F2" t="s">
        <v>368</v>
      </c>
      <c r="G2" t="s">
        <v>1645</v>
      </c>
      <c r="H2" t="s">
        <v>368</v>
      </c>
      <c r="I2" t="s">
        <v>368</v>
      </c>
      <c r="J2" t="s">
        <v>1629</v>
      </c>
      <c r="K2" t="s">
        <v>368</v>
      </c>
      <c r="L2" t="s">
        <v>368</v>
      </c>
      <c r="M2" t="s">
        <v>366</v>
      </c>
    </row>
    <row r="3" spans="1:14" x14ac:dyDescent="0.25">
      <c r="A3" s="30" t="s">
        <v>349</v>
      </c>
      <c r="B3" t="s">
        <v>366</v>
      </c>
      <c r="C3" t="s">
        <v>1629</v>
      </c>
      <c r="D3" t="s">
        <v>1306</v>
      </c>
      <c r="E3" t="s">
        <v>366</v>
      </c>
      <c r="F3" t="s">
        <v>368</v>
      </c>
      <c r="G3" t="s">
        <v>368</v>
      </c>
      <c r="H3" t="s">
        <v>368</v>
      </c>
      <c r="I3" t="s">
        <v>368</v>
      </c>
      <c r="J3" t="s">
        <v>368</v>
      </c>
      <c r="K3" t="s">
        <v>368</v>
      </c>
      <c r="L3" t="s">
        <v>368</v>
      </c>
      <c r="M3" t="s">
        <v>1629</v>
      </c>
    </row>
    <row r="4" spans="1:14" x14ac:dyDescent="0.25">
      <c r="A4" s="30" t="s">
        <v>350</v>
      </c>
      <c r="B4" s="260" t="s">
        <v>1442</v>
      </c>
      <c r="C4" t="s">
        <v>1306</v>
      </c>
      <c r="D4" t="s">
        <v>366</v>
      </c>
      <c r="E4" t="s">
        <v>1800</v>
      </c>
      <c r="F4" t="s">
        <v>1633</v>
      </c>
      <c r="G4" t="s">
        <v>366</v>
      </c>
      <c r="H4" t="s">
        <v>366</v>
      </c>
      <c r="I4" t="s">
        <v>368</v>
      </c>
      <c r="J4" t="s">
        <v>772</v>
      </c>
      <c r="K4" t="s">
        <v>772</v>
      </c>
      <c r="L4" t="s">
        <v>772</v>
      </c>
      <c r="M4" t="s">
        <v>1633</v>
      </c>
    </row>
    <row r="5" spans="1:14" x14ac:dyDescent="0.25">
      <c r="A5" s="30" t="s">
        <v>351</v>
      </c>
      <c r="B5" t="s">
        <v>1444</v>
      </c>
      <c r="C5" t="s">
        <v>366</v>
      </c>
      <c r="D5" t="s">
        <v>1629</v>
      </c>
      <c r="E5" t="s">
        <v>366</v>
      </c>
      <c r="F5" t="s">
        <v>366</v>
      </c>
      <c r="G5" t="s">
        <v>1833</v>
      </c>
      <c r="H5" t="s">
        <v>368</v>
      </c>
      <c r="I5" t="s">
        <v>368</v>
      </c>
      <c r="J5" t="s">
        <v>1438</v>
      </c>
      <c r="K5" t="s">
        <v>366</v>
      </c>
      <c r="L5" t="s">
        <v>1446</v>
      </c>
      <c r="M5" t="s">
        <v>772</v>
      </c>
    </row>
    <row r="6" spans="1:14" x14ac:dyDescent="0.25">
      <c r="A6" s="30" t="s">
        <v>352</v>
      </c>
      <c r="B6" t="s">
        <v>366</v>
      </c>
      <c r="C6" t="s">
        <v>366</v>
      </c>
      <c r="D6" t="s">
        <v>1659</v>
      </c>
      <c r="E6" t="s">
        <v>368</v>
      </c>
      <c r="F6" t="s">
        <v>1800</v>
      </c>
      <c r="G6" t="s">
        <v>1833</v>
      </c>
      <c r="H6" t="s">
        <v>1629</v>
      </c>
      <c r="I6" t="s">
        <v>1633</v>
      </c>
      <c r="J6" t="s">
        <v>368</v>
      </c>
      <c r="K6" t="s">
        <v>368</v>
      </c>
      <c r="L6" t="s">
        <v>368</v>
      </c>
      <c r="M6" t="s">
        <v>772</v>
      </c>
    </row>
    <row r="7" spans="1:14" x14ac:dyDescent="0.25">
      <c r="A7" s="30" t="s">
        <v>417</v>
      </c>
      <c r="B7" t="s">
        <v>366</v>
      </c>
      <c r="C7" t="s">
        <v>366</v>
      </c>
      <c r="D7" t="s">
        <v>368</v>
      </c>
      <c r="E7" t="s">
        <v>366</v>
      </c>
      <c r="F7" t="s">
        <v>368</v>
      </c>
      <c r="G7" t="s">
        <v>368</v>
      </c>
      <c r="H7" t="s">
        <v>368</v>
      </c>
      <c r="I7" t="s">
        <v>368</v>
      </c>
      <c r="J7" t="s">
        <v>366</v>
      </c>
      <c r="K7" t="s">
        <v>368</v>
      </c>
      <c r="L7" t="s">
        <v>1438</v>
      </c>
      <c r="M7" t="s">
        <v>772</v>
      </c>
    </row>
    <row r="8" spans="1:14" x14ac:dyDescent="0.25">
      <c r="A8" s="30" t="s">
        <v>418</v>
      </c>
      <c r="B8" s="260" t="s">
        <v>1430</v>
      </c>
      <c r="C8" t="s">
        <v>1446</v>
      </c>
      <c r="D8" t="s">
        <v>1438</v>
      </c>
      <c r="E8" t="s">
        <v>1797</v>
      </c>
      <c r="F8" t="s">
        <v>1446</v>
      </c>
      <c r="G8" t="s">
        <v>1446</v>
      </c>
      <c r="H8" t="s">
        <v>1430</v>
      </c>
      <c r="I8" t="s">
        <v>368</v>
      </c>
      <c r="J8" t="s">
        <v>368</v>
      </c>
      <c r="K8" t="s">
        <v>366</v>
      </c>
      <c r="L8" t="s">
        <v>368</v>
      </c>
      <c r="M8" t="s">
        <v>772</v>
      </c>
    </row>
    <row r="9" spans="1:14" x14ac:dyDescent="0.25">
      <c r="A9" s="30" t="s">
        <v>419</v>
      </c>
      <c r="B9" t="s">
        <v>366</v>
      </c>
      <c r="C9" t="s">
        <v>368</v>
      </c>
      <c r="D9" t="s">
        <v>368</v>
      </c>
      <c r="E9" t="s">
        <v>1797</v>
      </c>
      <c r="F9" t="s">
        <v>368</v>
      </c>
      <c r="G9" t="s">
        <v>1833</v>
      </c>
      <c r="H9" t="s">
        <v>366</v>
      </c>
      <c r="I9" t="s">
        <v>1629</v>
      </c>
      <c r="J9" t="s">
        <v>366</v>
      </c>
      <c r="K9" t="s">
        <v>366</v>
      </c>
      <c r="L9" t="s">
        <v>366</v>
      </c>
      <c r="M9" t="s">
        <v>772</v>
      </c>
    </row>
    <row r="10" spans="1:14" x14ac:dyDescent="0.25">
      <c r="A10" s="30" t="s">
        <v>420</v>
      </c>
      <c r="B10" s="260" t="s">
        <v>1446</v>
      </c>
      <c r="C10" t="s">
        <v>368</v>
      </c>
      <c r="D10" t="s">
        <v>368</v>
      </c>
      <c r="E10" t="s">
        <v>366</v>
      </c>
      <c r="F10" t="s">
        <v>368</v>
      </c>
      <c r="G10" t="s">
        <v>366</v>
      </c>
      <c r="H10" t="s">
        <v>366</v>
      </c>
      <c r="I10" t="s">
        <v>1867</v>
      </c>
      <c r="J10" t="s">
        <v>368</v>
      </c>
      <c r="K10" t="s">
        <v>1625</v>
      </c>
      <c r="L10" t="s">
        <v>366</v>
      </c>
      <c r="M10" t="s">
        <v>772</v>
      </c>
    </row>
    <row r="11" spans="1:14" x14ac:dyDescent="0.25">
      <c r="A11" s="30" t="s">
        <v>421</v>
      </c>
      <c r="B11" t="s">
        <v>368</v>
      </c>
      <c r="C11" t="s">
        <v>1625</v>
      </c>
      <c r="D11" t="s">
        <v>368</v>
      </c>
      <c r="E11" t="s">
        <v>1797</v>
      </c>
      <c r="F11" t="s">
        <v>366</v>
      </c>
      <c r="G11" t="s">
        <v>366</v>
      </c>
      <c r="H11" t="s">
        <v>368</v>
      </c>
      <c r="I11" t="s">
        <v>1635</v>
      </c>
      <c r="J11" t="s">
        <v>1446</v>
      </c>
      <c r="K11" t="s">
        <v>368</v>
      </c>
      <c r="L11" t="s">
        <v>1625</v>
      </c>
      <c r="M11" t="s">
        <v>772</v>
      </c>
    </row>
    <row r="12" spans="1:14" x14ac:dyDescent="0.25">
      <c r="A12" s="30" t="s">
        <v>422</v>
      </c>
      <c r="B12" s="260" t="s">
        <v>772</v>
      </c>
      <c r="C12" s="260" t="s">
        <v>772</v>
      </c>
      <c r="D12" s="260" t="s">
        <v>772</v>
      </c>
      <c r="E12" s="260" t="s">
        <v>772</v>
      </c>
      <c r="F12" s="260" t="s">
        <v>772</v>
      </c>
      <c r="G12" s="260" t="s">
        <v>772</v>
      </c>
      <c r="H12" s="260" t="s">
        <v>1625</v>
      </c>
      <c r="I12" s="260" t="s">
        <v>772</v>
      </c>
      <c r="J12" s="260" t="s">
        <v>772</v>
      </c>
      <c r="K12" s="260" t="s">
        <v>772</v>
      </c>
      <c r="L12" s="260" t="s">
        <v>772</v>
      </c>
      <c r="M12" t="s">
        <v>772</v>
      </c>
    </row>
    <row r="13" spans="1:14" x14ac:dyDescent="0.25">
      <c r="A13" s="30" t="s">
        <v>423</v>
      </c>
      <c r="B13" s="260" t="s">
        <v>772</v>
      </c>
      <c r="C13" s="260" t="s">
        <v>772</v>
      </c>
      <c r="D13" s="260" t="s">
        <v>772</v>
      </c>
      <c r="E13" s="260" t="s">
        <v>772</v>
      </c>
      <c r="F13" s="260" t="s">
        <v>772</v>
      </c>
      <c r="G13" s="260" t="s">
        <v>772</v>
      </c>
      <c r="H13" s="260" t="s">
        <v>366</v>
      </c>
      <c r="I13" s="260" t="s">
        <v>772</v>
      </c>
      <c r="J13" s="260" t="s">
        <v>772</v>
      </c>
      <c r="K13" s="260" t="s">
        <v>772</v>
      </c>
      <c r="L13" s="260" t="s">
        <v>772</v>
      </c>
      <c r="M13" t="s">
        <v>772</v>
      </c>
    </row>
    <row r="14" spans="1:14" x14ac:dyDescent="0.25">
      <c r="A14" s="30" t="s">
        <v>424</v>
      </c>
      <c r="B14" s="260" t="s">
        <v>772</v>
      </c>
      <c r="C14" s="260" t="s">
        <v>772</v>
      </c>
      <c r="D14" s="260" t="s">
        <v>772</v>
      </c>
      <c r="E14" s="260" t="s">
        <v>772</v>
      </c>
      <c r="F14" s="260" t="s">
        <v>772</v>
      </c>
      <c r="G14" s="260" t="s">
        <v>772</v>
      </c>
      <c r="H14" s="260" t="s">
        <v>366</v>
      </c>
      <c r="I14" s="260" t="s">
        <v>772</v>
      </c>
      <c r="J14" s="260" t="s">
        <v>772</v>
      </c>
      <c r="K14" s="260" t="s">
        <v>772</v>
      </c>
      <c r="L14" s="260" t="s">
        <v>772</v>
      </c>
      <c r="M14" t="s">
        <v>772</v>
      </c>
    </row>
    <row r="15" spans="1:14" x14ac:dyDescent="0.25">
      <c r="A15" s="30" t="s">
        <v>353</v>
      </c>
      <c r="B15" t="s">
        <v>369</v>
      </c>
      <c r="C15" t="s">
        <v>366</v>
      </c>
      <c r="D15" t="s">
        <v>1644</v>
      </c>
      <c r="E15" t="s">
        <v>366</v>
      </c>
      <c r="F15" t="s">
        <v>368</v>
      </c>
      <c r="G15" t="s">
        <v>366</v>
      </c>
      <c r="H15" t="s">
        <v>368</v>
      </c>
      <c r="I15" t="s">
        <v>1306</v>
      </c>
      <c r="J15" s="260" t="s">
        <v>772</v>
      </c>
      <c r="K15" s="260" t="s">
        <v>772</v>
      </c>
      <c r="L15" s="260" t="s">
        <v>368</v>
      </c>
      <c r="M15" s="260" t="s">
        <v>366</v>
      </c>
    </row>
    <row r="16" spans="1:14" x14ac:dyDescent="0.25">
      <c r="A16" s="30" t="s">
        <v>354</v>
      </c>
      <c r="B16" t="s">
        <v>366</v>
      </c>
      <c r="C16" t="s">
        <v>1635</v>
      </c>
      <c r="D16" t="s">
        <v>368</v>
      </c>
      <c r="E16" t="s">
        <v>366</v>
      </c>
      <c r="F16" t="s">
        <v>368</v>
      </c>
      <c r="G16" t="s">
        <v>1306</v>
      </c>
      <c r="H16" t="s">
        <v>772</v>
      </c>
      <c r="I16" t="s">
        <v>772</v>
      </c>
      <c r="J16" s="260" t="s">
        <v>772</v>
      </c>
      <c r="K16" s="260" t="s">
        <v>772</v>
      </c>
      <c r="L16" s="260" t="s">
        <v>1306</v>
      </c>
      <c r="M16" s="260" t="s">
        <v>366</v>
      </c>
    </row>
    <row r="17" spans="1:13" x14ac:dyDescent="0.25">
      <c r="A17" s="30" t="s">
        <v>355</v>
      </c>
      <c r="B17" t="s">
        <v>366</v>
      </c>
      <c r="C17" t="s">
        <v>368</v>
      </c>
      <c r="D17" t="s">
        <v>366</v>
      </c>
      <c r="E17" t="s">
        <v>366</v>
      </c>
      <c r="F17" t="s">
        <v>368</v>
      </c>
      <c r="G17" t="s">
        <v>1635</v>
      </c>
      <c r="H17" t="s">
        <v>1760</v>
      </c>
      <c r="I17" t="s">
        <v>772</v>
      </c>
      <c r="J17" s="260" t="s">
        <v>772</v>
      </c>
      <c r="K17" s="260" t="s">
        <v>772</v>
      </c>
      <c r="L17" s="260" t="s">
        <v>772</v>
      </c>
      <c r="M17" s="260" t="s">
        <v>366</v>
      </c>
    </row>
    <row r="18" spans="1:13" x14ac:dyDescent="0.25">
      <c r="A18" s="30" t="s">
        <v>356</v>
      </c>
      <c r="B18" t="s">
        <v>366</v>
      </c>
      <c r="C18" t="s">
        <v>1430</v>
      </c>
      <c r="D18" t="s">
        <v>1635</v>
      </c>
      <c r="E18" t="s">
        <v>1797</v>
      </c>
      <c r="F18" t="s">
        <v>366</v>
      </c>
      <c r="G18" t="s">
        <v>366</v>
      </c>
      <c r="H18" t="s">
        <v>772</v>
      </c>
      <c r="I18" t="s">
        <v>772</v>
      </c>
      <c r="J18" s="260" t="s">
        <v>772</v>
      </c>
      <c r="K18" s="260" t="s">
        <v>772</v>
      </c>
      <c r="L18" s="260" t="s">
        <v>772</v>
      </c>
      <c r="M18" s="260" t="s">
        <v>772</v>
      </c>
    </row>
    <row r="19" spans="1:13" x14ac:dyDescent="0.25">
      <c r="A19" s="30" t="s">
        <v>357</v>
      </c>
      <c r="B19" t="s">
        <v>366</v>
      </c>
      <c r="C19" t="s">
        <v>368</v>
      </c>
      <c r="D19" t="s">
        <v>366</v>
      </c>
      <c r="E19" t="s">
        <v>366</v>
      </c>
      <c r="F19" t="s">
        <v>1306</v>
      </c>
      <c r="G19" t="s">
        <v>366</v>
      </c>
      <c r="H19" t="s">
        <v>366</v>
      </c>
      <c r="I19" t="s">
        <v>772</v>
      </c>
      <c r="J19" s="260" t="s">
        <v>772</v>
      </c>
      <c r="K19" s="260" t="s">
        <v>772</v>
      </c>
      <c r="L19" s="260" t="s">
        <v>772</v>
      </c>
      <c r="M19" s="260" t="s">
        <v>772</v>
      </c>
    </row>
    <row r="20" spans="1:13" x14ac:dyDescent="0.25">
      <c r="A20" s="30" t="s">
        <v>427</v>
      </c>
      <c r="B20" t="s">
        <v>366</v>
      </c>
      <c r="C20" t="s">
        <v>368</v>
      </c>
      <c r="D20" t="s">
        <v>1624</v>
      </c>
      <c r="E20" t="s">
        <v>366</v>
      </c>
      <c r="F20" t="s">
        <v>366</v>
      </c>
      <c r="G20" t="s">
        <v>368</v>
      </c>
      <c r="H20" t="s">
        <v>772</v>
      </c>
      <c r="I20" t="s">
        <v>772</v>
      </c>
      <c r="J20" s="260" t="s">
        <v>772</v>
      </c>
      <c r="K20" s="260" t="s">
        <v>772</v>
      </c>
      <c r="L20" s="260" t="s">
        <v>772</v>
      </c>
      <c r="M20" s="260" t="s">
        <v>772</v>
      </c>
    </row>
    <row r="21" spans="1:13" x14ac:dyDescent="0.25">
      <c r="A21" s="30" t="s">
        <v>428</v>
      </c>
      <c r="B21" t="s">
        <v>366</v>
      </c>
      <c r="C21" t="s">
        <v>1624</v>
      </c>
      <c r="D21" t="s">
        <v>368</v>
      </c>
      <c r="E21" t="s">
        <v>366</v>
      </c>
      <c r="F21" t="s">
        <v>1438</v>
      </c>
      <c r="G21" t="s">
        <v>1438</v>
      </c>
      <c r="H21" t="s">
        <v>1306</v>
      </c>
      <c r="I21" t="s">
        <v>772</v>
      </c>
      <c r="J21" s="260" t="s">
        <v>772</v>
      </c>
      <c r="K21" s="260" t="s">
        <v>772</v>
      </c>
      <c r="L21" s="260" t="s">
        <v>772</v>
      </c>
      <c r="M21" s="260" t="s">
        <v>772</v>
      </c>
    </row>
    <row r="22" spans="1:13" x14ac:dyDescent="0.25">
      <c r="A22" s="30" t="s">
        <v>429</v>
      </c>
      <c r="B22" t="s">
        <v>366</v>
      </c>
      <c r="C22" t="s">
        <v>368</v>
      </c>
      <c r="D22" t="s">
        <v>368</v>
      </c>
      <c r="E22" t="s">
        <v>368</v>
      </c>
      <c r="F22" t="s">
        <v>368</v>
      </c>
      <c r="G22" t="s">
        <v>1834</v>
      </c>
      <c r="H22" t="s">
        <v>772</v>
      </c>
      <c r="I22" t="s">
        <v>772</v>
      </c>
      <c r="J22" s="260" t="s">
        <v>772</v>
      </c>
      <c r="K22" s="260" t="s">
        <v>772</v>
      </c>
      <c r="L22" s="260" t="s">
        <v>772</v>
      </c>
      <c r="M22" s="260" t="s">
        <v>772</v>
      </c>
    </row>
    <row r="23" spans="1:13" x14ac:dyDescent="0.25">
      <c r="A23" s="30" t="s">
        <v>430</v>
      </c>
      <c r="B23" t="s">
        <v>1432</v>
      </c>
      <c r="C23" t="s">
        <v>366</v>
      </c>
      <c r="D23" t="s">
        <v>368</v>
      </c>
      <c r="E23" t="s">
        <v>368</v>
      </c>
      <c r="F23" t="s">
        <v>1799</v>
      </c>
      <c r="G23" t="s">
        <v>1434</v>
      </c>
      <c r="H23" t="s">
        <v>1797</v>
      </c>
      <c r="I23" t="s">
        <v>772</v>
      </c>
      <c r="J23" s="260" t="s">
        <v>772</v>
      </c>
      <c r="K23" s="260" t="s">
        <v>772</v>
      </c>
      <c r="L23" s="260" t="s">
        <v>772</v>
      </c>
      <c r="M23" s="260" t="s">
        <v>772</v>
      </c>
    </row>
    <row r="24" spans="1:13" x14ac:dyDescent="0.25">
      <c r="A24" s="30" t="s">
        <v>431</v>
      </c>
      <c r="B24" t="s">
        <v>366</v>
      </c>
      <c r="C24" t="s">
        <v>1634</v>
      </c>
      <c r="D24" t="s">
        <v>368</v>
      </c>
      <c r="E24" t="s">
        <v>1797</v>
      </c>
      <c r="F24" t="s">
        <v>1430</v>
      </c>
      <c r="G24" t="s">
        <v>368</v>
      </c>
      <c r="H24" t="s">
        <v>772</v>
      </c>
      <c r="I24" t="s">
        <v>1430</v>
      </c>
      <c r="J24" s="260" t="s">
        <v>772</v>
      </c>
      <c r="K24" s="260" t="s">
        <v>772</v>
      </c>
      <c r="L24" s="260" t="s">
        <v>772</v>
      </c>
      <c r="M24" s="260" t="s">
        <v>772</v>
      </c>
    </row>
    <row r="25" spans="1:13" x14ac:dyDescent="0.25">
      <c r="A25" s="30" t="s">
        <v>432</v>
      </c>
      <c r="B25" t="s">
        <v>772</v>
      </c>
      <c r="C25" t="s">
        <v>772</v>
      </c>
      <c r="D25" t="s">
        <v>772</v>
      </c>
      <c r="E25" t="s">
        <v>772</v>
      </c>
      <c r="F25" t="s">
        <v>772</v>
      </c>
      <c r="G25" t="s">
        <v>772</v>
      </c>
      <c r="H25" t="s">
        <v>1797</v>
      </c>
      <c r="I25" t="s">
        <v>772</v>
      </c>
      <c r="J25" s="260" t="s">
        <v>772</v>
      </c>
      <c r="K25" s="260" t="s">
        <v>772</v>
      </c>
      <c r="L25" s="260" t="s">
        <v>772</v>
      </c>
      <c r="M25" s="260" t="s">
        <v>772</v>
      </c>
    </row>
    <row r="26" spans="1:13" x14ac:dyDescent="0.25">
      <c r="A26" s="30" t="s">
        <v>433</v>
      </c>
      <c r="B26" t="s">
        <v>772</v>
      </c>
      <c r="C26" t="s">
        <v>772</v>
      </c>
      <c r="D26" t="s">
        <v>772</v>
      </c>
      <c r="E26" t="s">
        <v>772</v>
      </c>
      <c r="F26" t="s">
        <v>772</v>
      </c>
      <c r="G26" t="s">
        <v>772</v>
      </c>
      <c r="H26" t="s">
        <v>1797</v>
      </c>
      <c r="I26" t="s">
        <v>772</v>
      </c>
      <c r="J26" s="260" t="s">
        <v>772</v>
      </c>
      <c r="K26" s="260" t="s">
        <v>772</v>
      </c>
      <c r="L26" s="260" t="s">
        <v>772</v>
      </c>
      <c r="M26" s="260" t="s">
        <v>772</v>
      </c>
    </row>
    <row r="27" spans="1:13" x14ac:dyDescent="0.25">
      <c r="A27" s="30" t="s">
        <v>358</v>
      </c>
      <c r="B27" t="s">
        <v>1448</v>
      </c>
      <c r="C27" t="s">
        <v>1658</v>
      </c>
      <c r="D27" t="s">
        <v>366</v>
      </c>
      <c r="E27" t="s">
        <v>366</v>
      </c>
      <c r="F27" t="s">
        <v>772</v>
      </c>
      <c r="G27" t="s">
        <v>772</v>
      </c>
      <c r="H27" t="s">
        <v>772</v>
      </c>
      <c r="I27" t="s">
        <v>772</v>
      </c>
      <c r="J27" s="260" t="s">
        <v>772</v>
      </c>
      <c r="K27" s="260" t="s">
        <v>772</v>
      </c>
      <c r="L27" s="260" t="s">
        <v>772</v>
      </c>
      <c r="M27" s="260" t="s">
        <v>772</v>
      </c>
    </row>
    <row r="28" spans="1:13" x14ac:dyDescent="0.25">
      <c r="A28" s="30" t="s">
        <v>362</v>
      </c>
      <c r="B28" t="s">
        <v>1436</v>
      </c>
      <c r="C28" t="s">
        <v>366</v>
      </c>
      <c r="D28" t="s">
        <v>366</v>
      </c>
      <c r="E28" t="s">
        <v>367</v>
      </c>
      <c r="F28" t="s">
        <v>772</v>
      </c>
      <c r="G28" t="s">
        <v>772</v>
      </c>
      <c r="H28" t="s">
        <v>772</v>
      </c>
      <c r="I28" t="s">
        <v>772</v>
      </c>
      <c r="J28" s="260" t="s">
        <v>772</v>
      </c>
      <c r="K28" s="260" t="s">
        <v>772</v>
      </c>
      <c r="L28" s="260" t="s">
        <v>772</v>
      </c>
      <c r="M28" s="260" t="s">
        <v>772</v>
      </c>
    </row>
    <row r="29" spans="1:13" x14ac:dyDescent="0.25">
      <c r="A29" s="30" t="s">
        <v>363</v>
      </c>
      <c r="B29" t="s">
        <v>366</v>
      </c>
      <c r="C29" t="s">
        <v>366</v>
      </c>
      <c r="D29" t="s">
        <v>366</v>
      </c>
      <c r="E29" t="s">
        <v>366</v>
      </c>
      <c r="F29" t="s">
        <v>772</v>
      </c>
      <c r="G29" t="s">
        <v>772</v>
      </c>
      <c r="H29" t="s">
        <v>772</v>
      </c>
      <c r="I29" t="s">
        <v>772</v>
      </c>
      <c r="J29" s="260" t="s">
        <v>772</v>
      </c>
      <c r="K29" s="260" t="s">
        <v>772</v>
      </c>
      <c r="L29" s="260" t="s">
        <v>772</v>
      </c>
      <c r="M29" s="260" t="s">
        <v>772</v>
      </c>
    </row>
    <row r="30" spans="1:13" x14ac:dyDescent="0.25">
      <c r="A30" s="30" t="s">
        <v>364</v>
      </c>
      <c r="B30" t="s">
        <v>366</v>
      </c>
      <c r="C30" t="s">
        <v>366</v>
      </c>
      <c r="D30" t="s">
        <v>366</v>
      </c>
      <c r="E30" t="s">
        <v>366</v>
      </c>
      <c r="F30" t="s">
        <v>772</v>
      </c>
      <c r="G30" t="s">
        <v>772</v>
      </c>
      <c r="H30" t="s">
        <v>772</v>
      </c>
      <c r="I30" t="s">
        <v>772</v>
      </c>
      <c r="J30" s="260" t="s">
        <v>772</v>
      </c>
      <c r="K30" s="260" t="s">
        <v>772</v>
      </c>
      <c r="L30" s="260" t="s">
        <v>772</v>
      </c>
      <c r="M30" s="260" t="s">
        <v>772</v>
      </c>
    </row>
    <row r="31" spans="1:13" x14ac:dyDescent="0.25">
      <c r="A31" s="30" t="s">
        <v>361</v>
      </c>
      <c r="B31" s="260" t="s">
        <v>1438</v>
      </c>
      <c r="C31" t="s">
        <v>366</v>
      </c>
      <c r="D31" t="s">
        <v>366</v>
      </c>
      <c r="E31" t="s">
        <v>1798</v>
      </c>
      <c r="F31" t="s">
        <v>772</v>
      </c>
      <c r="G31" t="s">
        <v>772</v>
      </c>
      <c r="H31" t="s">
        <v>772</v>
      </c>
      <c r="I31" t="s">
        <v>772</v>
      </c>
      <c r="J31" s="260" t="s">
        <v>772</v>
      </c>
      <c r="K31" s="260" t="s">
        <v>772</v>
      </c>
      <c r="L31" s="260" t="s">
        <v>772</v>
      </c>
      <c r="M31" s="260" t="s">
        <v>772</v>
      </c>
    </row>
    <row r="32" spans="1:13" x14ac:dyDescent="0.25">
      <c r="A32" s="30" t="s">
        <v>437</v>
      </c>
      <c r="B32" t="s">
        <v>366</v>
      </c>
      <c r="C32" t="s">
        <v>366</v>
      </c>
      <c r="D32" t="s">
        <v>366</v>
      </c>
      <c r="E32" t="s">
        <v>366</v>
      </c>
      <c r="F32" t="s">
        <v>772</v>
      </c>
      <c r="G32" t="s">
        <v>772</v>
      </c>
      <c r="H32" t="s">
        <v>772</v>
      </c>
      <c r="I32" t="s">
        <v>772</v>
      </c>
      <c r="J32" s="260" t="s">
        <v>772</v>
      </c>
      <c r="K32" s="260" t="s">
        <v>772</v>
      </c>
      <c r="L32" s="260" t="s">
        <v>772</v>
      </c>
      <c r="M32" s="260" t="s">
        <v>772</v>
      </c>
    </row>
    <row r="33" spans="1:13" x14ac:dyDescent="0.25">
      <c r="A33" s="30" t="s">
        <v>438</v>
      </c>
      <c r="B33" t="s">
        <v>366</v>
      </c>
      <c r="C33" t="s">
        <v>366</v>
      </c>
      <c r="D33" t="s">
        <v>1660</v>
      </c>
      <c r="E33" t="s">
        <v>1434</v>
      </c>
      <c r="F33" t="s">
        <v>772</v>
      </c>
      <c r="G33" t="s">
        <v>772</v>
      </c>
      <c r="H33" t="s">
        <v>772</v>
      </c>
      <c r="I33" t="s">
        <v>772</v>
      </c>
      <c r="J33" s="260" t="s">
        <v>772</v>
      </c>
      <c r="K33" s="260" t="s">
        <v>772</v>
      </c>
      <c r="L33" s="260" t="s">
        <v>772</v>
      </c>
      <c r="M33" s="260" t="s">
        <v>772</v>
      </c>
    </row>
    <row r="34" spans="1:13" x14ac:dyDescent="0.25">
      <c r="A34" s="30" t="s">
        <v>439</v>
      </c>
      <c r="B34" t="s">
        <v>366</v>
      </c>
      <c r="C34" t="s">
        <v>366</v>
      </c>
      <c r="D34" t="s">
        <v>366</v>
      </c>
      <c r="E34" t="s">
        <v>366</v>
      </c>
      <c r="F34" t="s">
        <v>772</v>
      </c>
      <c r="G34" t="s">
        <v>772</v>
      </c>
      <c r="H34" t="s">
        <v>772</v>
      </c>
      <c r="I34" t="s">
        <v>772</v>
      </c>
      <c r="J34" s="260" t="s">
        <v>772</v>
      </c>
      <c r="K34" s="260" t="s">
        <v>772</v>
      </c>
      <c r="L34" s="260" t="s">
        <v>772</v>
      </c>
      <c r="M34" s="260" t="s">
        <v>772</v>
      </c>
    </row>
    <row r="35" spans="1:13" x14ac:dyDescent="0.25">
      <c r="A35" s="30" t="s">
        <v>440</v>
      </c>
      <c r="B35" t="s">
        <v>366</v>
      </c>
      <c r="C35" t="s">
        <v>368</v>
      </c>
      <c r="D35" t="s">
        <v>366</v>
      </c>
      <c r="E35" t="s">
        <v>368</v>
      </c>
      <c r="F35" t="s">
        <v>772</v>
      </c>
      <c r="G35" t="s">
        <v>772</v>
      </c>
      <c r="H35" t="s">
        <v>772</v>
      </c>
      <c r="I35" t="s">
        <v>772</v>
      </c>
      <c r="J35" s="260" t="s">
        <v>772</v>
      </c>
      <c r="K35" s="260" t="s">
        <v>772</v>
      </c>
      <c r="L35" s="260" t="s">
        <v>772</v>
      </c>
      <c r="M35" s="260" t="s">
        <v>772</v>
      </c>
    </row>
    <row r="36" spans="1:13" x14ac:dyDescent="0.25">
      <c r="A36" s="30" t="s">
        <v>441</v>
      </c>
      <c r="B36" s="260" t="s">
        <v>1434</v>
      </c>
      <c r="C36" t="s">
        <v>1434</v>
      </c>
      <c r="D36" t="s">
        <v>1434</v>
      </c>
      <c r="E36" t="s">
        <v>369</v>
      </c>
      <c r="F36" t="s">
        <v>772</v>
      </c>
      <c r="G36" t="s">
        <v>772</v>
      </c>
      <c r="H36" t="s">
        <v>772</v>
      </c>
      <c r="I36" t="s">
        <v>772</v>
      </c>
      <c r="J36" s="260" t="s">
        <v>772</v>
      </c>
      <c r="K36" s="260" t="s">
        <v>772</v>
      </c>
      <c r="L36" s="260" t="s">
        <v>772</v>
      </c>
      <c r="M36" s="260" t="s">
        <v>772</v>
      </c>
    </row>
    <row r="37" spans="1:13" x14ac:dyDescent="0.25">
      <c r="A37" s="30" t="s">
        <v>447</v>
      </c>
      <c r="B37" t="s">
        <v>772</v>
      </c>
      <c r="C37" t="s">
        <v>772</v>
      </c>
      <c r="D37" t="s">
        <v>366</v>
      </c>
      <c r="E37" t="s">
        <v>1622</v>
      </c>
      <c r="F37" t="s">
        <v>1622</v>
      </c>
      <c r="G37" t="s">
        <v>772</v>
      </c>
      <c r="H37" t="s">
        <v>772</v>
      </c>
      <c r="I37" t="s">
        <v>772</v>
      </c>
      <c r="J37" s="260" t="s">
        <v>772</v>
      </c>
      <c r="K37" s="260" t="s">
        <v>772</v>
      </c>
      <c r="L37" s="260" t="s">
        <v>772</v>
      </c>
      <c r="M37" s="260" t="s">
        <v>772</v>
      </c>
    </row>
    <row r="38" spans="1:13" x14ac:dyDescent="0.25">
      <c r="A38" s="30" t="s">
        <v>448</v>
      </c>
      <c r="B38" t="s">
        <v>772</v>
      </c>
      <c r="C38" t="s">
        <v>772</v>
      </c>
      <c r="D38" t="s">
        <v>1622</v>
      </c>
      <c r="E38" t="s">
        <v>366</v>
      </c>
      <c r="F38" t="s">
        <v>368</v>
      </c>
      <c r="G38" t="s">
        <v>772</v>
      </c>
      <c r="H38" t="s">
        <v>772</v>
      </c>
      <c r="I38" t="s">
        <v>772</v>
      </c>
      <c r="J38" s="260" t="s">
        <v>772</v>
      </c>
      <c r="K38" s="260" t="s">
        <v>772</v>
      </c>
      <c r="L38" s="260" t="s">
        <v>772</v>
      </c>
      <c r="M38" s="260" t="s">
        <v>772</v>
      </c>
    </row>
    <row r="39" spans="1:13" x14ac:dyDescent="0.25">
      <c r="A39" s="30" t="s">
        <v>449</v>
      </c>
      <c r="B39" t="s">
        <v>772</v>
      </c>
      <c r="C39" t="s">
        <v>772</v>
      </c>
      <c r="D39" t="s">
        <v>1637</v>
      </c>
      <c r="E39" t="s">
        <v>1799</v>
      </c>
      <c r="F39" t="s">
        <v>1635</v>
      </c>
      <c r="G39" t="s">
        <v>772</v>
      </c>
      <c r="H39" t="s">
        <v>772</v>
      </c>
      <c r="I39" t="s">
        <v>772</v>
      </c>
      <c r="J39" s="260" t="s">
        <v>772</v>
      </c>
      <c r="K39" s="260" t="s">
        <v>772</v>
      </c>
      <c r="L39" s="260" t="s">
        <v>772</v>
      </c>
      <c r="M39" s="260" t="s">
        <v>772</v>
      </c>
    </row>
    <row r="40" spans="1:13" x14ac:dyDescent="0.25">
      <c r="A40" s="30" t="s">
        <v>450</v>
      </c>
      <c r="B40" t="s">
        <v>772</v>
      </c>
      <c r="C40" t="s">
        <v>772</v>
      </c>
      <c r="D40" t="s">
        <v>369</v>
      </c>
      <c r="E40" t="s">
        <v>366</v>
      </c>
      <c r="F40" t="s">
        <v>1637</v>
      </c>
      <c r="G40" t="s">
        <v>772</v>
      </c>
      <c r="H40" t="s">
        <v>772</v>
      </c>
      <c r="I40" t="s">
        <v>772</v>
      </c>
      <c r="J40" s="260" t="s">
        <v>772</v>
      </c>
      <c r="K40" s="260" t="s">
        <v>772</v>
      </c>
      <c r="L40" s="260" t="s">
        <v>772</v>
      </c>
      <c r="M40" s="260" t="s">
        <v>772</v>
      </c>
    </row>
    <row r="41" spans="1:13" x14ac:dyDescent="0.25">
      <c r="A41" s="30" t="s">
        <v>451</v>
      </c>
      <c r="B41" t="s">
        <v>772</v>
      </c>
      <c r="C41" t="s">
        <v>772</v>
      </c>
      <c r="D41" t="s">
        <v>1661</v>
      </c>
      <c r="E41" t="s">
        <v>366</v>
      </c>
      <c r="F41" t="s">
        <v>1631</v>
      </c>
      <c r="G41" t="s">
        <v>772</v>
      </c>
      <c r="H41" t="s">
        <v>772</v>
      </c>
      <c r="I41" t="s">
        <v>772</v>
      </c>
      <c r="J41" s="260" t="s">
        <v>772</v>
      </c>
      <c r="K41" s="260" t="s">
        <v>772</v>
      </c>
      <c r="L41" s="260" t="s">
        <v>772</v>
      </c>
      <c r="M41" s="260" t="s">
        <v>772</v>
      </c>
    </row>
    <row r="42" spans="1:13" x14ac:dyDescent="0.25">
      <c r="A42" s="30" t="s">
        <v>452</v>
      </c>
      <c r="B42" t="s">
        <v>772</v>
      </c>
      <c r="C42" t="s">
        <v>772</v>
      </c>
      <c r="D42" t="s">
        <v>366</v>
      </c>
      <c r="E42" t="s">
        <v>1430</v>
      </c>
      <c r="F42" t="s">
        <v>1639</v>
      </c>
      <c r="G42" t="s">
        <v>772</v>
      </c>
      <c r="H42" t="s">
        <v>772</v>
      </c>
      <c r="I42" t="s">
        <v>772</v>
      </c>
      <c r="J42" s="260" t="s">
        <v>772</v>
      </c>
      <c r="K42" s="260" t="s">
        <v>772</v>
      </c>
      <c r="L42" s="260" t="s">
        <v>772</v>
      </c>
      <c r="M42" s="260" t="s">
        <v>772</v>
      </c>
    </row>
    <row r="43" spans="1:13" x14ac:dyDescent="0.25">
      <c r="A43" s="30" t="s">
        <v>453</v>
      </c>
      <c r="B43" t="s">
        <v>772</v>
      </c>
      <c r="C43" t="s">
        <v>772</v>
      </c>
      <c r="D43" t="s">
        <v>1639</v>
      </c>
      <c r="E43" t="s">
        <v>1631</v>
      </c>
      <c r="F43" t="s">
        <v>367</v>
      </c>
      <c r="G43" t="s">
        <v>772</v>
      </c>
      <c r="H43" t="s">
        <v>772</v>
      </c>
      <c r="I43" t="s">
        <v>772</v>
      </c>
      <c r="J43" s="260" t="s">
        <v>772</v>
      </c>
      <c r="K43" s="260" t="s">
        <v>772</v>
      </c>
      <c r="L43" s="260" t="s">
        <v>772</v>
      </c>
      <c r="M43" s="260" t="s">
        <v>772</v>
      </c>
    </row>
    <row r="44" spans="1:13" x14ac:dyDescent="0.25">
      <c r="A44" s="30" t="s">
        <v>454</v>
      </c>
      <c r="B44" t="s">
        <v>772</v>
      </c>
      <c r="C44" t="s">
        <v>772</v>
      </c>
      <c r="D44" t="s">
        <v>368</v>
      </c>
      <c r="E44" t="s">
        <v>366</v>
      </c>
      <c r="F44" t="s">
        <v>368</v>
      </c>
      <c r="G44" t="s">
        <v>772</v>
      </c>
      <c r="H44" t="s">
        <v>772</v>
      </c>
      <c r="I44" t="s">
        <v>772</v>
      </c>
      <c r="J44" s="260" t="s">
        <v>772</v>
      </c>
      <c r="K44" s="260" t="s">
        <v>772</v>
      </c>
      <c r="L44" s="260" t="s">
        <v>772</v>
      </c>
      <c r="M44" s="260" t="s">
        <v>772</v>
      </c>
    </row>
    <row r="45" spans="1:13" x14ac:dyDescent="0.25">
      <c r="A45" s="30" t="s">
        <v>455</v>
      </c>
      <c r="B45" t="s">
        <v>772</v>
      </c>
      <c r="C45" t="s">
        <v>772</v>
      </c>
      <c r="D45" t="s">
        <v>368</v>
      </c>
      <c r="E45" t="s">
        <v>1639</v>
      </c>
      <c r="F45" t="s">
        <v>1434</v>
      </c>
      <c r="G45" t="s">
        <v>772</v>
      </c>
      <c r="H45" t="s">
        <v>772</v>
      </c>
      <c r="I45" t="s">
        <v>772</v>
      </c>
      <c r="J45" s="260" t="s">
        <v>772</v>
      </c>
      <c r="K45" s="260" t="s">
        <v>772</v>
      </c>
      <c r="L45" s="260" t="s">
        <v>772</v>
      </c>
      <c r="M45" s="260" t="s">
        <v>772</v>
      </c>
    </row>
    <row r="46" spans="1:13" x14ac:dyDescent="0.25">
      <c r="A46" s="30" t="s">
        <v>456</v>
      </c>
      <c r="B46" t="s">
        <v>772</v>
      </c>
      <c r="C46" t="s">
        <v>772</v>
      </c>
      <c r="D46" t="s">
        <v>366</v>
      </c>
      <c r="E46" t="s">
        <v>367</v>
      </c>
      <c r="F46" t="s">
        <v>366</v>
      </c>
      <c r="G46" t="s">
        <v>772</v>
      </c>
      <c r="H46" t="s">
        <v>772</v>
      </c>
      <c r="I46" t="s">
        <v>772</v>
      </c>
      <c r="J46" s="260" t="s">
        <v>772</v>
      </c>
      <c r="K46" s="260" t="s">
        <v>772</v>
      </c>
      <c r="L46" s="260" t="s">
        <v>772</v>
      </c>
      <c r="M46" s="260" t="s">
        <v>772</v>
      </c>
    </row>
    <row r="47" spans="1:13" x14ac:dyDescent="0.25">
      <c r="A47" s="30" t="s">
        <v>776</v>
      </c>
      <c r="B47" t="s">
        <v>772</v>
      </c>
      <c r="C47" t="s">
        <v>772</v>
      </c>
      <c r="D47" t="s">
        <v>366</v>
      </c>
      <c r="E47" t="s">
        <v>772</v>
      </c>
      <c r="F47" t="s">
        <v>772</v>
      </c>
      <c r="G47" t="s">
        <v>772</v>
      </c>
      <c r="H47" t="s">
        <v>772</v>
      </c>
      <c r="I47" t="s">
        <v>772</v>
      </c>
      <c r="J47" s="260" t="s">
        <v>772</v>
      </c>
      <c r="K47" s="260" t="s">
        <v>772</v>
      </c>
      <c r="L47" s="260" t="s">
        <v>772</v>
      </c>
      <c r="M47" s="260" t="s">
        <v>772</v>
      </c>
    </row>
    <row r="48" spans="1:13" x14ac:dyDescent="0.25">
      <c r="A48" s="30" t="s">
        <v>777</v>
      </c>
      <c r="B48" t="s">
        <v>772</v>
      </c>
      <c r="C48" t="s">
        <v>772</v>
      </c>
      <c r="D48" t="s">
        <v>366</v>
      </c>
      <c r="E48" t="s">
        <v>772</v>
      </c>
      <c r="F48" t="s">
        <v>772</v>
      </c>
      <c r="G48" t="s">
        <v>772</v>
      </c>
      <c r="H48" t="s">
        <v>772</v>
      </c>
      <c r="I48" t="s">
        <v>772</v>
      </c>
      <c r="J48" s="260" t="s">
        <v>772</v>
      </c>
      <c r="K48" s="260" t="s">
        <v>772</v>
      </c>
      <c r="L48" s="260" t="s">
        <v>772</v>
      </c>
      <c r="M48" s="260" t="s">
        <v>772</v>
      </c>
    </row>
    <row r="49" spans="1:13" x14ac:dyDescent="0.25">
      <c r="A49" s="30" t="s">
        <v>778</v>
      </c>
      <c r="B49" t="s">
        <v>772</v>
      </c>
      <c r="C49" t="s">
        <v>772</v>
      </c>
      <c r="D49" t="s">
        <v>366</v>
      </c>
      <c r="E49" t="s">
        <v>772</v>
      </c>
      <c r="F49" t="s">
        <v>772</v>
      </c>
      <c r="G49" t="s">
        <v>772</v>
      </c>
      <c r="H49" t="s">
        <v>772</v>
      </c>
      <c r="I49" t="s">
        <v>772</v>
      </c>
      <c r="J49" s="260" t="s">
        <v>772</v>
      </c>
      <c r="K49" s="260" t="s">
        <v>772</v>
      </c>
      <c r="L49" s="260" t="s">
        <v>772</v>
      </c>
      <c r="M49" s="260" t="s">
        <v>772</v>
      </c>
    </row>
    <row r="50" spans="1:13" x14ac:dyDescent="0.25">
      <c r="A50" s="30" t="s">
        <v>779</v>
      </c>
      <c r="B50" t="s">
        <v>772</v>
      </c>
      <c r="C50" t="s">
        <v>772</v>
      </c>
      <c r="D50" t="s">
        <v>366</v>
      </c>
      <c r="E50" t="s">
        <v>772</v>
      </c>
      <c r="F50" t="s">
        <v>772</v>
      </c>
      <c r="G50" t="s">
        <v>772</v>
      </c>
      <c r="H50" t="s">
        <v>772</v>
      </c>
      <c r="I50" t="s">
        <v>772</v>
      </c>
      <c r="J50" s="260" t="s">
        <v>772</v>
      </c>
      <c r="K50" s="260" t="s">
        <v>772</v>
      </c>
      <c r="L50" s="260" t="s">
        <v>772</v>
      </c>
      <c r="M50" s="260" t="s">
        <v>772</v>
      </c>
    </row>
    <row r="51" spans="1:13" x14ac:dyDescent="0.25">
      <c r="A51" s="30" t="s">
        <v>780</v>
      </c>
      <c r="B51" t="s">
        <v>772</v>
      </c>
      <c r="C51" t="s">
        <v>772</v>
      </c>
      <c r="D51" t="s">
        <v>366</v>
      </c>
      <c r="E51" t="s">
        <v>772</v>
      </c>
      <c r="F51" t="s">
        <v>772</v>
      </c>
      <c r="G51" t="s">
        <v>772</v>
      </c>
      <c r="H51" t="s">
        <v>772</v>
      </c>
      <c r="I51" t="s">
        <v>772</v>
      </c>
      <c r="J51" s="260" t="s">
        <v>772</v>
      </c>
      <c r="K51" s="260" t="s">
        <v>772</v>
      </c>
      <c r="L51" s="260" t="s">
        <v>772</v>
      </c>
      <c r="M51" s="260" t="s">
        <v>772</v>
      </c>
    </row>
    <row r="52" spans="1:13" x14ac:dyDescent="0.25">
      <c r="A52" s="30" t="s">
        <v>807</v>
      </c>
      <c r="B52" t="s">
        <v>772</v>
      </c>
      <c r="C52" t="s">
        <v>772</v>
      </c>
      <c r="D52" t="s">
        <v>366</v>
      </c>
      <c r="E52" t="s">
        <v>772</v>
      </c>
      <c r="F52" t="s">
        <v>772</v>
      </c>
      <c r="G52" t="s">
        <v>772</v>
      </c>
      <c r="H52" t="s">
        <v>772</v>
      </c>
      <c r="I52" t="s">
        <v>772</v>
      </c>
      <c r="J52" s="260" t="s">
        <v>772</v>
      </c>
      <c r="K52" s="260" t="s">
        <v>772</v>
      </c>
      <c r="L52" s="260" t="s">
        <v>772</v>
      </c>
      <c r="M52" s="260" t="s">
        <v>772</v>
      </c>
    </row>
    <row r="53" spans="1:13" x14ac:dyDescent="0.25">
      <c r="A53" s="30" t="s">
        <v>808</v>
      </c>
      <c r="B53" t="s">
        <v>772</v>
      </c>
      <c r="C53" t="s">
        <v>772</v>
      </c>
      <c r="D53" t="s">
        <v>366</v>
      </c>
      <c r="E53" t="s">
        <v>772</v>
      </c>
      <c r="F53" t="s">
        <v>772</v>
      </c>
      <c r="G53" t="s">
        <v>772</v>
      </c>
      <c r="H53" t="s">
        <v>772</v>
      </c>
      <c r="I53" t="s">
        <v>772</v>
      </c>
      <c r="J53" s="260" t="s">
        <v>772</v>
      </c>
      <c r="K53" s="260" t="s">
        <v>772</v>
      </c>
      <c r="L53" s="260" t="s">
        <v>772</v>
      </c>
      <c r="M53" s="260" t="s">
        <v>772</v>
      </c>
    </row>
    <row r="54" spans="1:13" x14ac:dyDescent="0.25">
      <c r="A54" s="30" t="s">
        <v>809</v>
      </c>
      <c r="B54" t="s">
        <v>772</v>
      </c>
      <c r="C54" t="s">
        <v>772</v>
      </c>
      <c r="D54" t="s">
        <v>366</v>
      </c>
      <c r="E54" t="s">
        <v>772</v>
      </c>
      <c r="F54" t="s">
        <v>772</v>
      </c>
      <c r="G54" t="s">
        <v>772</v>
      </c>
      <c r="H54" t="s">
        <v>772</v>
      </c>
      <c r="I54" t="s">
        <v>772</v>
      </c>
      <c r="J54" s="260" t="s">
        <v>772</v>
      </c>
      <c r="K54" s="260" t="s">
        <v>772</v>
      </c>
      <c r="L54" s="260" t="s">
        <v>772</v>
      </c>
      <c r="M54" s="260" t="s">
        <v>772</v>
      </c>
    </row>
    <row r="55" spans="1:13" x14ac:dyDescent="0.25">
      <c r="A55" s="30" t="s">
        <v>810</v>
      </c>
      <c r="B55" t="s">
        <v>772</v>
      </c>
      <c r="C55" t="s">
        <v>772</v>
      </c>
      <c r="D55" t="s">
        <v>1662</v>
      </c>
      <c r="E55" t="s">
        <v>772</v>
      </c>
      <c r="F55" t="s">
        <v>772</v>
      </c>
      <c r="G55" t="s">
        <v>772</v>
      </c>
      <c r="H55" t="s">
        <v>772</v>
      </c>
      <c r="I55" t="s">
        <v>772</v>
      </c>
      <c r="J55" s="260" t="s">
        <v>772</v>
      </c>
      <c r="K55" s="260" t="s">
        <v>772</v>
      </c>
      <c r="L55" s="260" t="s">
        <v>772</v>
      </c>
      <c r="M55" s="260" t="s">
        <v>772</v>
      </c>
    </row>
    <row r="56" spans="1:13" x14ac:dyDescent="0.25">
      <c r="A56" s="30" t="s">
        <v>811</v>
      </c>
      <c r="B56" t="s">
        <v>772</v>
      </c>
      <c r="C56" t="s">
        <v>772</v>
      </c>
      <c r="D56" t="s">
        <v>366</v>
      </c>
      <c r="E56" t="s">
        <v>772</v>
      </c>
      <c r="F56" t="s">
        <v>772</v>
      </c>
      <c r="G56" t="s">
        <v>772</v>
      </c>
      <c r="H56" t="s">
        <v>772</v>
      </c>
      <c r="I56" t="s">
        <v>772</v>
      </c>
      <c r="J56" s="260" t="s">
        <v>772</v>
      </c>
      <c r="K56" s="260" t="s">
        <v>772</v>
      </c>
      <c r="L56" s="260" t="s">
        <v>772</v>
      </c>
      <c r="M56" s="260" t="s">
        <v>772</v>
      </c>
    </row>
    <row r="57" spans="1:13" x14ac:dyDescent="0.25">
      <c r="A57" s="30" t="s">
        <v>781</v>
      </c>
      <c r="B57" t="s">
        <v>772</v>
      </c>
      <c r="C57" t="s">
        <v>772</v>
      </c>
      <c r="D57" t="s">
        <v>772</v>
      </c>
      <c r="E57" t="s">
        <v>772</v>
      </c>
      <c r="F57" t="s">
        <v>366</v>
      </c>
      <c r="G57" t="s">
        <v>366</v>
      </c>
      <c r="H57" t="s">
        <v>366</v>
      </c>
      <c r="I57" t="s">
        <v>772</v>
      </c>
      <c r="J57" s="260" t="s">
        <v>772</v>
      </c>
      <c r="K57" s="260" t="s">
        <v>772</v>
      </c>
      <c r="L57" s="260" t="s">
        <v>772</v>
      </c>
      <c r="M57" s="260" t="s">
        <v>772</v>
      </c>
    </row>
    <row r="58" spans="1:13" x14ac:dyDescent="0.25">
      <c r="A58" s="30" t="s">
        <v>782</v>
      </c>
      <c r="B58" t="s">
        <v>772</v>
      </c>
      <c r="C58" t="s">
        <v>772</v>
      </c>
      <c r="D58" t="s">
        <v>772</v>
      </c>
      <c r="E58" t="s">
        <v>772</v>
      </c>
      <c r="F58" t="s">
        <v>366</v>
      </c>
      <c r="G58" t="s">
        <v>366</v>
      </c>
      <c r="H58" t="s">
        <v>366</v>
      </c>
      <c r="I58" t="s">
        <v>772</v>
      </c>
      <c r="J58" s="260" t="s">
        <v>772</v>
      </c>
      <c r="K58" s="260" t="s">
        <v>772</v>
      </c>
      <c r="L58" s="260" t="s">
        <v>772</v>
      </c>
      <c r="M58" s="260" t="s">
        <v>772</v>
      </c>
    </row>
    <row r="59" spans="1:13" x14ac:dyDescent="0.25">
      <c r="A59" s="30" t="s">
        <v>783</v>
      </c>
      <c r="B59" t="s">
        <v>772</v>
      </c>
      <c r="C59" t="s">
        <v>772</v>
      </c>
      <c r="D59" t="s">
        <v>772</v>
      </c>
      <c r="E59" t="s">
        <v>772</v>
      </c>
      <c r="F59" t="s">
        <v>366</v>
      </c>
      <c r="G59" t="s">
        <v>368</v>
      </c>
      <c r="H59" t="s">
        <v>366</v>
      </c>
      <c r="I59" t="s">
        <v>772</v>
      </c>
      <c r="J59" s="260" t="s">
        <v>772</v>
      </c>
      <c r="K59" s="260" t="s">
        <v>772</v>
      </c>
      <c r="L59" s="260" t="s">
        <v>772</v>
      </c>
      <c r="M59" s="260" t="s">
        <v>772</v>
      </c>
    </row>
    <row r="60" spans="1:13" x14ac:dyDescent="0.25">
      <c r="A60" s="30" t="s">
        <v>784</v>
      </c>
      <c r="B60" t="s">
        <v>772</v>
      </c>
      <c r="C60" t="s">
        <v>772</v>
      </c>
      <c r="D60" t="s">
        <v>772</v>
      </c>
      <c r="E60" t="s">
        <v>772</v>
      </c>
      <c r="F60" t="s">
        <v>368</v>
      </c>
      <c r="G60" t="s">
        <v>366</v>
      </c>
      <c r="H60" t="s">
        <v>1837</v>
      </c>
      <c r="I60" t="s">
        <v>772</v>
      </c>
      <c r="J60" s="260" t="s">
        <v>772</v>
      </c>
      <c r="K60" s="260" t="s">
        <v>772</v>
      </c>
      <c r="L60" s="260" t="s">
        <v>772</v>
      </c>
      <c r="M60" s="260" t="s">
        <v>772</v>
      </c>
    </row>
    <row r="61" spans="1:13" x14ac:dyDescent="0.25">
      <c r="A61" s="30" t="s">
        <v>785</v>
      </c>
      <c r="B61" t="s">
        <v>772</v>
      </c>
      <c r="C61" t="s">
        <v>772</v>
      </c>
      <c r="D61" t="s">
        <v>772</v>
      </c>
      <c r="E61" t="s">
        <v>772</v>
      </c>
      <c r="F61" t="s">
        <v>366</v>
      </c>
      <c r="G61" t="s">
        <v>366</v>
      </c>
      <c r="H61" t="s">
        <v>1837</v>
      </c>
      <c r="I61" t="s">
        <v>772</v>
      </c>
      <c r="J61" s="260" t="s">
        <v>772</v>
      </c>
      <c r="K61" s="260" t="s">
        <v>772</v>
      </c>
      <c r="L61" s="260" t="s">
        <v>772</v>
      </c>
      <c r="M61" s="260" t="s">
        <v>772</v>
      </c>
    </row>
    <row r="62" spans="1:13" x14ac:dyDescent="0.25">
      <c r="A62" s="30" t="s">
        <v>1741</v>
      </c>
      <c r="B62" t="s">
        <v>772</v>
      </c>
      <c r="C62" t="s">
        <v>772</v>
      </c>
      <c r="D62" t="s">
        <v>772</v>
      </c>
      <c r="E62" t="s">
        <v>772</v>
      </c>
      <c r="F62" t="s">
        <v>366</v>
      </c>
      <c r="G62" t="s">
        <v>366</v>
      </c>
      <c r="H62" t="s">
        <v>1837</v>
      </c>
      <c r="I62" t="s">
        <v>772</v>
      </c>
      <c r="J62" s="260" t="s">
        <v>366</v>
      </c>
      <c r="K62" t="s">
        <v>366</v>
      </c>
      <c r="L62" s="260" t="s">
        <v>366</v>
      </c>
      <c r="M62" s="260" t="s">
        <v>772</v>
      </c>
    </row>
    <row r="63" spans="1:13" x14ac:dyDescent="0.25">
      <c r="A63" s="30" t="s">
        <v>1742</v>
      </c>
      <c r="B63" t="s">
        <v>772</v>
      </c>
      <c r="C63" t="s">
        <v>772</v>
      </c>
      <c r="D63" t="s">
        <v>772</v>
      </c>
      <c r="E63" t="s">
        <v>772</v>
      </c>
      <c r="F63" t="s">
        <v>1802</v>
      </c>
      <c r="G63" t="s">
        <v>1625</v>
      </c>
      <c r="H63" t="s">
        <v>369</v>
      </c>
      <c r="I63" t="s">
        <v>772</v>
      </c>
      <c r="J63" s="260" t="s">
        <v>1625</v>
      </c>
      <c r="K63" t="s">
        <v>1446</v>
      </c>
      <c r="L63" s="260" t="s">
        <v>1629</v>
      </c>
      <c r="M63" s="260" t="s">
        <v>772</v>
      </c>
    </row>
    <row r="64" spans="1:13" x14ac:dyDescent="0.25">
      <c r="A64" s="30" t="s">
        <v>1743</v>
      </c>
      <c r="B64" t="s">
        <v>772</v>
      </c>
      <c r="C64" t="s">
        <v>772</v>
      </c>
      <c r="D64" t="s">
        <v>772</v>
      </c>
      <c r="E64" t="s">
        <v>772</v>
      </c>
      <c r="F64" t="s">
        <v>1625</v>
      </c>
      <c r="G64" t="s">
        <v>366</v>
      </c>
      <c r="H64" t="s">
        <v>366</v>
      </c>
      <c r="I64" t="s">
        <v>772</v>
      </c>
      <c r="J64" s="260" t="s">
        <v>772</v>
      </c>
      <c r="K64" t="s">
        <v>772</v>
      </c>
      <c r="L64" s="260" t="s">
        <v>772</v>
      </c>
      <c r="M64" s="260" t="s">
        <v>1446</v>
      </c>
    </row>
    <row r="65" spans="1:13" x14ac:dyDescent="0.25">
      <c r="A65" s="30" t="s">
        <v>1744</v>
      </c>
      <c r="B65" t="s">
        <v>772</v>
      </c>
      <c r="C65" t="s">
        <v>772</v>
      </c>
      <c r="D65" t="s">
        <v>772</v>
      </c>
      <c r="E65" t="s">
        <v>772</v>
      </c>
      <c r="F65" t="s">
        <v>368</v>
      </c>
      <c r="G65" t="s">
        <v>366</v>
      </c>
      <c r="H65" t="s">
        <v>366</v>
      </c>
      <c r="I65" t="s">
        <v>772</v>
      </c>
      <c r="J65" s="260" t="s">
        <v>772</v>
      </c>
      <c r="K65" t="s">
        <v>772</v>
      </c>
      <c r="L65" s="260" t="s">
        <v>772</v>
      </c>
      <c r="M65" s="260" t="s">
        <v>366</v>
      </c>
    </row>
    <row r="66" spans="1:13" x14ac:dyDescent="0.25">
      <c r="A66" s="30" t="s">
        <v>1745</v>
      </c>
      <c r="B66" t="s">
        <v>772</v>
      </c>
      <c r="C66" t="s">
        <v>772</v>
      </c>
      <c r="D66" t="s">
        <v>772</v>
      </c>
      <c r="E66" t="s">
        <v>772</v>
      </c>
      <c r="F66" t="s">
        <v>772</v>
      </c>
      <c r="G66" t="s">
        <v>772</v>
      </c>
      <c r="H66" t="s">
        <v>366</v>
      </c>
      <c r="I66" t="s">
        <v>772</v>
      </c>
      <c r="J66" s="260" t="s">
        <v>772</v>
      </c>
      <c r="K66" t="s">
        <v>772</v>
      </c>
      <c r="L66" s="260" t="s">
        <v>772</v>
      </c>
      <c r="M66" s="260" t="s">
        <v>772</v>
      </c>
    </row>
    <row r="67" spans="1:13" x14ac:dyDescent="0.25">
      <c r="A67" s="30" t="s">
        <v>1838</v>
      </c>
      <c r="B67" t="s">
        <v>772</v>
      </c>
      <c r="C67" t="s">
        <v>772</v>
      </c>
      <c r="D67" t="s">
        <v>772</v>
      </c>
      <c r="E67" t="s">
        <v>772</v>
      </c>
      <c r="F67" t="s">
        <v>772</v>
      </c>
      <c r="G67" t="s">
        <v>772</v>
      </c>
      <c r="H67" t="s">
        <v>366</v>
      </c>
      <c r="I67" t="s">
        <v>772</v>
      </c>
      <c r="J67" s="260" t="s">
        <v>772</v>
      </c>
      <c r="K67" t="s">
        <v>772</v>
      </c>
      <c r="L67" s="260" t="s">
        <v>772</v>
      </c>
      <c r="M67" s="260" t="s">
        <v>772</v>
      </c>
    </row>
    <row r="68" spans="1:13" x14ac:dyDescent="0.25">
      <c r="A68" s="30" t="s">
        <v>1839</v>
      </c>
      <c r="B68" t="s">
        <v>772</v>
      </c>
      <c r="C68" t="s">
        <v>772</v>
      </c>
      <c r="D68" t="s">
        <v>772</v>
      </c>
      <c r="E68" t="s">
        <v>772</v>
      </c>
      <c r="F68" t="s">
        <v>772</v>
      </c>
      <c r="G68" t="s">
        <v>772</v>
      </c>
      <c r="H68" t="s">
        <v>366</v>
      </c>
      <c r="I68" t="s">
        <v>772</v>
      </c>
      <c r="J68" s="260" t="s">
        <v>772</v>
      </c>
      <c r="K68" t="s">
        <v>772</v>
      </c>
      <c r="L68" s="260" t="s">
        <v>772</v>
      </c>
      <c r="M68" s="260" t="s">
        <v>772</v>
      </c>
    </row>
    <row r="69" spans="1:13" x14ac:dyDescent="0.25">
      <c r="A69" s="30" t="s">
        <v>791</v>
      </c>
      <c r="B69" t="s">
        <v>772</v>
      </c>
      <c r="C69" t="s">
        <v>772</v>
      </c>
      <c r="D69" t="s">
        <v>772</v>
      </c>
      <c r="E69" t="s">
        <v>772</v>
      </c>
      <c r="F69" t="s">
        <v>772</v>
      </c>
      <c r="G69" t="s">
        <v>367</v>
      </c>
      <c r="H69" t="s">
        <v>772</v>
      </c>
      <c r="I69" t="s">
        <v>772</v>
      </c>
      <c r="J69" s="260" t="s">
        <v>772</v>
      </c>
      <c r="K69" t="s">
        <v>772</v>
      </c>
      <c r="L69" s="260" t="s">
        <v>772</v>
      </c>
      <c r="M69" s="260" t="s">
        <v>772</v>
      </c>
    </row>
    <row r="70" spans="1:13" x14ac:dyDescent="0.25">
      <c r="A70" s="30" t="s">
        <v>792</v>
      </c>
      <c r="B70" t="s">
        <v>772</v>
      </c>
      <c r="C70" t="s">
        <v>772</v>
      </c>
      <c r="D70" t="s">
        <v>772</v>
      </c>
      <c r="E70" t="s">
        <v>772</v>
      </c>
      <c r="F70" t="s">
        <v>772</v>
      </c>
      <c r="G70" t="s">
        <v>366</v>
      </c>
      <c r="H70" t="s">
        <v>1438</v>
      </c>
      <c r="I70" t="s">
        <v>772</v>
      </c>
      <c r="J70" s="260" t="s">
        <v>772</v>
      </c>
      <c r="K70" t="s">
        <v>772</v>
      </c>
      <c r="L70" s="260" t="s">
        <v>772</v>
      </c>
      <c r="M70" s="260" t="s">
        <v>772</v>
      </c>
    </row>
    <row r="71" spans="1:13" x14ac:dyDescent="0.25">
      <c r="A71" s="30" t="s">
        <v>793</v>
      </c>
      <c r="B71" t="s">
        <v>772</v>
      </c>
      <c r="C71" t="s">
        <v>772</v>
      </c>
      <c r="D71" t="s">
        <v>772</v>
      </c>
      <c r="E71" t="s">
        <v>772</v>
      </c>
      <c r="F71" t="s">
        <v>772</v>
      </c>
      <c r="G71" t="s">
        <v>366</v>
      </c>
      <c r="H71" t="s">
        <v>772</v>
      </c>
      <c r="I71" t="s">
        <v>772</v>
      </c>
      <c r="J71" s="260" t="s">
        <v>772</v>
      </c>
      <c r="K71" t="s">
        <v>772</v>
      </c>
      <c r="L71" s="260" t="s">
        <v>772</v>
      </c>
      <c r="M71" s="260" t="s">
        <v>772</v>
      </c>
    </row>
    <row r="72" spans="1:13" x14ac:dyDescent="0.25">
      <c r="A72" s="30" t="s">
        <v>794</v>
      </c>
      <c r="B72" t="s">
        <v>772</v>
      </c>
      <c r="C72" t="s">
        <v>772</v>
      </c>
      <c r="D72" t="s">
        <v>772</v>
      </c>
      <c r="E72" t="s">
        <v>772</v>
      </c>
      <c r="F72" t="s">
        <v>772</v>
      </c>
      <c r="G72" t="s">
        <v>366</v>
      </c>
      <c r="H72" t="s">
        <v>1446</v>
      </c>
      <c r="I72" t="s">
        <v>772</v>
      </c>
      <c r="J72" s="260" t="s">
        <v>772</v>
      </c>
      <c r="K72" t="s">
        <v>772</v>
      </c>
      <c r="L72" s="260" t="s">
        <v>772</v>
      </c>
      <c r="M72" s="260" t="s">
        <v>772</v>
      </c>
    </row>
    <row r="73" spans="1:13" x14ac:dyDescent="0.25">
      <c r="A73" s="30" t="s">
        <v>795</v>
      </c>
      <c r="B73" t="s">
        <v>772</v>
      </c>
      <c r="C73" t="s">
        <v>772</v>
      </c>
      <c r="D73" t="s">
        <v>772</v>
      </c>
      <c r="E73" t="s">
        <v>772</v>
      </c>
      <c r="F73" t="s">
        <v>772</v>
      </c>
      <c r="G73" t="s">
        <v>366</v>
      </c>
      <c r="H73" t="s">
        <v>772</v>
      </c>
      <c r="I73" t="s">
        <v>772</v>
      </c>
      <c r="J73" s="260" t="s">
        <v>772</v>
      </c>
      <c r="K73" t="s">
        <v>772</v>
      </c>
      <c r="L73" s="260" t="s">
        <v>772</v>
      </c>
      <c r="M73" s="260" t="s">
        <v>772</v>
      </c>
    </row>
    <row r="74" spans="1:13" x14ac:dyDescent="0.25">
      <c r="A74" s="30" t="s">
        <v>1828</v>
      </c>
      <c r="B74" t="s">
        <v>772</v>
      </c>
      <c r="C74" t="s">
        <v>772</v>
      </c>
      <c r="D74" t="s">
        <v>772</v>
      </c>
      <c r="E74" t="s">
        <v>772</v>
      </c>
      <c r="F74" t="s">
        <v>772</v>
      </c>
      <c r="G74" t="s">
        <v>366</v>
      </c>
      <c r="H74" t="s">
        <v>366</v>
      </c>
      <c r="I74" t="s">
        <v>772</v>
      </c>
      <c r="J74" s="260" t="s">
        <v>772</v>
      </c>
      <c r="K74" t="s">
        <v>772</v>
      </c>
      <c r="L74" s="260" t="s">
        <v>772</v>
      </c>
      <c r="M74" s="260" t="s">
        <v>772</v>
      </c>
    </row>
    <row r="75" spans="1:13" x14ac:dyDescent="0.25">
      <c r="A75" s="30" t="s">
        <v>1829</v>
      </c>
      <c r="B75" t="s">
        <v>772</v>
      </c>
      <c r="C75" t="s">
        <v>772</v>
      </c>
      <c r="D75" t="s">
        <v>772</v>
      </c>
      <c r="E75" t="s">
        <v>772</v>
      </c>
      <c r="F75" t="s">
        <v>772</v>
      </c>
      <c r="G75" t="s">
        <v>366</v>
      </c>
      <c r="H75" t="s">
        <v>772</v>
      </c>
      <c r="I75" t="s">
        <v>772</v>
      </c>
      <c r="J75" s="260" t="s">
        <v>772</v>
      </c>
      <c r="K75" t="s">
        <v>772</v>
      </c>
      <c r="L75" s="260" t="s">
        <v>772</v>
      </c>
      <c r="M75" s="260" t="s">
        <v>772</v>
      </c>
    </row>
    <row r="76" spans="1:13" x14ac:dyDescent="0.25">
      <c r="A76" s="30" t="s">
        <v>1830</v>
      </c>
      <c r="B76" t="s">
        <v>772</v>
      </c>
      <c r="C76" t="s">
        <v>772</v>
      </c>
      <c r="D76" t="s">
        <v>772</v>
      </c>
      <c r="E76" t="s">
        <v>772</v>
      </c>
      <c r="F76" t="s">
        <v>772</v>
      </c>
      <c r="G76" t="s">
        <v>366</v>
      </c>
      <c r="H76" t="s">
        <v>366</v>
      </c>
      <c r="I76" t="s">
        <v>772</v>
      </c>
      <c r="J76" s="260" t="s">
        <v>772</v>
      </c>
      <c r="K76" t="s">
        <v>772</v>
      </c>
      <c r="L76" s="260" t="s">
        <v>772</v>
      </c>
      <c r="M76" s="260" t="s">
        <v>772</v>
      </c>
    </row>
    <row r="77" spans="1:13" x14ac:dyDescent="0.25">
      <c r="A77" s="30" t="s">
        <v>1831</v>
      </c>
      <c r="B77" t="s">
        <v>772</v>
      </c>
      <c r="C77" t="s">
        <v>772</v>
      </c>
      <c r="D77" t="s">
        <v>772</v>
      </c>
      <c r="E77" t="s">
        <v>772</v>
      </c>
      <c r="F77" t="s">
        <v>772</v>
      </c>
      <c r="G77" t="s">
        <v>368</v>
      </c>
      <c r="H77" t="s">
        <v>772</v>
      </c>
      <c r="I77" t="s">
        <v>772</v>
      </c>
      <c r="J77" s="260" t="s">
        <v>772</v>
      </c>
      <c r="K77" t="s">
        <v>772</v>
      </c>
      <c r="L77" s="260" t="s">
        <v>772</v>
      </c>
      <c r="M77" s="260" t="s">
        <v>772</v>
      </c>
    </row>
    <row r="78" spans="1:13" x14ac:dyDescent="0.25">
      <c r="A78" s="30" t="s">
        <v>1832</v>
      </c>
      <c r="B78" t="s">
        <v>772</v>
      </c>
      <c r="C78" t="s">
        <v>772</v>
      </c>
      <c r="D78" t="s">
        <v>772</v>
      </c>
      <c r="E78" t="s">
        <v>772</v>
      </c>
      <c r="F78" t="s">
        <v>772</v>
      </c>
      <c r="G78" t="s">
        <v>1799</v>
      </c>
      <c r="H78" t="s">
        <v>366</v>
      </c>
      <c r="I78" t="s">
        <v>772</v>
      </c>
      <c r="J78" s="260" t="s">
        <v>772</v>
      </c>
      <c r="K78" t="s">
        <v>772</v>
      </c>
      <c r="L78" s="260" t="s">
        <v>772</v>
      </c>
      <c r="M78" s="260" t="s">
        <v>772</v>
      </c>
    </row>
    <row r="79" spans="1:13" x14ac:dyDescent="0.25">
      <c r="A79" s="30" t="s">
        <v>1840</v>
      </c>
      <c r="B79" t="s">
        <v>772</v>
      </c>
      <c r="C79" t="s">
        <v>772</v>
      </c>
      <c r="D79" t="s">
        <v>772</v>
      </c>
      <c r="E79" t="s">
        <v>772</v>
      </c>
      <c r="F79" t="s">
        <v>772</v>
      </c>
      <c r="G79" t="s">
        <v>772</v>
      </c>
      <c r="H79" t="s">
        <v>366</v>
      </c>
      <c r="I79" t="s">
        <v>772</v>
      </c>
      <c r="J79" s="260" t="s">
        <v>772</v>
      </c>
      <c r="K79" t="s">
        <v>772</v>
      </c>
      <c r="L79" s="260" t="s">
        <v>772</v>
      </c>
      <c r="M79" s="260" t="s">
        <v>772</v>
      </c>
    </row>
    <row r="80" spans="1:13" x14ac:dyDescent="0.25">
      <c r="A80" s="30" t="s">
        <v>1841</v>
      </c>
      <c r="B80" t="s">
        <v>772</v>
      </c>
      <c r="C80" t="s">
        <v>772</v>
      </c>
      <c r="D80" t="s">
        <v>772</v>
      </c>
      <c r="E80" t="s">
        <v>772</v>
      </c>
      <c r="F80" t="s">
        <v>772</v>
      </c>
      <c r="G80" t="s">
        <v>772</v>
      </c>
      <c r="H80" t="s">
        <v>1797</v>
      </c>
      <c r="I80" t="s">
        <v>772</v>
      </c>
      <c r="J80" s="260" t="s">
        <v>772</v>
      </c>
      <c r="K80" t="s">
        <v>772</v>
      </c>
      <c r="L80" s="260" t="s">
        <v>772</v>
      </c>
      <c r="M80" s="260" t="s">
        <v>772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C1"/>
    </sheetView>
  </sheetViews>
  <sheetFormatPr defaultColWidth="11" defaultRowHeight="15.75" x14ac:dyDescent="0.25"/>
  <sheetData>
    <row r="1" spans="1:3" x14ac:dyDescent="0.25">
      <c r="A1" s="142" t="s">
        <v>801</v>
      </c>
      <c r="B1" s="125">
        <v>42898</v>
      </c>
      <c r="C1" s="125">
        <v>42899</v>
      </c>
    </row>
    <row r="2" spans="1:3" x14ac:dyDescent="0.25">
      <c r="A2" s="30" t="s">
        <v>348</v>
      </c>
      <c r="B2" t="s">
        <v>917</v>
      </c>
      <c r="C2" t="s">
        <v>366</v>
      </c>
    </row>
    <row r="3" spans="1:3" x14ac:dyDescent="0.25">
      <c r="A3" s="30" t="s">
        <v>349</v>
      </c>
      <c r="B3" t="s">
        <v>367</v>
      </c>
      <c r="C3" t="s">
        <v>926</v>
      </c>
    </row>
    <row r="4" spans="1:3" x14ac:dyDescent="0.25">
      <c r="A4" s="30" t="s">
        <v>350</v>
      </c>
      <c r="B4" t="s">
        <v>366</v>
      </c>
      <c r="C4" t="s">
        <v>366</v>
      </c>
    </row>
    <row r="5" spans="1:3" x14ac:dyDescent="0.25">
      <c r="A5" s="30" t="s">
        <v>351</v>
      </c>
      <c r="B5" t="s">
        <v>366</v>
      </c>
      <c r="C5" t="s">
        <v>368</v>
      </c>
    </row>
    <row r="6" spans="1:3" x14ac:dyDescent="0.25">
      <c r="A6" s="30" t="s">
        <v>352</v>
      </c>
      <c r="B6" t="s">
        <v>920</v>
      </c>
      <c r="C6" t="s">
        <v>366</v>
      </c>
    </row>
    <row r="7" spans="1:3" x14ac:dyDescent="0.25">
      <c r="A7" s="30" t="s">
        <v>353</v>
      </c>
      <c r="B7" t="s">
        <v>366</v>
      </c>
      <c r="C7" t="s">
        <v>366</v>
      </c>
    </row>
    <row r="8" spans="1:3" x14ac:dyDescent="0.25">
      <c r="A8" s="30" t="s">
        <v>354</v>
      </c>
      <c r="B8" t="s">
        <v>366</v>
      </c>
      <c r="C8" t="s">
        <v>366</v>
      </c>
    </row>
    <row r="9" spans="1:3" x14ac:dyDescent="0.25">
      <c r="A9" s="30" t="s">
        <v>355</v>
      </c>
      <c r="B9" t="s">
        <v>367</v>
      </c>
      <c r="C9" t="s">
        <v>366</v>
      </c>
    </row>
    <row r="10" spans="1:3" x14ac:dyDescent="0.25">
      <c r="A10" s="30" t="s">
        <v>356</v>
      </c>
      <c r="B10" t="s">
        <v>906</v>
      </c>
      <c r="C10" t="s">
        <v>366</v>
      </c>
    </row>
    <row r="11" spans="1:3" x14ac:dyDescent="0.25">
      <c r="A11" s="30" t="s">
        <v>357</v>
      </c>
      <c r="B11" t="s">
        <v>366</v>
      </c>
      <c r="C11" t="s">
        <v>366</v>
      </c>
    </row>
    <row r="12" spans="1:3" x14ac:dyDescent="0.25">
      <c r="A12" s="30" t="s">
        <v>358</v>
      </c>
      <c r="B12" t="s">
        <v>366</v>
      </c>
      <c r="C12" t="s">
        <v>366</v>
      </c>
    </row>
    <row r="13" spans="1:3" x14ac:dyDescent="0.25">
      <c r="A13" s="30" t="s">
        <v>362</v>
      </c>
      <c r="B13" t="s">
        <v>366</v>
      </c>
      <c r="C13" t="s">
        <v>922</v>
      </c>
    </row>
    <row r="14" spans="1:3" x14ac:dyDescent="0.25">
      <c r="A14" s="30" t="s">
        <v>363</v>
      </c>
      <c r="B14" t="s">
        <v>366</v>
      </c>
      <c r="C14" t="s">
        <v>366</v>
      </c>
    </row>
    <row r="15" spans="1:3" x14ac:dyDescent="0.25">
      <c r="A15" s="30" t="s">
        <v>364</v>
      </c>
      <c r="B15" t="s">
        <v>908</v>
      </c>
      <c r="C15" t="s">
        <v>366</v>
      </c>
    </row>
    <row r="16" spans="1:3" x14ac:dyDescent="0.25">
      <c r="A16" s="30" t="s">
        <v>361</v>
      </c>
      <c r="B16" t="s">
        <v>911</v>
      </c>
      <c r="C16" t="s">
        <v>906</v>
      </c>
    </row>
    <row r="17" spans="1:3" x14ac:dyDescent="0.25">
      <c r="A17" s="30" t="s">
        <v>447</v>
      </c>
      <c r="B17" t="s">
        <v>366</v>
      </c>
      <c r="C17" t="s">
        <v>366</v>
      </c>
    </row>
    <row r="18" spans="1:3" x14ac:dyDescent="0.25">
      <c r="A18" s="30" t="s">
        <v>448</v>
      </c>
      <c r="B18" t="s">
        <v>366</v>
      </c>
      <c r="C18" t="s">
        <v>908</v>
      </c>
    </row>
    <row r="19" spans="1:3" x14ac:dyDescent="0.25">
      <c r="A19" s="30" t="s">
        <v>449</v>
      </c>
      <c r="B19" t="s">
        <v>366</v>
      </c>
      <c r="C19" t="s">
        <v>366</v>
      </c>
    </row>
    <row r="20" spans="1:3" x14ac:dyDescent="0.25">
      <c r="A20" s="30" t="s">
        <v>450</v>
      </c>
      <c r="B20" t="s">
        <v>916</v>
      </c>
      <c r="C20" t="s">
        <v>366</v>
      </c>
    </row>
    <row r="21" spans="1:3" x14ac:dyDescent="0.25">
      <c r="A21" s="30" t="s">
        <v>451</v>
      </c>
      <c r="B21" t="s">
        <v>922</v>
      </c>
      <c r="C21" t="s">
        <v>366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1" sqref="F11"/>
    </sheetView>
  </sheetViews>
  <sheetFormatPr defaultColWidth="11" defaultRowHeight="15.75" x14ac:dyDescent="0.25"/>
  <sheetData>
    <row r="1" spans="1:6" x14ac:dyDescent="0.25">
      <c r="A1" s="142" t="s">
        <v>801</v>
      </c>
      <c r="B1" s="143">
        <v>42894</v>
      </c>
      <c r="C1" s="143">
        <v>42895</v>
      </c>
      <c r="D1" s="30" t="s">
        <v>1664</v>
      </c>
      <c r="E1" s="125">
        <v>43241</v>
      </c>
      <c r="F1" s="125">
        <v>43242</v>
      </c>
    </row>
    <row r="2" spans="1:6" x14ac:dyDescent="0.25">
      <c r="A2" s="30" t="s">
        <v>348</v>
      </c>
      <c r="B2" t="s">
        <v>366</v>
      </c>
      <c r="C2" t="s">
        <v>366</v>
      </c>
      <c r="D2" s="142" t="s">
        <v>1665</v>
      </c>
      <c r="E2" t="s">
        <v>366</v>
      </c>
      <c r="F2" t="s">
        <v>366</v>
      </c>
    </row>
    <row r="3" spans="1:6" x14ac:dyDescent="0.25">
      <c r="A3" s="30" t="s">
        <v>349</v>
      </c>
      <c r="B3" t="s">
        <v>864</v>
      </c>
      <c r="C3" t="s">
        <v>366</v>
      </c>
      <c r="D3" s="142" t="s">
        <v>1666</v>
      </c>
      <c r="E3" t="s">
        <v>1481</v>
      </c>
      <c r="F3" t="s">
        <v>1477</v>
      </c>
    </row>
    <row r="4" spans="1:6" x14ac:dyDescent="0.25">
      <c r="A4" s="30" t="s">
        <v>350</v>
      </c>
      <c r="B4" t="s">
        <v>366</v>
      </c>
      <c r="C4" t="s">
        <v>366</v>
      </c>
      <c r="D4" s="142" t="s">
        <v>1667</v>
      </c>
      <c r="E4" s="260" t="s">
        <v>1475</v>
      </c>
      <c r="F4" t="s">
        <v>369</v>
      </c>
    </row>
    <row r="5" spans="1:6" x14ac:dyDescent="0.25">
      <c r="A5" s="30" t="s">
        <v>351</v>
      </c>
      <c r="B5" t="s">
        <v>366</v>
      </c>
      <c r="C5" t="s">
        <v>366</v>
      </c>
      <c r="D5" s="142" t="s">
        <v>1668</v>
      </c>
      <c r="E5" s="260" t="s">
        <v>1479</v>
      </c>
      <c r="F5" t="s">
        <v>366</v>
      </c>
    </row>
    <row r="6" spans="1:6" x14ac:dyDescent="0.25">
      <c r="A6" s="30" t="s">
        <v>352</v>
      </c>
      <c r="B6" t="s">
        <v>366</v>
      </c>
      <c r="C6" t="s">
        <v>892</v>
      </c>
      <c r="D6" s="142" t="s">
        <v>1669</v>
      </c>
      <c r="E6" t="s">
        <v>366</v>
      </c>
      <c r="F6" t="s">
        <v>366</v>
      </c>
    </row>
    <row r="7" spans="1:6" x14ac:dyDescent="0.25">
      <c r="A7" s="30" t="s">
        <v>353</v>
      </c>
      <c r="B7" t="s">
        <v>366</v>
      </c>
      <c r="C7" t="s">
        <v>366</v>
      </c>
      <c r="D7" s="142" t="s">
        <v>1670</v>
      </c>
      <c r="E7" t="s">
        <v>366</v>
      </c>
      <c r="F7" t="s">
        <v>366</v>
      </c>
    </row>
    <row r="8" spans="1:6" x14ac:dyDescent="0.25">
      <c r="A8" s="30" t="s">
        <v>354</v>
      </c>
      <c r="B8" t="s">
        <v>366</v>
      </c>
      <c r="C8" t="s">
        <v>366</v>
      </c>
      <c r="D8" s="142" t="s">
        <v>1672</v>
      </c>
      <c r="E8" t="s">
        <v>366</v>
      </c>
      <c r="F8" t="s">
        <v>1471</v>
      </c>
    </row>
    <row r="9" spans="1:6" x14ac:dyDescent="0.25">
      <c r="A9" s="30" t="s">
        <v>355</v>
      </c>
      <c r="B9" t="s">
        <v>366</v>
      </c>
      <c r="C9" t="s">
        <v>366</v>
      </c>
      <c r="D9" s="142" t="s">
        <v>1673</v>
      </c>
      <c r="E9" t="s">
        <v>366</v>
      </c>
      <c r="F9" t="s">
        <v>1469</v>
      </c>
    </row>
    <row r="10" spans="1:6" x14ac:dyDescent="0.25">
      <c r="A10" s="30" t="s">
        <v>356</v>
      </c>
      <c r="B10" t="s">
        <v>366</v>
      </c>
      <c r="C10" t="s">
        <v>366</v>
      </c>
      <c r="D10" s="142" t="s">
        <v>1701</v>
      </c>
      <c r="E10" t="s">
        <v>1704</v>
      </c>
      <c r="F10" t="s">
        <v>1485</v>
      </c>
    </row>
    <row r="11" spans="1:6" x14ac:dyDescent="0.25">
      <c r="A11" s="30" t="s">
        <v>357</v>
      </c>
      <c r="B11" t="s">
        <v>366</v>
      </c>
      <c r="C11" t="s">
        <v>366</v>
      </c>
      <c r="D11" s="142" t="s">
        <v>1702</v>
      </c>
      <c r="E11" t="s">
        <v>1469</v>
      </c>
      <c r="F11" t="s">
        <v>1704</v>
      </c>
    </row>
    <row r="12" spans="1:6" x14ac:dyDescent="0.25">
      <c r="A12" s="30" t="s">
        <v>358</v>
      </c>
      <c r="B12" t="s">
        <v>366</v>
      </c>
      <c r="C12" t="s">
        <v>894</v>
      </c>
      <c r="D12" s="142" t="s">
        <v>1674</v>
      </c>
      <c r="E12" t="s">
        <v>368</v>
      </c>
      <c r="F12" t="s">
        <v>366</v>
      </c>
    </row>
    <row r="13" spans="1:6" x14ac:dyDescent="0.25">
      <c r="A13" s="30" t="s">
        <v>362</v>
      </c>
      <c r="B13" t="s">
        <v>366</v>
      </c>
      <c r="C13" t="s">
        <v>366</v>
      </c>
      <c r="D13" s="142" t="s">
        <v>1675</v>
      </c>
      <c r="E13" t="s">
        <v>366</v>
      </c>
      <c r="F13" t="s">
        <v>366</v>
      </c>
    </row>
    <row r="14" spans="1:6" x14ac:dyDescent="0.25">
      <c r="A14" s="30" t="s">
        <v>363</v>
      </c>
      <c r="B14" t="s">
        <v>366</v>
      </c>
      <c r="C14" t="s">
        <v>366</v>
      </c>
      <c r="D14" s="142" t="s">
        <v>1676</v>
      </c>
      <c r="E14" t="s">
        <v>369</v>
      </c>
      <c r="F14" t="s">
        <v>367</v>
      </c>
    </row>
    <row r="15" spans="1:6" x14ac:dyDescent="0.25">
      <c r="A15" s="30" t="s">
        <v>364</v>
      </c>
      <c r="B15" t="s">
        <v>366</v>
      </c>
      <c r="C15" t="s">
        <v>366</v>
      </c>
      <c r="D15" s="142" t="s">
        <v>1677</v>
      </c>
      <c r="E15" t="s">
        <v>366</v>
      </c>
      <c r="F15" t="s">
        <v>366</v>
      </c>
    </row>
    <row r="16" spans="1:6" x14ac:dyDescent="0.25">
      <c r="A16" s="30" t="s">
        <v>361</v>
      </c>
      <c r="B16" t="s">
        <v>366</v>
      </c>
      <c r="C16" t="s">
        <v>366</v>
      </c>
      <c r="D16" s="142" t="s">
        <v>1678</v>
      </c>
      <c r="E16" t="s">
        <v>368</v>
      </c>
      <c r="F16" t="s">
        <v>366</v>
      </c>
    </row>
    <row r="17" spans="1:6" x14ac:dyDescent="0.25">
      <c r="A17" s="30" t="s">
        <v>447</v>
      </c>
      <c r="B17" t="s">
        <v>366</v>
      </c>
      <c r="C17" t="s">
        <v>366</v>
      </c>
      <c r="D17" s="142" t="s">
        <v>1680</v>
      </c>
      <c r="E17" t="s">
        <v>366</v>
      </c>
      <c r="F17" t="s">
        <v>366</v>
      </c>
    </row>
    <row r="18" spans="1:6" x14ac:dyDescent="0.25">
      <c r="A18" s="30" t="s">
        <v>448</v>
      </c>
      <c r="B18" t="s">
        <v>366</v>
      </c>
      <c r="C18" t="s">
        <v>366</v>
      </c>
      <c r="D18" s="142" t="s">
        <v>1681</v>
      </c>
      <c r="E18" t="s">
        <v>366</v>
      </c>
      <c r="F18" t="s">
        <v>366</v>
      </c>
    </row>
    <row r="19" spans="1:6" x14ac:dyDescent="0.25">
      <c r="A19" s="30" t="s">
        <v>449</v>
      </c>
      <c r="B19" t="s">
        <v>366</v>
      </c>
      <c r="C19" t="s">
        <v>366</v>
      </c>
      <c r="D19" s="142" t="s">
        <v>1682</v>
      </c>
      <c r="E19" t="s">
        <v>366</v>
      </c>
      <c r="F19" t="s">
        <v>369</v>
      </c>
    </row>
    <row r="20" spans="1:6" x14ac:dyDescent="0.25">
      <c r="A20" s="30" t="s">
        <v>450</v>
      </c>
      <c r="B20" t="s">
        <v>366</v>
      </c>
      <c r="C20" t="s">
        <v>366</v>
      </c>
      <c r="D20" s="142" t="s">
        <v>1683</v>
      </c>
      <c r="E20" s="260" t="s">
        <v>1471</v>
      </c>
      <c r="F20" t="s">
        <v>366</v>
      </c>
    </row>
    <row r="21" spans="1:6" x14ac:dyDescent="0.25">
      <c r="A21" s="30" t="s">
        <v>451</v>
      </c>
      <c r="B21" t="s">
        <v>366</v>
      </c>
      <c r="C21" t="s">
        <v>366</v>
      </c>
      <c r="D21" s="142" t="s">
        <v>1684</v>
      </c>
      <c r="E21" t="s">
        <v>366</v>
      </c>
      <c r="F21" t="s">
        <v>366</v>
      </c>
    </row>
    <row r="22" spans="1:6" x14ac:dyDescent="0.25">
      <c r="D22" s="142" t="s">
        <v>1689</v>
      </c>
      <c r="E22" t="s">
        <v>1473</v>
      </c>
      <c r="F22" t="s">
        <v>1489</v>
      </c>
    </row>
    <row r="23" spans="1:6" x14ac:dyDescent="0.25">
      <c r="D23" s="142" t="s">
        <v>1690</v>
      </c>
      <c r="E23" t="s">
        <v>368</v>
      </c>
      <c r="F23" t="s">
        <v>368</v>
      </c>
    </row>
    <row r="24" spans="1:6" x14ac:dyDescent="0.25">
      <c r="D24" s="142" t="s">
        <v>1691</v>
      </c>
      <c r="E24" s="260" t="s">
        <v>1467</v>
      </c>
      <c r="F24" t="s">
        <v>366</v>
      </c>
    </row>
    <row r="25" spans="1:6" x14ac:dyDescent="0.25">
      <c r="D25" s="142" t="s">
        <v>1692</v>
      </c>
      <c r="E25" t="s">
        <v>1477</v>
      </c>
      <c r="F25" t="s">
        <v>366</v>
      </c>
    </row>
    <row r="26" spans="1:6" x14ac:dyDescent="0.25">
      <c r="D26" s="142" t="s">
        <v>1693</v>
      </c>
      <c r="E26" t="s">
        <v>366</v>
      </c>
      <c r="F26" t="s">
        <v>1467</v>
      </c>
    </row>
    <row r="27" spans="1:6" x14ac:dyDescent="0.25">
      <c r="D27" s="142" t="s">
        <v>1694</v>
      </c>
      <c r="E27" t="s">
        <v>367</v>
      </c>
      <c r="F27" t="s">
        <v>366</v>
      </c>
    </row>
    <row r="28" spans="1:6" x14ac:dyDescent="0.25">
      <c r="D28" s="142" t="s">
        <v>1695</v>
      </c>
      <c r="E28" t="s">
        <v>366</v>
      </c>
      <c r="F28" t="s">
        <v>366</v>
      </c>
    </row>
    <row r="29" spans="1:6" x14ac:dyDescent="0.25">
      <c r="D29" s="142" t="s">
        <v>1696</v>
      </c>
      <c r="E29" t="s">
        <v>366</v>
      </c>
      <c r="F29" t="s">
        <v>366</v>
      </c>
    </row>
    <row r="30" spans="1:6" x14ac:dyDescent="0.25">
      <c r="D30" s="142" t="s">
        <v>1697</v>
      </c>
      <c r="E30" t="s">
        <v>366</v>
      </c>
      <c r="F30" t="s">
        <v>366</v>
      </c>
    </row>
    <row r="31" spans="1:6" x14ac:dyDescent="0.25">
      <c r="D31" s="142" t="s">
        <v>1698</v>
      </c>
      <c r="E31" t="s">
        <v>368</v>
      </c>
      <c r="F31" s="260" t="s">
        <v>338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4" sqref="G4"/>
    </sheetView>
  </sheetViews>
  <sheetFormatPr defaultColWidth="11" defaultRowHeight="15.75" x14ac:dyDescent="0.25"/>
  <sheetData>
    <row r="1" spans="1:6" x14ac:dyDescent="0.25">
      <c r="A1" s="142" t="s">
        <v>801</v>
      </c>
      <c r="B1" s="143">
        <v>42895</v>
      </c>
      <c r="C1" s="125">
        <v>42533</v>
      </c>
      <c r="D1" s="30" t="s">
        <v>1664</v>
      </c>
      <c r="E1" s="125">
        <v>43244</v>
      </c>
      <c r="F1" s="125">
        <v>43245</v>
      </c>
    </row>
    <row r="2" spans="1:6" x14ac:dyDescent="0.25">
      <c r="A2" s="30">
        <v>1</v>
      </c>
      <c r="B2" t="s">
        <v>366</v>
      </c>
      <c r="C2" t="s">
        <v>366</v>
      </c>
      <c r="D2" s="142" t="s">
        <v>1665</v>
      </c>
      <c r="E2" t="s">
        <v>366</v>
      </c>
      <c r="F2" t="s">
        <v>772</v>
      </c>
    </row>
    <row r="3" spans="1:6" x14ac:dyDescent="0.25">
      <c r="A3" s="30">
        <v>2</v>
      </c>
      <c r="B3" t="s">
        <v>871</v>
      </c>
      <c r="C3" t="s">
        <v>366</v>
      </c>
      <c r="D3" s="142" t="s">
        <v>1666</v>
      </c>
      <c r="E3" t="s">
        <v>366</v>
      </c>
      <c r="F3" t="s">
        <v>772</v>
      </c>
    </row>
    <row r="4" spans="1:6" x14ac:dyDescent="0.25">
      <c r="A4" s="30">
        <v>3</v>
      </c>
      <c r="B4" t="s">
        <v>366</v>
      </c>
      <c r="C4" t="s">
        <v>879</v>
      </c>
      <c r="D4" s="142" t="s">
        <v>1667</v>
      </c>
      <c r="E4" t="s">
        <v>366</v>
      </c>
      <c r="F4" t="s">
        <v>772</v>
      </c>
    </row>
    <row r="5" spans="1:6" x14ac:dyDescent="0.25">
      <c r="A5" s="30">
        <v>4</v>
      </c>
      <c r="B5" t="s">
        <v>366</v>
      </c>
      <c r="C5" t="s">
        <v>366</v>
      </c>
      <c r="D5" s="142" t="s">
        <v>1668</v>
      </c>
      <c r="E5" t="s">
        <v>369</v>
      </c>
      <c r="F5" t="s">
        <v>772</v>
      </c>
    </row>
    <row r="6" spans="1:6" x14ac:dyDescent="0.25">
      <c r="A6" s="30">
        <v>5</v>
      </c>
      <c r="B6" t="s">
        <v>366</v>
      </c>
      <c r="C6" t="s">
        <v>898</v>
      </c>
      <c r="D6" s="142" t="s">
        <v>1669</v>
      </c>
      <c r="E6" t="s">
        <v>366</v>
      </c>
      <c r="F6" t="s">
        <v>772</v>
      </c>
    </row>
    <row r="7" spans="1:6" x14ac:dyDescent="0.25">
      <c r="A7" s="30">
        <v>6</v>
      </c>
      <c r="B7" t="s">
        <v>366</v>
      </c>
      <c r="C7" t="s">
        <v>366</v>
      </c>
      <c r="D7" s="142" t="s">
        <v>1670</v>
      </c>
      <c r="E7" t="s">
        <v>366</v>
      </c>
      <c r="F7" t="s">
        <v>772</v>
      </c>
    </row>
    <row r="8" spans="1:6" x14ac:dyDescent="0.25">
      <c r="A8" s="30">
        <v>7</v>
      </c>
      <c r="B8" t="s">
        <v>875</v>
      </c>
      <c r="C8" t="s">
        <v>901</v>
      </c>
      <c r="D8" s="142" t="s">
        <v>1672</v>
      </c>
      <c r="E8" t="s">
        <v>366</v>
      </c>
      <c r="F8" t="s">
        <v>772</v>
      </c>
    </row>
    <row r="9" spans="1:6" x14ac:dyDescent="0.25">
      <c r="A9" s="30">
        <v>8</v>
      </c>
      <c r="B9" t="s">
        <v>890</v>
      </c>
      <c r="C9" t="s">
        <v>366</v>
      </c>
      <c r="D9" s="142" t="s">
        <v>1673</v>
      </c>
      <c r="E9" t="s">
        <v>366</v>
      </c>
      <c r="F9" t="s">
        <v>772</v>
      </c>
    </row>
    <row r="10" spans="1:6" x14ac:dyDescent="0.25">
      <c r="A10" s="30">
        <v>9</v>
      </c>
      <c r="B10" t="s">
        <v>366</v>
      </c>
      <c r="C10" t="s">
        <v>366</v>
      </c>
      <c r="D10" s="142" t="s">
        <v>1701</v>
      </c>
      <c r="E10" t="s">
        <v>366</v>
      </c>
      <c r="F10" t="s">
        <v>772</v>
      </c>
    </row>
    <row r="11" spans="1:6" x14ac:dyDescent="0.25">
      <c r="A11" s="30">
        <v>10</v>
      </c>
      <c r="B11" t="s">
        <v>884</v>
      </c>
      <c r="C11" t="s">
        <v>869</v>
      </c>
      <c r="D11" s="142" t="s">
        <v>1702</v>
      </c>
      <c r="E11" t="s">
        <v>366</v>
      </c>
      <c r="F11" t="s">
        <v>772</v>
      </c>
    </row>
    <row r="12" spans="1:6" x14ac:dyDescent="0.25">
      <c r="A12" s="30">
        <v>11</v>
      </c>
      <c r="B12" t="s">
        <v>369</v>
      </c>
      <c r="C12" t="s">
        <v>871</v>
      </c>
      <c r="D12" s="142" t="s">
        <v>1674</v>
      </c>
      <c r="E12" t="s">
        <v>366</v>
      </c>
      <c r="F12" t="s">
        <v>772</v>
      </c>
    </row>
    <row r="13" spans="1:6" x14ac:dyDescent="0.25">
      <c r="A13" s="30">
        <v>12</v>
      </c>
      <c r="B13" t="s">
        <v>879</v>
      </c>
      <c r="C13" t="s">
        <v>903</v>
      </c>
      <c r="D13" s="142" t="s">
        <v>1675</v>
      </c>
      <c r="E13" t="s">
        <v>366</v>
      </c>
      <c r="F13" t="s">
        <v>772</v>
      </c>
    </row>
    <row r="14" spans="1:6" x14ac:dyDescent="0.25">
      <c r="A14" s="30">
        <v>13</v>
      </c>
      <c r="B14" t="s">
        <v>883</v>
      </c>
      <c r="C14" t="s">
        <v>883</v>
      </c>
      <c r="D14" s="142" t="s">
        <v>1676</v>
      </c>
      <c r="E14" t="s">
        <v>368</v>
      </c>
      <c r="F14" t="s">
        <v>772</v>
      </c>
    </row>
    <row r="15" spans="1:6" x14ac:dyDescent="0.25">
      <c r="A15" s="30">
        <v>14</v>
      </c>
      <c r="B15" t="s">
        <v>869</v>
      </c>
      <c r="C15" t="s">
        <v>366</v>
      </c>
      <c r="D15" s="142" t="s">
        <v>1677</v>
      </c>
      <c r="E15" t="s">
        <v>366</v>
      </c>
      <c r="F15" t="s">
        <v>772</v>
      </c>
    </row>
    <row r="16" spans="1:6" x14ac:dyDescent="0.25">
      <c r="A16" s="30">
        <v>15</v>
      </c>
      <c r="B16" t="s">
        <v>366</v>
      </c>
      <c r="C16" t="s">
        <v>884</v>
      </c>
      <c r="D16" s="142" t="s">
        <v>1678</v>
      </c>
      <c r="E16" t="s">
        <v>366</v>
      </c>
      <c r="F16" t="s">
        <v>772</v>
      </c>
    </row>
    <row r="17" spans="1:6" x14ac:dyDescent="0.25">
      <c r="A17" s="30">
        <v>16</v>
      </c>
      <c r="B17" t="s">
        <v>366</v>
      </c>
      <c r="C17" t="s">
        <v>366</v>
      </c>
      <c r="D17" s="142" t="s">
        <v>1680</v>
      </c>
      <c r="E17" t="s">
        <v>366</v>
      </c>
      <c r="F17" t="s">
        <v>772</v>
      </c>
    </row>
    <row r="18" spans="1:6" x14ac:dyDescent="0.25">
      <c r="D18" s="142" t="s">
        <v>1681</v>
      </c>
      <c r="E18" t="s">
        <v>366</v>
      </c>
      <c r="F18" t="s">
        <v>772</v>
      </c>
    </row>
    <row r="19" spans="1:6" x14ac:dyDescent="0.25">
      <c r="D19" s="142" t="s">
        <v>1682</v>
      </c>
      <c r="E19" t="s">
        <v>366</v>
      </c>
      <c r="F19" t="s">
        <v>772</v>
      </c>
    </row>
    <row r="20" spans="1:6" x14ac:dyDescent="0.25">
      <c r="D20" s="142" t="s">
        <v>1683</v>
      </c>
      <c r="E20" t="s">
        <v>366</v>
      </c>
      <c r="F20" t="s">
        <v>772</v>
      </c>
    </row>
    <row r="21" spans="1:6" x14ac:dyDescent="0.25">
      <c r="D21" s="142" t="s">
        <v>1684</v>
      </c>
      <c r="E21" t="s">
        <v>772</v>
      </c>
      <c r="F21" t="s">
        <v>772</v>
      </c>
    </row>
    <row r="22" spans="1:6" x14ac:dyDescent="0.25">
      <c r="D22" s="142" t="s">
        <v>1689</v>
      </c>
      <c r="E22" t="s">
        <v>366</v>
      </c>
      <c r="F22" t="s">
        <v>366</v>
      </c>
    </row>
    <row r="23" spans="1:6" x14ac:dyDescent="0.25">
      <c r="D23" s="142" t="s">
        <v>1690</v>
      </c>
      <c r="E23" t="s">
        <v>366</v>
      </c>
      <c r="F23" t="s">
        <v>366</v>
      </c>
    </row>
    <row r="24" spans="1:6" x14ac:dyDescent="0.25">
      <c r="D24" s="142" t="s">
        <v>1691</v>
      </c>
      <c r="E24" t="s">
        <v>366</v>
      </c>
      <c r="F24" t="s">
        <v>1502</v>
      </c>
    </row>
    <row r="25" spans="1:6" x14ac:dyDescent="0.25">
      <c r="D25" s="142" t="s">
        <v>1692</v>
      </c>
      <c r="E25" t="s">
        <v>366</v>
      </c>
      <c r="F25" t="s">
        <v>366</v>
      </c>
    </row>
    <row r="26" spans="1:6" x14ac:dyDescent="0.25">
      <c r="D26" s="142" t="s">
        <v>1693</v>
      </c>
      <c r="E26" t="s">
        <v>1705</v>
      </c>
      <c r="F26" t="s">
        <v>366</v>
      </c>
    </row>
    <row r="27" spans="1:6" x14ac:dyDescent="0.25">
      <c r="D27" s="142" t="s">
        <v>1694</v>
      </c>
      <c r="E27" t="s">
        <v>366</v>
      </c>
      <c r="F27" t="s">
        <v>1517</v>
      </c>
    </row>
    <row r="28" spans="1:6" x14ac:dyDescent="0.25">
      <c r="D28" s="142" t="s">
        <v>1695</v>
      </c>
      <c r="E28" t="s">
        <v>369</v>
      </c>
      <c r="F28" t="s">
        <v>1505</v>
      </c>
    </row>
    <row r="29" spans="1:6" x14ac:dyDescent="0.25">
      <c r="D29" s="142" t="s">
        <v>1696</v>
      </c>
      <c r="E29" t="s">
        <v>366</v>
      </c>
      <c r="F29" t="s">
        <v>366</v>
      </c>
    </row>
    <row r="30" spans="1:6" x14ac:dyDescent="0.25">
      <c r="D30" s="142" t="s">
        <v>1697</v>
      </c>
      <c r="E30" t="s">
        <v>1502</v>
      </c>
      <c r="F30" t="s">
        <v>883</v>
      </c>
    </row>
    <row r="31" spans="1:6" x14ac:dyDescent="0.25">
      <c r="D31" s="142" t="s">
        <v>1698</v>
      </c>
      <c r="E31" t="s">
        <v>366</v>
      </c>
      <c r="F31" t="s">
        <v>368</v>
      </c>
    </row>
    <row r="32" spans="1:6" x14ac:dyDescent="0.25">
      <c r="D32" s="142" t="s">
        <v>1706</v>
      </c>
      <c r="E32" t="s">
        <v>772</v>
      </c>
      <c r="F32" t="s">
        <v>366</v>
      </c>
    </row>
    <row r="33" spans="4:6" x14ac:dyDescent="0.25">
      <c r="D33" s="142" t="s">
        <v>1707</v>
      </c>
      <c r="E33" t="s">
        <v>772</v>
      </c>
      <c r="F33" t="s">
        <v>366</v>
      </c>
    </row>
    <row r="34" spans="4:6" x14ac:dyDescent="0.25">
      <c r="D34" s="142" t="s">
        <v>1708</v>
      </c>
      <c r="E34" t="s">
        <v>772</v>
      </c>
      <c r="F34" t="s">
        <v>1709</v>
      </c>
    </row>
    <row r="35" spans="4:6" x14ac:dyDescent="0.25">
      <c r="D35" s="142" t="s">
        <v>1710</v>
      </c>
      <c r="E35" t="s">
        <v>772</v>
      </c>
      <c r="F35" t="s">
        <v>366</v>
      </c>
    </row>
    <row r="36" spans="4:6" x14ac:dyDescent="0.25">
      <c r="D36" s="142" t="s">
        <v>1711</v>
      </c>
      <c r="E36" t="s">
        <v>772</v>
      </c>
      <c r="F36" t="s">
        <v>366</v>
      </c>
    </row>
    <row r="37" spans="4:6" x14ac:dyDescent="0.25">
      <c r="D37" s="142" t="s">
        <v>1712</v>
      </c>
      <c r="E37" t="s">
        <v>772</v>
      </c>
      <c r="F37" t="s">
        <v>366</v>
      </c>
    </row>
    <row r="38" spans="4:6" x14ac:dyDescent="0.25">
      <c r="D38" s="142" t="s">
        <v>1713</v>
      </c>
      <c r="E38" t="s">
        <v>772</v>
      </c>
      <c r="F38" t="s">
        <v>366</v>
      </c>
    </row>
    <row r="39" spans="4:6" x14ac:dyDescent="0.25">
      <c r="D39" s="142" t="s">
        <v>1714</v>
      </c>
      <c r="E39" t="s">
        <v>772</v>
      </c>
      <c r="F39" t="s">
        <v>366</v>
      </c>
    </row>
    <row r="40" spans="4:6" x14ac:dyDescent="0.25">
      <c r="D40" s="142" t="s">
        <v>1715</v>
      </c>
      <c r="E40" t="s">
        <v>772</v>
      </c>
      <c r="F40" t="s">
        <v>366</v>
      </c>
    </row>
    <row r="41" spans="4:6" x14ac:dyDescent="0.25">
      <c r="D41" s="142" t="s">
        <v>1716</v>
      </c>
      <c r="E41" t="s">
        <v>772</v>
      </c>
      <c r="F41" t="s">
        <v>366</v>
      </c>
    </row>
    <row r="42" spans="4:6" x14ac:dyDescent="0.25">
      <c r="D42" s="142" t="s">
        <v>1717</v>
      </c>
      <c r="E42" t="s">
        <v>772</v>
      </c>
      <c r="F42" t="s">
        <v>366</v>
      </c>
    </row>
    <row r="43" spans="4:6" x14ac:dyDescent="0.25">
      <c r="D43" s="142" t="s">
        <v>1718</v>
      </c>
      <c r="E43" t="s">
        <v>772</v>
      </c>
      <c r="F43" t="s">
        <v>366</v>
      </c>
    </row>
    <row r="44" spans="4:6" x14ac:dyDescent="0.25">
      <c r="D44" s="142" t="s">
        <v>1719</v>
      </c>
      <c r="E44" t="s">
        <v>772</v>
      </c>
      <c r="F44" t="s">
        <v>366</v>
      </c>
    </row>
    <row r="45" spans="4:6" x14ac:dyDescent="0.25">
      <c r="D45" s="142" t="s">
        <v>1720</v>
      </c>
      <c r="E45" t="s">
        <v>772</v>
      </c>
      <c r="F45" t="s">
        <v>366</v>
      </c>
    </row>
    <row r="46" spans="4:6" x14ac:dyDescent="0.25">
      <c r="D46" s="142" t="s">
        <v>1721</v>
      </c>
      <c r="E46" t="s">
        <v>772</v>
      </c>
      <c r="F46" t="s">
        <v>366</v>
      </c>
    </row>
    <row r="47" spans="4:6" x14ac:dyDescent="0.25">
      <c r="D47" s="142" t="s">
        <v>1722</v>
      </c>
      <c r="E47" t="s">
        <v>772</v>
      </c>
      <c r="F47" t="s">
        <v>366</v>
      </c>
    </row>
    <row r="48" spans="4:6" x14ac:dyDescent="0.25">
      <c r="D48" s="142" t="s">
        <v>1723</v>
      </c>
      <c r="E48" t="s">
        <v>772</v>
      </c>
      <c r="F48" t="s">
        <v>366</v>
      </c>
    </row>
    <row r="49" spans="4:6" x14ac:dyDescent="0.25">
      <c r="D49" s="142" t="s">
        <v>1724</v>
      </c>
      <c r="E49" t="s">
        <v>772</v>
      </c>
      <c r="F49" t="s">
        <v>366</v>
      </c>
    </row>
    <row r="50" spans="4:6" x14ac:dyDescent="0.25">
      <c r="D50" s="142" t="s">
        <v>1725</v>
      </c>
      <c r="E50" t="s">
        <v>772</v>
      </c>
      <c r="F50" t="s">
        <v>366</v>
      </c>
    </row>
    <row r="51" spans="4:6" x14ac:dyDescent="0.25">
      <c r="D51" s="142" t="s">
        <v>1726</v>
      </c>
      <c r="E51" t="s">
        <v>772</v>
      </c>
      <c r="F51" t="s">
        <v>366</v>
      </c>
    </row>
    <row r="52" spans="4:6" x14ac:dyDescent="0.25">
      <c r="D52" s="142" t="s">
        <v>1727</v>
      </c>
      <c r="E52" t="s">
        <v>772</v>
      </c>
      <c r="F52" t="s">
        <v>366</v>
      </c>
    </row>
    <row r="53" spans="4:6" x14ac:dyDescent="0.25">
      <c r="D53" s="142" t="s">
        <v>1728</v>
      </c>
      <c r="E53" t="s">
        <v>772</v>
      </c>
      <c r="F53" t="s">
        <v>366</v>
      </c>
    </row>
    <row r="54" spans="4:6" x14ac:dyDescent="0.25">
      <c r="D54" s="142" t="s">
        <v>1729</v>
      </c>
      <c r="E54" t="s">
        <v>772</v>
      </c>
      <c r="F54" t="s">
        <v>368</v>
      </c>
    </row>
    <row r="55" spans="4:6" x14ac:dyDescent="0.25">
      <c r="D55" s="142" t="s">
        <v>1730</v>
      </c>
      <c r="E55" t="s">
        <v>772</v>
      </c>
      <c r="F55" t="s">
        <v>1519</v>
      </c>
    </row>
    <row r="56" spans="4:6" x14ac:dyDescent="0.25">
      <c r="D56" s="142" t="s">
        <v>1731</v>
      </c>
      <c r="E56" t="s">
        <v>772</v>
      </c>
      <c r="F56" t="s">
        <v>366</v>
      </c>
    </row>
    <row r="57" spans="4:6" x14ac:dyDescent="0.25">
      <c r="D57" s="142" t="s">
        <v>1732</v>
      </c>
      <c r="E57" t="s">
        <v>772</v>
      </c>
      <c r="F57" t="s">
        <v>1525</v>
      </c>
    </row>
    <row r="58" spans="4:6" x14ac:dyDescent="0.25">
      <c r="D58" s="142" t="s">
        <v>1733</v>
      </c>
      <c r="E58" t="s">
        <v>772</v>
      </c>
      <c r="F58" t="s">
        <v>869</v>
      </c>
    </row>
    <row r="59" spans="4:6" x14ac:dyDescent="0.25">
      <c r="D59" s="142" t="s">
        <v>1734</v>
      </c>
      <c r="E59" t="s">
        <v>772</v>
      </c>
      <c r="F59" t="s">
        <v>366</v>
      </c>
    </row>
    <row r="60" spans="4:6" x14ac:dyDescent="0.25">
      <c r="D60" s="142" t="s">
        <v>1735</v>
      </c>
      <c r="E60" t="s">
        <v>772</v>
      </c>
      <c r="F60" t="s">
        <v>366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workbookViewId="0"/>
  </sheetViews>
  <sheetFormatPr defaultColWidth="11" defaultRowHeight="15.75" x14ac:dyDescent="0.25"/>
  <cols>
    <col min="2" max="2" width="11" style="111"/>
    <col min="4" max="4" width="18.375" bestFit="1" customWidth="1"/>
  </cols>
  <sheetData>
    <row r="1" spans="1:4" x14ac:dyDescent="0.25">
      <c r="A1" s="30" t="s">
        <v>1664</v>
      </c>
      <c r="B1" s="125">
        <v>43233</v>
      </c>
      <c r="C1" s="125">
        <v>43234</v>
      </c>
      <c r="D1" s="125">
        <v>43235</v>
      </c>
    </row>
    <row r="2" spans="1:4" x14ac:dyDescent="0.25">
      <c r="A2" s="142" t="s">
        <v>1665</v>
      </c>
      <c r="B2" s="144" t="s">
        <v>366</v>
      </c>
      <c r="C2" t="s">
        <v>366</v>
      </c>
      <c r="D2" t="s">
        <v>366</v>
      </c>
    </row>
    <row r="3" spans="1:4" x14ac:dyDescent="0.25">
      <c r="A3" s="142" t="s">
        <v>1666</v>
      </c>
      <c r="B3" s="144" t="s">
        <v>368</v>
      </c>
      <c r="C3" t="s">
        <v>366</v>
      </c>
      <c r="D3" t="s">
        <v>366</v>
      </c>
    </row>
    <row r="4" spans="1:4" x14ac:dyDescent="0.25">
      <c r="A4" s="142" t="s">
        <v>1667</v>
      </c>
      <c r="B4" s="144" t="s">
        <v>366</v>
      </c>
      <c r="C4" t="s">
        <v>772</v>
      </c>
      <c r="D4" t="s">
        <v>366</v>
      </c>
    </row>
    <row r="5" spans="1:4" x14ac:dyDescent="0.25">
      <c r="A5" s="142" t="s">
        <v>1668</v>
      </c>
      <c r="B5" s="144" t="s">
        <v>366</v>
      </c>
      <c r="C5" s="97" t="s">
        <v>1379</v>
      </c>
      <c r="D5" t="s">
        <v>366</v>
      </c>
    </row>
    <row r="6" spans="1:4" x14ac:dyDescent="0.25">
      <c r="A6" s="142" t="s">
        <v>1669</v>
      </c>
      <c r="B6" s="144" t="s">
        <v>366</v>
      </c>
      <c r="C6" t="s">
        <v>366</v>
      </c>
      <c r="D6" t="s">
        <v>366</v>
      </c>
    </row>
    <row r="7" spans="1:4" x14ac:dyDescent="0.25">
      <c r="A7" s="142" t="s">
        <v>1670</v>
      </c>
      <c r="B7" s="144" t="s">
        <v>366</v>
      </c>
      <c r="C7" t="s">
        <v>772</v>
      </c>
      <c r="D7" t="s">
        <v>366</v>
      </c>
    </row>
    <row r="8" spans="1:4" x14ac:dyDescent="0.25">
      <c r="A8" s="142" t="s">
        <v>1672</v>
      </c>
      <c r="B8" s="144" t="s">
        <v>367</v>
      </c>
      <c r="C8" t="s">
        <v>366</v>
      </c>
      <c r="D8" t="s">
        <v>366</v>
      </c>
    </row>
    <row r="9" spans="1:4" x14ac:dyDescent="0.25">
      <c r="A9" s="142" t="s">
        <v>1673</v>
      </c>
      <c r="B9" s="144" t="s">
        <v>366</v>
      </c>
      <c r="C9" t="s">
        <v>366</v>
      </c>
      <c r="D9" t="s">
        <v>366</v>
      </c>
    </row>
    <row r="10" spans="1:4" x14ac:dyDescent="0.25">
      <c r="A10" s="142" t="s">
        <v>1701</v>
      </c>
      <c r="B10" s="144" t="s">
        <v>366</v>
      </c>
      <c r="C10" t="s">
        <v>1374</v>
      </c>
      <c r="D10" t="s">
        <v>367</v>
      </c>
    </row>
    <row r="11" spans="1:4" x14ac:dyDescent="0.25">
      <c r="A11" s="142" t="s">
        <v>1702</v>
      </c>
      <c r="B11" s="144" t="s">
        <v>366</v>
      </c>
      <c r="C11" t="s">
        <v>366</v>
      </c>
      <c r="D11" s="144" t="s">
        <v>57</v>
      </c>
    </row>
    <row r="12" spans="1:4" x14ac:dyDescent="0.25">
      <c r="A12" s="142" t="s">
        <v>1674</v>
      </c>
      <c r="B12" s="144" t="s">
        <v>366</v>
      </c>
      <c r="C12" t="s">
        <v>366</v>
      </c>
      <c r="D12" s="144" t="s">
        <v>57</v>
      </c>
    </row>
    <row r="13" spans="1:4" x14ac:dyDescent="0.25">
      <c r="A13" s="142" t="s">
        <v>1675</v>
      </c>
      <c r="B13" s="144" t="s">
        <v>57</v>
      </c>
      <c r="C13" t="s">
        <v>366</v>
      </c>
      <c r="D13" t="s">
        <v>366</v>
      </c>
    </row>
    <row r="14" spans="1:4" x14ac:dyDescent="0.25">
      <c r="A14" s="142" t="s">
        <v>1676</v>
      </c>
      <c r="B14" s="144" t="s">
        <v>366</v>
      </c>
      <c r="C14" t="s">
        <v>366</v>
      </c>
      <c r="D14" t="s">
        <v>366</v>
      </c>
    </row>
    <row r="15" spans="1:4" x14ac:dyDescent="0.25">
      <c r="A15" s="142" t="s">
        <v>1677</v>
      </c>
      <c r="B15" s="144" t="s">
        <v>366</v>
      </c>
      <c r="C15" t="s">
        <v>366</v>
      </c>
      <c r="D15" t="s">
        <v>366</v>
      </c>
    </row>
    <row r="16" spans="1:4" x14ac:dyDescent="0.25">
      <c r="A16" s="142" t="s">
        <v>1678</v>
      </c>
      <c r="B16" s="97" t="s">
        <v>1372</v>
      </c>
      <c r="C16" t="s">
        <v>366</v>
      </c>
      <c r="D16" t="s">
        <v>366</v>
      </c>
    </row>
    <row r="17" spans="1:4" x14ac:dyDescent="0.25">
      <c r="A17" s="142" t="s">
        <v>1680</v>
      </c>
      <c r="B17" s="144" t="s">
        <v>366</v>
      </c>
      <c r="C17" t="s">
        <v>366</v>
      </c>
      <c r="D17" t="s">
        <v>366</v>
      </c>
    </row>
    <row r="18" spans="1:4" x14ac:dyDescent="0.25">
      <c r="A18" s="142" t="s">
        <v>1681</v>
      </c>
      <c r="B18" s="144" t="s">
        <v>366</v>
      </c>
      <c r="C18" t="s">
        <v>366</v>
      </c>
      <c r="D18" t="s">
        <v>366</v>
      </c>
    </row>
    <row r="19" spans="1:4" x14ac:dyDescent="0.25">
      <c r="A19" s="142" t="s">
        <v>1682</v>
      </c>
      <c r="B19" s="144" t="s">
        <v>367</v>
      </c>
      <c r="C19" t="s">
        <v>366</v>
      </c>
      <c r="D19" t="s">
        <v>366</v>
      </c>
    </row>
    <row r="20" spans="1:4" x14ac:dyDescent="0.25">
      <c r="A20" s="142" t="s">
        <v>1683</v>
      </c>
      <c r="B20" s="144" t="s">
        <v>366</v>
      </c>
      <c r="C20" t="s">
        <v>366</v>
      </c>
      <c r="D20" t="s">
        <v>366</v>
      </c>
    </row>
    <row r="21" spans="1:4" x14ac:dyDescent="0.25">
      <c r="A21" s="142" t="s">
        <v>1684</v>
      </c>
      <c r="B21" s="144" t="s">
        <v>366</v>
      </c>
      <c r="C21" t="s">
        <v>366</v>
      </c>
      <c r="D21" t="s">
        <v>366</v>
      </c>
    </row>
    <row r="22" spans="1:4" x14ac:dyDescent="0.25">
      <c r="A22" s="142" t="s">
        <v>1689</v>
      </c>
      <c r="B22" s="144" t="s">
        <v>57</v>
      </c>
      <c r="C22" s="97" t="s">
        <v>1376</v>
      </c>
      <c r="D22" t="s">
        <v>367</v>
      </c>
    </row>
    <row r="23" spans="1:4" x14ac:dyDescent="0.25">
      <c r="A23" s="142" t="s">
        <v>1690</v>
      </c>
      <c r="B23" s="144" t="s">
        <v>366</v>
      </c>
      <c r="C23" t="s">
        <v>366</v>
      </c>
      <c r="D23" t="s">
        <v>366</v>
      </c>
    </row>
    <row r="24" spans="1:4" x14ac:dyDescent="0.25">
      <c r="A24" s="142" t="s">
        <v>1691</v>
      </c>
      <c r="B24" s="144" t="s">
        <v>366</v>
      </c>
      <c r="C24" t="s">
        <v>366</v>
      </c>
      <c r="D24" t="s">
        <v>367</v>
      </c>
    </row>
    <row r="25" spans="1:4" x14ac:dyDescent="0.25">
      <c r="A25" s="142" t="s">
        <v>1692</v>
      </c>
      <c r="B25" s="144" t="s">
        <v>366</v>
      </c>
      <c r="C25" t="s">
        <v>366</v>
      </c>
      <c r="D25" t="s">
        <v>366</v>
      </c>
    </row>
    <row r="26" spans="1:4" x14ac:dyDescent="0.25">
      <c r="A26" s="142" t="s">
        <v>1693</v>
      </c>
      <c r="B26" s="144" t="s">
        <v>366</v>
      </c>
      <c r="C26" t="s">
        <v>366</v>
      </c>
      <c r="D26" t="s">
        <v>366</v>
      </c>
    </row>
    <row r="27" spans="1:4" x14ac:dyDescent="0.25">
      <c r="A27" s="142" t="s">
        <v>1694</v>
      </c>
      <c r="B27" s="144" t="s">
        <v>366</v>
      </c>
      <c r="C27" t="s">
        <v>366</v>
      </c>
      <c r="D27" t="s">
        <v>366</v>
      </c>
    </row>
    <row r="28" spans="1:4" x14ac:dyDescent="0.25">
      <c r="A28" s="142" t="s">
        <v>1695</v>
      </c>
      <c r="B28" s="144" t="s">
        <v>1374</v>
      </c>
      <c r="C28" t="s">
        <v>1378</v>
      </c>
      <c r="D28" t="s">
        <v>366</v>
      </c>
    </row>
    <row r="29" spans="1:4" x14ac:dyDescent="0.25">
      <c r="A29" s="142" t="s">
        <v>1696</v>
      </c>
      <c r="B29" s="144" t="s">
        <v>366</v>
      </c>
      <c r="C29" t="s">
        <v>366</v>
      </c>
      <c r="D29" s="144" t="s">
        <v>1385</v>
      </c>
    </row>
    <row r="30" spans="1:4" x14ac:dyDescent="0.25">
      <c r="A30" s="142" t="s">
        <v>1697</v>
      </c>
      <c r="B30" s="144" t="s">
        <v>366</v>
      </c>
      <c r="C30" t="s">
        <v>366</v>
      </c>
      <c r="D30" t="s">
        <v>366</v>
      </c>
    </row>
    <row r="31" spans="1:4" x14ac:dyDescent="0.25">
      <c r="A31" s="142" t="s">
        <v>1698</v>
      </c>
      <c r="B31" s="144" t="s">
        <v>366</v>
      </c>
      <c r="C31" t="s">
        <v>366</v>
      </c>
      <c r="D31" t="s">
        <v>366</v>
      </c>
    </row>
    <row r="32" spans="1:4" x14ac:dyDescent="0.25">
      <c r="A32" s="142" t="s">
        <v>1716</v>
      </c>
      <c r="B32" s="144" t="s">
        <v>772</v>
      </c>
      <c r="C32" t="s">
        <v>1760</v>
      </c>
      <c r="D32" t="s">
        <v>1761</v>
      </c>
    </row>
    <row r="33" spans="1:4" x14ac:dyDescent="0.25">
      <c r="A33" s="142" t="s">
        <v>1717</v>
      </c>
      <c r="B33" s="144" t="s">
        <v>772</v>
      </c>
      <c r="C33" t="s">
        <v>366</v>
      </c>
      <c r="D33" s="97" t="s">
        <v>1387</v>
      </c>
    </row>
    <row r="34" spans="1:4" x14ac:dyDescent="0.25">
      <c r="A34" s="142" t="s">
        <v>1718</v>
      </c>
      <c r="B34" s="144" t="s">
        <v>772</v>
      </c>
      <c r="C34" t="s">
        <v>366</v>
      </c>
      <c r="D34" t="s">
        <v>366</v>
      </c>
    </row>
    <row r="35" spans="1:4" x14ac:dyDescent="0.25">
      <c r="A35" s="142" t="s">
        <v>1719</v>
      </c>
      <c r="B35" s="144" t="s">
        <v>772</v>
      </c>
      <c r="C35" t="s">
        <v>366</v>
      </c>
      <c r="D35" t="s">
        <v>367</v>
      </c>
    </row>
    <row r="36" spans="1:4" x14ac:dyDescent="0.25">
      <c r="A36" s="142" t="s">
        <v>1720</v>
      </c>
      <c r="B36" s="144" t="s">
        <v>772</v>
      </c>
      <c r="C36" t="s">
        <v>366</v>
      </c>
      <c r="D36" s="144" t="s">
        <v>57</v>
      </c>
    </row>
    <row r="37" spans="1:4" x14ac:dyDescent="0.25">
      <c r="A37" s="142" t="s">
        <v>1721</v>
      </c>
      <c r="B37" s="144" t="s">
        <v>772</v>
      </c>
      <c r="C37" s="144" t="s">
        <v>1381</v>
      </c>
      <c r="D37" t="s">
        <v>366</v>
      </c>
    </row>
    <row r="38" spans="1:4" x14ac:dyDescent="0.25">
      <c r="A38" s="142" t="s">
        <v>1722</v>
      </c>
      <c r="B38" s="144" t="s">
        <v>772</v>
      </c>
      <c r="C38" t="s">
        <v>366</v>
      </c>
      <c r="D38" s="97" t="s">
        <v>1383</v>
      </c>
    </row>
    <row r="39" spans="1:4" x14ac:dyDescent="0.25">
      <c r="A39" s="142" t="s">
        <v>1747</v>
      </c>
      <c r="B39" s="144" t="s">
        <v>772</v>
      </c>
      <c r="C39" t="s">
        <v>366</v>
      </c>
      <c r="D39" t="s">
        <v>366</v>
      </c>
    </row>
    <row r="40" spans="1:4" x14ac:dyDescent="0.25">
      <c r="A40" s="142" t="s">
        <v>1748</v>
      </c>
      <c r="B40" s="144" t="s">
        <v>772</v>
      </c>
      <c r="C40" s="144" t="s">
        <v>57</v>
      </c>
      <c r="D40" s="144" t="s">
        <v>57</v>
      </c>
    </row>
    <row r="41" spans="1:4" x14ac:dyDescent="0.25">
      <c r="A41" s="142" t="s">
        <v>1749</v>
      </c>
      <c r="B41" s="144" t="s">
        <v>772</v>
      </c>
      <c r="C41" t="s">
        <v>366</v>
      </c>
      <c r="D41" t="s">
        <v>366</v>
      </c>
    </row>
    <row r="42" spans="1:4" x14ac:dyDescent="0.25">
      <c r="A42" s="142" t="s">
        <v>1723</v>
      </c>
      <c r="B42" s="144" t="s">
        <v>772</v>
      </c>
      <c r="C42" s="144" t="s">
        <v>772</v>
      </c>
      <c r="D42" t="s">
        <v>1760</v>
      </c>
    </row>
    <row r="43" spans="1:4" x14ac:dyDescent="0.25">
      <c r="A43" s="142" t="s">
        <v>1724</v>
      </c>
      <c r="B43" s="144" t="s">
        <v>772</v>
      </c>
      <c r="C43" s="144" t="s">
        <v>772</v>
      </c>
      <c r="D43" t="s">
        <v>366</v>
      </c>
    </row>
    <row r="44" spans="1:4" x14ac:dyDescent="0.25">
      <c r="A44" s="142" t="s">
        <v>1725</v>
      </c>
      <c r="B44" s="144" t="s">
        <v>772</v>
      </c>
      <c r="C44" s="144" t="s">
        <v>772</v>
      </c>
      <c r="D44" t="s">
        <v>366</v>
      </c>
    </row>
    <row r="45" spans="1:4" x14ac:dyDescent="0.25">
      <c r="A45" s="142" t="s">
        <v>1726</v>
      </c>
      <c r="B45" s="144" t="s">
        <v>772</v>
      </c>
      <c r="C45" s="144" t="s">
        <v>772</v>
      </c>
      <c r="D45" s="144" t="s">
        <v>57</v>
      </c>
    </row>
    <row r="46" spans="1:4" x14ac:dyDescent="0.25">
      <c r="A46" s="142" t="s">
        <v>1727</v>
      </c>
      <c r="B46" s="144" t="s">
        <v>772</v>
      </c>
      <c r="C46" s="144" t="s">
        <v>772</v>
      </c>
      <c r="D46" t="s">
        <v>366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opLeftCell="A13" workbookViewId="0">
      <selection activeCell="K46" sqref="K46"/>
    </sheetView>
  </sheetViews>
  <sheetFormatPr defaultColWidth="11" defaultRowHeight="15.75" x14ac:dyDescent="0.25"/>
  <sheetData>
    <row r="1" spans="1:11" x14ac:dyDescent="0.25">
      <c r="A1" s="30" t="s">
        <v>1664</v>
      </c>
      <c r="B1" s="125">
        <v>43238</v>
      </c>
      <c r="C1" s="125">
        <v>43242</v>
      </c>
      <c r="D1" s="125">
        <v>43675</v>
      </c>
      <c r="E1" s="125">
        <v>43676</v>
      </c>
      <c r="F1" s="125">
        <v>43677</v>
      </c>
      <c r="G1" s="125">
        <v>43678</v>
      </c>
      <c r="H1" s="125">
        <v>43679</v>
      </c>
      <c r="I1" s="125">
        <v>43680</v>
      </c>
      <c r="J1" s="125">
        <v>43682</v>
      </c>
      <c r="K1" s="125">
        <v>43683</v>
      </c>
    </row>
    <row r="2" spans="1:11" x14ac:dyDescent="0.25">
      <c r="A2" s="142" t="s">
        <v>1665</v>
      </c>
      <c r="B2" t="s">
        <v>366</v>
      </c>
      <c r="C2" t="s">
        <v>1762</v>
      </c>
      <c r="D2" t="s">
        <v>772</v>
      </c>
      <c r="E2" t="s">
        <v>772</v>
      </c>
      <c r="F2" t="s">
        <v>772</v>
      </c>
      <c r="G2" t="s">
        <v>772</v>
      </c>
      <c r="H2" t="s">
        <v>772</v>
      </c>
      <c r="I2" t="s">
        <v>772</v>
      </c>
      <c r="J2" t="s">
        <v>772</v>
      </c>
      <c r="K2" t="s">
        <v>772</v>
      </c>
    </row>
    <row r="3" spans="1:11" x14ac:dyDescent="0.25">
      <c r="A3" s="142" t="s">
        <v>1666</v>
      </c>
      <c r="B3" t="s">
        <v>366</v>
      </c>
      <c r="C3" t="s">
        <v>366</v>
      </c>
      <c r="D3" t="s">
        <v>772</v>
      </c>
      <c r="E3" t="s">
        <v>772</v>
      </c>
      <c r="F3" t="s">
        <v>772</v>
      </c>
      <c r="G3" t="s">
        <v>772</v>
      </c>
      <c r="H3" t="s">
        <v>772</v>
      </c>
      <c r="I3" t="s">
        <v>772</v>
      </c>
      <c r="J3" t="s">
        <v>772</v>
      </c>
      <c r="K3" t="s">
        <v>772</v>
      </c>
    </row>
    <row r="4" spans="1:11" x14ac:dyDescent="0.25">
      <c r="A4" s="142" t="s">
        <v>1667</v>
      </c>
      <c r="B4" t="s">
        <v>366</v>
      </c>
      <c r="C4" t="s">
        <v>366</v>
      </c>
      <c r="D4" t="s">
        <v>772</v>
      </c>
      <c r="E4" t="s">
        <v>772</v>
      </c>
      <c r="F4" t="s">
        <v>772</v>
      </c>
      <c r="G4" t="s">
        <v>772</v>
      </c>
      <c r="H4" t="s">
        <v>772</v>
      </c>
      <c r="I4" t="s">
        <v>772</v>
      </c>
      <c r="J4" t="s">
        <v>772</v>
      </c>
      <c r="K4" t="s">
        <v>772</v>
      </c>
    </row>
    <row r="5" spans="1:11" x14ac:dyDescent="0.25">
      <c r="A5" s="142" t="s">
        <v>1668</v>
      </c>
      <c r="B5" t="s">
        <v>1763</v>
      </c>
      <c r="C5" t="s">
        <v>830</v>
      </c>
      <c r="D5" t="s">
        <v>772</v>
      </c>
      <c r="E5" t="s">
        <v>772</v>
      </c>
      <c r="F5" t="s">
        <v>772</v>
      </c>
      <c r="G5" t="s">
        <v>772</v>
      </c>
      <c r="H5" t="s">
        <v>772</v>
      </c>
      <c r="I5" t="s">
        <v>772</v>
      </c>
      <c r="J5" t="s">
        <v>772</v>
      </c>
      <c r="K5" t="s">
        <v>772</v>
      </c>
    </row>
    <row r="6" spans="1:11" x14ac:dyDescent="0.25">
      <c r="A6" s="142" t="s">
        <v>1669</v>
      </c>
      <c r="B6" s="260" t="s">
        <v>1455</v>
      </c>
      <c r="C6" t="s">
        <v>366</v>
      </c>
      <c r="D6" t="s">
        <v>772</v>
      </c>
      <c r="E6" t="s">
        <v>772</v>
      </c>
      <c r="F6" t="s">
        <v>366</v>
      </c>
      <c r="G6" t="s">
        <v>366</v>
      </c>
      <c r="H6" t="s">
        <v>367</v>
      </c>
      <c r="I6" t="s">
        <v>1931</v>
      </c>
      <c r="J6" t="s">
        <v>1896</v>
      </c>
      <c r="K6" t="s">
        <v>366</v>
      </c>
    </row>
    <row r="7" spans="1:11" x14ac:dyDescent="0.25">
      <c r="A7" s="142" t="s">
        <v>1670</v>
      </c>
      <c r="B7" t="s">
        <v>366</v>
      </c>
      <c r="C7" t="s">
        <v>366</v>
      </c>
      <c r="D7" t="s">
        <v>772</v>
      </c>
      <c r="E7" t="s">
        <v>772</v>
      </c>
      <c r="F7" t="s">
        <v>368</v>
      </c>
      <c r="G7" t="s">
        <v>1896</v>
      </c>
      <c r="H7" t="s">
        <v>366</v>
      </c>
      <c r="I7" t="s">
        <v>366</v>
      </c>
      <c r="J7" t="s">
        <v>1945</v>
      </c>
      <c r="K7" t="s">
        <v>366</v>
      </c>
    </row>
    <row r="8" spans="1:11" x14ac:dyDescent="0.25">
      <c r="A8" s="142" t="s">
        <v>1672</v>
      </c>
      <c r="B8" t="s">
        <v>1453</v>
      </c>
      <c r="C8" t="s">
        <v>366</v>
      </c>
      <c r="D8" t="s">
        <v>772</v>
      </c>
      <c r="E8" t="s">
        <v>772</v>
      </c>
      <c r="F8" t="s">
        <v>366</v>
      </c>
      <c r="G8" t="s">
        <v>366</v>
      </c>
      <c r="H8" t="s">
        <v>366</v>
      </c>
      <c r="I8" t="s">
        <v>1897</v>
      </c>
      <c r="J8" t="s">
        <v>1893</v>
      </c>
      <c r="K8" t="s">
        <v>366</v>
      </c>
    </row>
    <row r="9" spans="1:11" x14ac:dyDescent="0.25">
      <c r="A9" s="142" t="s">
        <v>1673</v>
      </c>
      <c r="B9" t="s">
        <v>366</v>
      </c>
      <c r="C9" t="s">
        <v>1453</v>
      </c>
      <c r="D9" t="s">
        <v>772</v>
      </c>
      <c r="E9" t="s">
        <v>772</v>
      </c>
      <c r="F9" t="s">
        <v>368</v>
      </c>
      <c r="G9" t="s">
        <v>366</v>
      </c>
      <c r="H9" t="s">
        <v>366</v>
      </c>
      <c r="I9" t="s">
        <v>1896</v>
      </c>
      <c r="J9" t="s">
        <v>1931</v>
      </c>
      <c r="K9" t="s">
        <v>366</v>
      </c>
    </row>
    <row r="10" spans="1:11" x14ac:dyDescent="0.25">
      <c r="A10" s="142" t="s">
        <v>1701</v>
      </c>
      <c r="B10" t="s">
        <v>368</v>
      </c>
      <c r="C10" t="s">
        <v>368</v>
      </c>
      <c r="D10" t="s">
        <v>772</v>
      </c>
      <c r="E10" t="s">
        <v>772</v>
      </c>
      <c r="F10" s="97" t="s">
        <v>366</v>
      </c>
      <c r="G10" t="s">
        <v>366</v>
      </c>
      <c r="H10" t="s">
        <v>1896</v>
      </c>
      <c r="I10" t="s">
        <v>367</v>
      </c>
      <c r="J10" t="s">
        <v>367</v>
      </c>
      <c r="K10" s="100" t="s">
        <v>366</v>
      </c>
    </row>
    <row r="11" spans="1:11" x14ac:dyDescent="0.25">
      <c r="A11" s="142" t="s">
        <v>1702</v>
      </c>
      <c r="B11" t="s">
        <v>366</v>
      </c>
      <c r="C11" t="s">
        <v>366</v>
      </c>
      <c r="D11" t="s">
        <v>772</v>
      </c>
      <c r="E11" t="s">
        <v>772</v>
      </c>
      <c r="F11" s="97" t="s">
        <v>772</v>
      </c>
      <c r="G11" t="s">
        <v>366</v>
      </c>
      <c r="H11" t="s">
        <v>366</v>
      </c>
      <c r="I11" t="s">
        <v>366</v>
      </c>
      <c r="J11" t="s">
        <v>369</v>
      </c>
      <c r="K11" s="100" t="s">
        <v>1896</v>
      </c>
    </row>
    <row r="12" spans="1:11" x14ac:dyDescent="0.25">
      <c r="A12" s="142" t="s">
        <v>1674</v>
      </c>
      <c r="B12" t="s">
        <v>366</v>
      </c>
      <c r="C12" t="s">
        <v>1764</v>
      </c>
      <c r="D12" t="s">
        <v>1896</v>
      </c>
      <c r="E12" s="97" t="s">
        <v>366</v>
      </c>
      <c r="F12" s="97" t="s">
        <v>1895</v>
      </c>
      <c r="G12" t="s">
        <v>366</v>
      </c>
      <c r="H12" t="s">
        <v>366</v>
      </c>
      <c r="I12" t="s">
        <v>1931</v>
      </c>
      <c r="J12" t="s">
        <v>1931</v>
      </c>
      <c r="K12" s="100" t="s">
        <v>366</v>
      </c>
    </row>
    <row r="13" spans="1:11" x14ac:dyDescent="0.25">
      <c r="A13" s="142" t="s">
        <v>1675</v>
      </c>
      <c r="B13" t="s">
        <v>366</v>
      </c>
      <c r="C13" t="s">
        <v>366</v>
      </c>
      <c r="D13" t="s">
        <v>366</v>
      </c>
      <c r="E13" s="97" t="s">
        <v>366</v>
      </c>
      <c r="F13" s="97" t="s">
        <v>366</v>
      </c>
      <c r="G13" t="s">
        <v>1895</v>
      </c>
      <c r="H13" t="s">
        <v>366</v>
      </c>
      <c r="I13" t="s">
        <v>366</v>
      </c>
      <c r="J13" t="s">
        <v>366</v>
      </c>
      <c r="K13" s="100" t="s">
        <v>367</v>
      </c>
    </row>
    <row r="14" spans="1:11" x14ac:dyDescent="0.25">
      <c r="A14" s="142" t="s">
        <v>1676</v>
      </c>
      <c r="B14" t="s">
        <v>366</v>
      </c>
      <c r="C14" t="s">
        <v>1765</v>
      </c>
      <c r="D14" t="s">
        <v>366</v>
      </c>
      <c r="E14" s="97" t="s">
        <v>366</v>
      </c>
      <c r="F14" s="97" t="s">
        <v>366</v>
      </c>
      <c r="G14" t="s">
        <v>366</v>
      </c>
      <c r="H14" t="s">
        <v>366</v>
      </c>
      <c r="I14" t="s">
        <v>366</v>
      </c>
      <c r="J14" t="s">
        <v>366</v>
      </c>
      <c r="K14" s="100" t="s">
        <v>366</v>
      </c>
    </row>
    <row r="15" spans="1:11" x14ac:dyDescent="0.25">
      <c r="A15" s="142" t="s">
        <v>1677</v>
      </c>
      <c r="B15" t="s">
        <v>366</v>
      </c>
      <c r="C15" t="s">
        <v>366</v>
      </c>
      <c r="D15" t="s">
        <v>366</v>
      </c>
      <c r="E15" s="97" t="s">
        <v>366</v>
      </c>
      <c r="F15" s="97" t="s">
        <v>366</v>
      </c>
      <c r="G15" t="s">
        <v>366</v>
      </c>
      <c r="H15" t="s">
        <v>366</v>
      </c>
      <c r="I15" t="s">
        <v>368</v>
      </c>
      <c r="J15" t="s">
        <v>368</v>
      </c>
      <c r="K15" s="100" t="s">
        <v>366</v>
      </c>
    </row>
    <row r="16" spans="1:11" x14ac:dyDescent="0.25">
      <c r="A16" s="142" t="s">
        <v>1678</v>
      </c>
      <c r="B16" t="s">
        <v>366</v>
      </c>
      <c r="C16" t="s">
        <v>366</v>
      </c>
      <c r="D16" t="s">
        <v>368</v>
      </c>
      <c r="E16" s="97" t="s">
        <v>366</v>
      </c>
      <c r="F16" s="97" t="s">
        <v>368</v>
      </c>
      <c r="G16" t="s">
        <v>366</v>
      </c>
      <c r="H16" t="s">
        <v>368</v>
      </c>
      <c r="I16" t="s">
        <v>366</v>
      </c>
      <c r="J16" t="s">
        <v>368</v>
      </c>
      <c r="K16" s="100" t="s">
        <v>366</v>
      </c>
    </row>
    <row r="17" spans="1:11" x14ac:dyDescent="0.25">
      <c r="A17" s="142" t="s">
        <v>1680</v>
      </c>
      <c r="B17" t="s">
        <v>366</v>
      </c>
      <c r="C17" t="s">
        <v>1766</v>
      </c>
      <c r="D17" t="s">
        <v>366</v>
      </c>
      <c r="E17" s="97" t="s">
        <v>367</v>
      </c>
      <c r="F17" s="97" t="s">
        <v>1912</v>
      </c>
      <c r="G17" t="s">
        <v>366</v>
      </c>
      <c r="H17" t="s">
        <v>368</v>
      </c>
      <c r="I17" t="s">
        <v>1931</v>
      </c>
      <c r="J17" t="s">
        <v>368</v>
      </c>
      <c r="K17" s="100" t="s">
        <v>1931</v>
      </c>
    </row>
    <row r="18" spans="1:11" x14ac:dyDescent="0.25">
      <c r="A18" s="142" t="s">
        <v>1681</v>
      </c>
      <c r="B18" t="s">
        <v>366</v>
      </c>
      <c r="C18" t="s">
        <v>958</v>
      </c>
      <c r="D18" t="s">
        <v>366</v>
      </c>
      <c r="E18" s="97" t="s">
        <v>366</v>
      </c>
      <c r="F18" s="97" t="s">
        <v>366</v>
      </c>
      <c r="G18" t="s">
        <v>1923</v>
      </c>
      <c r="H18" t="s">
        <v>366</v>
      </c>
      <c r="I18" t="s">
        <v>366</v>
      </c>
      <c r="J18" t="s">
        <v>369</v>
      </c>
      <c r="K18" s="100" t="s">
        <v>1931</v>
      </c>
    </row>
    <row r="19" spans="1:11" x14ac:dyDescent="0.25">
      <c r="A19" s="142" t="s">
        <v>1682</v>
      </c>
      <c r="B19" t="s">
        <v>366</v>
      </c>
      <c r="C19" t="s">
        <v>366</v>
      </c>
      <c r="D19" t="s">
        <v>368</v>
      </c>
      <c r="E19" s="97" t="s">
        <v>366</v>
      </c>
      <c r="F19" s="97" t="s">
        <v>368</v>
      </c>
      <c r="G19" t="s">
        <v>366</v>
      </c>
      <c r="H19" t="s">
        <v>369</v>
      </c>
      <c r="I19" t="s">
        <v>369</v>
      </c>
      <c r="J19" t="s">
        <v>368</v>
      </c>
      <c r="K19" s="100" t="s">
        <v>368</v>
      </c>
    </row>
    <row r="20" spans="1:11" x14ac:dyDescent="0.25">
      <c r="A20" s="142" t="s">
        <v>1683</v>
      </c>
      <c r="B20" t="s">
        <v>368</v>
      </c>
      <c r="C20" t="s">
        <v>378</v>
      </c>
      <c r="D20" t="s">
        <v>1891</v>
      </c>
      <c r="E20" s="97" t="s">
        <v>1901</v>
      </c>
      <c r="F20" s="97" t="s">
        <v>1891</v>
      </c>
      <c r="G20" t="s">
        <v>1881</v>
      </c>
      <c r="H20" t="s">
        <v>366</v>
      </c>
      <c r="I20" t="s">
        <v>366</v>
      </c>
      <c r="J20" t="s">
        <v>366</v>
      </c>
      <c r="K20" s="100" t="s">
        <v>366</v>
      </c>
    </row>
    <row r="21" spans="1:11" x14ac:dyDescent="0.25">
      <c r="A21" s="142" t="s">
        <v>1684</v>
      </c>
      <c r="B21" t="s">
        <v>368</v>
      </c>
      <c r="C21" t="s">
        <v>368</v>
      </c>
      <c r="D21" t="s">
        <v>1897</v>
      </c>
      <c r="E21" s="97" t="s">
        <v>368</v>
      </c>
      <c r="F21" s="97" t="s">
        <v>1465</v>
      </c>
      <c r="G21" t="s">
        <v>366</v>
      </c>
      <c r="H21" t="s">
        <v>1929</v>
      </c>
      <c r="I21" t="s">
        <v>366</v>
      </c>
      <c r="J21" t="s">
        <v>1901</v>
      </c>
      <c r="K21" s="100" t="s">
        <v>1912</v>
      </c>
    </row>
    <row r="22" spans="1:11" x14ac:dyDescent="0.25">
      <c r="A22" s="142" t="s">
        <v>1689</v>
      </c>
      <c r="B22" t="s">
        <v>366</v>
      </c>
      <c r="C22" t="s">
        <v>366</v>
      </c>
      <c r="D22" t="s">
        <v>772</v>
      </c>
      <c r="E22" t="s">
        <v>772</v>
      </c>
      <c r="F22" t="s">
        <v>772</v>
      </c>
      <c r="G22" t="s">
        <v>1930</v>
      </c>
      <c r="H22" t="s">
        <v>366</v>
      </c>
      <c r="I22" t="s">
        <v>366</v>
      </c>
      <c r="J22" t="s">
        <v>366</v>
      </c>
      <c r="K22" s="100" t="s">
        <v>368</v>
      </c>
    </row>
    <row r="23" spans="1:11" x14ac:dyDescent="0.25">
      <c r="A23" s="142" t="s">
        <v>1690</v>
      </c>
      <c r="B23" t="s">
        <v>1461</v>
      </c>
      <c r="C23" t="s">
        <v>366</v>
      </c>
      <c r="D23" t="s">
        <v>772</v>
      </c>
      <c r="E23" t="s">
        <v>772</v>
      </c>
      <c r="F23" t="s">
        <v>772</v>
      </c>
      <c r="G23" t="s">
        <v>366</v>
      </c>
      <c r="H23" t="s">
        <v>366</v>
      </c>
      <c r="I23" t="s">
        <v>369</v>
      </c>
      <c r="J23" t="s">
        <v>369</v>
      </c>
      <c r="K23" s="100" t="s">
        <v>1895</v>
      </c>
    </row>
    <row r="24" spans="1:11" x14ac:dyDescent="0.25">
      <c r="A24" s="142" t="s">
        <v>1691</v>
      </c>
      <c r="B24" t="s">
        <v>1457</v>
      </c>
      <c r="C24" s="260" t="s">
        <v>1490</v>
      </c>
      <c r="D24" t="s">
        <v>772</v>
      </c>
      <c r="E24" t="s">
        <v>772</v>
      </c>
      <c r="F24" t="s">
        <v>772</v>
      </c>
      <c r="G24" t="s">
        <v>366</v>
      </c>
      <c r="H24" t="s">
        <v>366</v>
      </c>
      <c r="I24" t="s">
        <v>1931</v>
      </c>
      <c r="J24" t="s">
        <v>366</v>
      </c>
      <c r="K24" s="100" t="s">
        <v>366</v>
      </c>
    </row>
    <row r="25" spans="1:11" x14ac:dyDescent="0.25">
      <c r="A25" s="142" t="s">
        <v>1692</v>
      </c>
      <c r="B25" t="s">
        <v>366</v>
      </c>
      <c r="C25" t="s">
        <v>366</v>
      </c>
      <c r="D25" t="s">
        <v>772</v>
      </c>
      <c r="E25" t="s">
        <v>772</v>
      </c>
      <c r="F25" t="s">
        <v>772</v>
      </c>
      <c r="G25" t="s">
        <v>366</v>
      </c>
      <c r="H25" t="s">
        <v>368</v>
      </c>
      <c r="I25" t="s">
        <v>1931</v>
      </c>
      <c r="J25" t="s">
        <v>366</v>
      </c>
      <c r="K25" s="100" t="s">
        <v>366</v>
      </c>
    </row>
    <row r="26" spans="1:11" x14ac:dyDescent="0.25">
      <c r="A26" s="142" t="s">
        <v>1693</v>
      </c>
      <c r="B26" t="s">
        <v>366</v>
      </c>
      <c r="C26" t="s">
        <v>1457</v>
      </c>
      <c r="D26" t="s">
        <v>772</v>
      </c>
      <c r="E26" t="s">
        <v>772</v>
      </c>
      <c r="F26" t="s">
        <v>366</v>
      </c>
      <c r="G26" t="s">
        <v>366</v>
      </c>
      <c r="H26" t="s">
        <v>367</v>
      </c>
      <c r="I26" t="s">
        <v>366</v>
      </c>
      <c r="J26" t="s">
        <v>367</v>
      </c>
      <c r="K26" s="100" t="s">
        <v>369</v>
      </c>
    </row>
    <row r="27" spans="1:11" x14ac:dyDescent="0.25">
      <c r="A27" s="142" t="s">
        <v>1694</v>
      </c>
      <c r="B27" t="s">
        <v>366</v>
      </c>
      <c r="C27" t="s">
        <v>1451</v>
      </c>
      <c r="D27" t="s">
        <v>772</v>
      </c>
      <c r="E27" t="s">
        <v>772</v>
      </c>
      <c r="F27" t="s">
        <v>366</v>
      </c>
      <c r="G27" t="s">
        <v>366</v>
      </c>
      <c r="H27" t="s">
        <v>366</v>
      </c>
      <c r="I27" t="s">
        <v>366</v>
      </c>
      <c r="J27" t="s">
        <v>369</v>
      </c>
      <c r="K27" s="100" t="s">
        <v>366</v>
      </c>
    </row>
    <row r="28" spans="1:11" x14ac:dyDescent="0.25">
      <c r="A28" s="142" t="s">
        <v>1695</v>
      </c>
      <c r="B28" t="s">
        <v>366</v>
      </c>
      <c r="C28" t="s">
        <v>366</v>
      </c>
      <c r="D28" t="s">
        <v>772</v>
      </c>
      <c r="E28" t="s">
        <v>772</v>
      </c>
      <c r="F28" t="s">
        <v>366</v>
      </c>
      <c r="G28" t="s">
        <v>366</v>
      </c>
      <c r="H28" t="s">
        <v>366</v>
      </c>
      <c r="I28" t="s">
        <v>1931</v>
      </c>
      <c r="J28" t="s">
        <v>367</v>
      </c>
      <c r="K28" s="100" t="s">
        <v>366</v>
      </c>
    </row>
    <row r="29" spans="1:11" x14ac:dyDescent="0.25">
      <c r="A29" s="142" t="s">
        <v>1696</v>
      </c>
      <c r="B29" t="s">
        <v>1767</v>
      </c>
      <c r="C29" t="s">
        <v>366</v>
      </c>
      <c r="D29" t="s">
        <v>772</v>
      </c>
      <c r="E29" t="s">
        <v>772</v>
      </c>
      <c r="F29" t="s">
        <v>366</v>
      </c>
      <c r="G29" t="s">
        <v>1930</v>
      </c>
      <c r="H29" t="s">
        <v>369</v>
      </c>
      <c r="I29" t="s">
        <v>369</v>
      </c>
      <c r="J29" t="s">
        <v>366</v>
      </c>
      <c r="K29" s="100" t="s">
        <v>366</v>
      </c>
    </row>
    <row r="30" spans="1:11" x14ac:dyDescent="0.25">
      <c r="A30" s="142" t="s">
        <v>1697</v>
      </c>
      <c r="B30" t="s">
        <v>366</v>
      </c>
      <c r="C30" t="s">
        <v>366</v>
      </c>
      <c r="D30" t="s">
        <v>772</v>
      </c>
      <c r="E30" t="s">
        <v>772</v>
      </c>
      <c r="F30" t="s">
        <v>366</v>
      </c>
      <c r="G30" t="s">
        <v>366</v>
      </c>
      <c r="H30" t="s">
        <v>367</v>
      </c>
      <c r="I30" t="s">
        <v>366</v>
      </c>
      <c r="J30" t="s">
        <v>368</v>
      </c>
      <c r="K30" s="100" t="s">
        <v>1931</v>
      </c>
    </row>
    <row r="31" spans="1:11" x14ac:dyDescent="0.25">
      <c r="A31" s="142" t="s">
        <v>1698</v>
      </c>
      <c r="B31" t="s">
        <v>1465</v>
      </c>
      <c r="C31" t="s">
        <v>366</v>
      </c>
      <c r="D31" t="s">
        <v>772</v>
      </c>
      <c r="E31" t="s">
        <v>772</v>
      </c>
      <c r="F31" t="s">
        <v>772</v>
      </c>
      <c r="G31" t="s">
        <v>1930</v>
      </c>
      <c r="H31" t="s">
        <v>772</v>
      </c>
      <c r="I31" t="s">
        <v>366</v>
      </c>
      <c r="J31" t="s">
        <v>366</v>
      </c>
      <c r="K31" s="100" t="s">
        <v>1888</v>
      </c>
    </row>
    <row r="32" spans="1:11" x14ac:dyDescent="0.25">
      <c r="A32" s="142" t="s">
        <v>1716</v>
      </c>
      <c r="B32" t="s">
        <v>366</v>
      </c>
      <c r="C32" t="s">
        <v>366</v>
      </c>
      <c r="D32" t="s">
        <v>366</v>
      </c>
      <c r="E32" t="s">
        <v>366</v>
      </c>
      <c r="F32" t="s">
        <v>366</v>
      </c>
      <c r="G32" t="s">
        <v>366</v>
      </c>
      <c r="H32" t="s">
        <v>366</v>
      </c>
      <c r="I32" t="s">
        <v>366</v>
      </c>
      <c r="J32" t="s">
        <v>369</v>
      </c>
      <c r="K32" s="100" t="s">
        <v>1931</v>
      </c>
    </row>
    <row r="33" spans="1:11" x14ac:dyDescent="0.25">
      <c r="A33" s="142" t="s">
        <v>1717</v>
      </c>
      <c r="B33" t="s">
        <v>366</v>
      </c>
      <c r="C33" t="s">
        <v>1491</v>
      </c>
      <c r="D33" t="s">
        <v>1895</v>
      </c>
      <c r="E33" t="s">
        <v>366</v>
      </c>
      <c r="F33" t="s">
        <v>366</v>
      </c>
      <c r="G33" t="s">
        <v>366</v>
      </c>
      <c r="H33" t="s">
        <v>1932</v>
      </c>
      <c r="I33" t="s">
        <v>366</v>
      </c>
      <c r="J33" t="s">
        <v>369</v>
      </c>
      <c r="K33" s="100" t="s">
        <v>366</v>
      </c>
    </row>
    <row r="34" spans="1:11" x14ac:dyDescent="0.25">
      <c r="A34" s="142" t="s">
        <v>1718</v>
      </c>
      <c r="B34" s="260" t="s">
        <v>1459</v>
      </c>
      <c r="C34" t="s">
        <v>366</v>
      </c>
      <c r="D34" t="s">
        <v>366</v>
      </c>
      <c r="E34" t="s">
        <v>1895</v>
      </c>
      <c r="F34" t="s">
        <v>366</v>
      </c>
      <c r="G34" t="s">
        <v>366</v>
      </c>
      <c r="H34" t="s">
        <v>367</v>
      </c>
      <c r="I34" t="s">
        <v>366</v>
      </c>
      <c r="J34" t="s">
        <v>366</v>
      </c>
      <c r="K34" s="100" t="s">
        <v>368</v>
      </c>
    </row>
    <row r="35" spans="1:11" x14ac:dyDescent="0.25">
      <c r="A35" s="142" t="s">
        <v>1719</v>
      </c>
      <c r="B35" t="s">
        <v>366</v>
      </c>
      <c r="C35" t="s">
        <v>366</v>
      </c>
      <c r="D35" t="s">
        <v>366</v>
      </c>
      <c r="E35" t="s">
        <v>366</v>
      </c>
      <c r="F35" t="s">
        <v>366</v>
      </c>
      <c r="G35" t="s">
        <v>366</v>
      </c>
      <c r="H35" t="s">
        <v>369</v>
      </c>
      <c r="I35" t="s">
        <v>369</v>
      </c>
      <c r="J35" t="s">
        <v>1931</v>
      </c>
      <c r="K35" s="100" t="s">
        <v>1931</v>
      </c>
    </row>
    <row r="36" spans="1:11" x14ac:dyDescent="0.25">
      <c r="A36" s="142" t="s">
        <v>1720</v>
      </c>
      <c r="B36" t="s">
        <v>367</v>
      </c>
      <c r="C36" t="s">
        <v>366</v>
      </c>
      <c r="D36" t="s">
        <v>1893</v>
      </c>
      <c r="E36" t="s">
        <v>366</v>
      </c>
      <c r="F36" t="s">
        <v>1904</v>
      </c>
      <c r="G36" t="s">
        <v>366</v>
      </c>
      <c r="H36" t="s">
        <v>366</v>
      </c>
      <c r="I36" t="s">
        <v>366</v>
      </c>
      <c r="J36" t="s">
        <v>367</v>
      </c>
      <c r="K36" s="100" t="s">
        <v>1881</v>
      </c>
    </row>
    <row r="37" spans="1:11" x14ac:dyDescent="0.25">
      <c r="A37" s="142" t="s">
        <v>1721</v>
      </c>
      <c r="B37" t="s">
        <v>366</v>
      </c>
      <c r="C37" t="s">
        <v>1461</v>
      </c>
      <c r="D37" t="s">
        <v>366</v>
      </c>
      <c r="E37" t="s">
        <v>366</v>
      </c>
      <c r="F37" t="s">
        <v>366</v>
      </c>
      <c r="G37" t="s">
        <v>366</v>
      </c>
      <c r="H37" t="s">
        <v>1931</v>
      </c>
      <c r="I37" t="s">
        <v>366</v>
      </c>
      <c r="J37" t="s">
        <v>369</v>
      </c>
      <c r="K37" s="100" t="s">
        <v>1946</v>
      </c>
    </row>
    <row r="38" spans="1:11" x14ac:dyDescent="0.25">
      <c r="A38" s="142" t="s">
        <v>1722</v>
      </c>
      <c r="B38" s="260" t="s">
        <v>1451</v>
      </c>
      <c r="C38" t="s">
        <v>366</v>
      </c>
      <c r="D38" t="s">
        <v>366</v>
      </c>
      <c r="E38" t="s">
        <v>366</v>
      </c>
      <c r="F38" t="s">
        <v>366</v>
      </c>
      <c r="G38" t="s">
        <v>366</v>
      </c>
      <c r="H38" t="s">
        <v>366</v>
      </c>
      <c r="I38" t="s">
        <v>368</v>
      </c>
      <c r="J38" t="s">
        <v>1931</v>
      </c>
      <c r="K38" s="100" t="s">
        <v>369</v>
      </c>
    </row>
    <row r="39" spans="1:11" x14ac:dyDescent="0.25">
      <c r="A39" s="142" t="s">
        <v>1747</v>
      </c>
      <c r="B39" t="s">
        <v>366</v>
      </c>
      <c r="C39" t="s">
        <v>368</v>
      </c>
      <c r="D39" t="s">
        <v>366</v>
      </c>
      <c r="E39" t="s">
        <v>366</v>
      </c>
      <c r="F39" t="s">
        <v>366</v>
      </c>
      <c r="G39" t="s">
        <v>366</v>
      </c>
      <c r="H39" t="s">
        <v>366</v>
      </c>
      <c r="I39" t="s">
        <v>366</v>
      </c>
      <c r="J39" t="s">
        <v>367</v>
      </c>
      <c r="K39" s="100" t="s">
        <v>368</v>
      </c>
    </row>
    <row r="40" spans="1:11" x14ac:dyDescent="0.25">
      <c r="A40" s="142" t="s">
        <v>1748</v>
      </c>
      <c r="B40" s="260" t="s">
        <v>1463</v>
      </c>
      <c r="C40" t="s">
        <v>368</v>
      </c>
      <c r="D40" t="s">
        <v>366</v>
      </c>
      <c r="E40" t="s">
        <v>366</v>
      </c>
      <c r="F40" t="s">
        <v>366</v>
      </c>
      <c r="G40" t="s">
        <v>1931</v>
      </c>
      <c r="H40" t="s">
        <v>368</v>
      </c>
      <c r="I40" t="s">
        <v>1931</v>
      </c>
      <c r="J40" t="s">
        <v>369</v>
      </c>
      <c r="K40" s="100" t="s">
        <v>369</v>
      </c>
    </row>
    <row r="41" spans="1:11" x14ac:dyDescent="0.25">
      <c r="A41" s="142" t="s">
        <v>1749</v>
      </c>
      <c r="B41" t="s">
        <v>366</v>
      </c>
      <c r="C41" t="s">
        <v>366</v>
      </c>
      <c r="D41" t="s">
        <v>366</v>
      </c>
      <c r="E41" t="s">
        <v>366</v>
      </c>
      <c r="F41" t="s">
        <v>366</v>
      </c>
      <c r="G41" t="s">
        <v>366</v>
      </c>
      <c r="H41" t="s">
        <v>1933</v>
      </c>
      <c r="I41" t="s">
        <v>366</v>
      </c>
      <c r="J41" t="s">
        <v>369</v>
      </c>
      <c r="K41" s="100" t="s">
        <v>369</v>
      </c>
    </row>
    <row r="42" spans="1:11" x14ac:dyDescent="0.25">
      <c r="A42" s="142" t="s">
        <v>1943</v>
      </c>
      <c r="B42" s="260" t="s">
        <v>772</v>
      </c>
      <c r="C42" s="260" t="s">
        <v>772</v>
      </c>
      <c r="D42" s="260" t="s">
        <v>772</v>
      </c>
      <c r="E42" s="260" t="s">
        <v>772</v>
      </c>
      <c r="F42" s="260" t="s">
        <v>772</v>
      </c>
      <c r="G42" t="s">
        <v>366</v>
      </c>
      <c r="H42" t="s">
        <v>366</v>
      </c>
      <c r="I42" s="260" t="s">
        <v>369</v>
      </c>
      <c r="J42" s="260" t="s">
        <v>366</v>
      </c>
      <c r="K42" s="100" t="s">
        <v>369</v>
      </c>
    </row>
    <row r="43" spans="1:11" x14ac:dyDescent="0.25">
      <c r="A43" s="142" t="s">
        <v>1927</v>
      </c>
      <c r="B43" s="260" t="s">
        <v>772</v>
      </c>
      <c r="C43" s="260" t="s">
        <v>772</v>
      </c>
      <c r="D43" s="260" t="s">
        <v>772</v>
      </c>
      <c r="E43" s="260" t="s">
        <v>772</v>
      </c>
      <c r="F43" s="260" t="s">
        <v>772</v>
      </c>
      <c r="G43" t="s">
        <v>1893</v>
      </c>
      <c r="H43" t="s">
        <v>368</v>
      </c>
      <c r="I43" s="260" t="s">
        <v>366</v>
      </c>
      <c r="J43" s="260" t="s">
        <v>367</v>
      </c>
      <c r="K43" s="100" t="s">
        <v>367</v>
      </c>
    </row>
    <row r="44" spans="1:11" x14ac:dyDescent="0.25">
      <c r="A44" s="142" t="s">
        <v>1925</v>
      </c>
      <c r="B44" s="260" t="s">
        <v>772</v>
      </c>
      <c r="C44" s="260" t="s">
        <v>772</v>
      </c>
      <c r="D44" s="260" t="s">
        <v>772</v>
      </c>
      <c r="E44" s="260" t="s">
        <v>772</v>
      </c>
      <c r="F44" s="260" t="s">
        <v>772</v>
      </c>
      <c r="G44" t="s">
        <v>1893</v>
      </c>
      <c r="H44" t="s">
        <v>366</v>
      </c>
      <c r="I44" s="260" t="s">
        <v>366</v>
      </c>
      <c r="J44" s="260" t="s">
        <v>369</v>
      </c>
      <c r="K44" s="100" t="s">
        <v>366</v>
      </c>
    </row>
    <row r="45" spans="1:11" x14ac:dyDescent="0.25">
      <c r="A45" s="142" t="s">
        <v>1926</v>
      </c>
      <c r="B45" s="260" t="s">
        <v>772</v>
      </c>
      <c r="C45" s="260" t="s">
        <v>772</v>
      </c>
      <c r="D45" s="260" t="s">
        <v>772</v>
      </c>
      <c r="E45" s="260" t="s">
        <v>772</v>
      </c>
      <c r="F45" s="260" t="s">
        <v>772</v>
      </c>
      <c r="G45" t="s">
        <v>1928</v>
      </c>
      <c r="H45" t="s">
        <v>1891</v>
      </c>
      <c r="I45" s="260" t="s">
        <v>1944</v>
      </c>
      <c r="J45" s="260" t="s">
        <v>369</v>
      </c>
      <c r="K45" s="100" t="s">
        <v>366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/>
  </sheetViews>
  <sheetFormatPr defaultColWidth="11" defaultRowHeight="15.75" x14ac:dyDescent="0.25"/>
  <sheetData>
    <row r="1" spans="1:5" x14ac:dyDescent="0.25">
      <c r="A1" s="30" t="s">
        <v>1664</v>
      </c>
      <c r="B1" s="125">
        <v>43243</v>
      </c>
      <c r="C1" s="125">
        <v>43244</v>
      </c>
      <c r="D1" s="125">
        <v>43245</v>
      </c>
      <c r="E1" s="125">
        <v>43246</v>
      </c>
    </row>
    <row r="2" spans="1:5" x14ac:dyDescent="0.25">
      <c r="A2" s="142" t="s">
        <v>1665</v>
      </c>
      <c r="B2" t="s">
        <v>366</v>
      </c>
      <c r="C2" t="s">
        <v>366</v>
      </c>
      <c r="D2" t="s">
        <v>366</v>
      </c>
      <c r="E2" t="s">
        <v>366</v>
      </c>
    </row>
    <row r="3" spans="1:5" x14ac:dyDescent="0.25">
      <c r="A3" s="142" t="s">
        <v>1666</v>
      </c>
      <c r="B3" t="s">
        <v>1768</v>
      </c>
      <c r="C3" t="s">
        <v>366</v>
      </c>
      <c r="D3" t="s">
        <v>366</v>
      </c>
      <c r="E3" t="s">
        <v>366</v>
      </c>
    </row>
    <row r="4" spans="1:5" x14ac:dyDescent="0.25">
      <c r="A4" s="142" t="s">
        <v>1667</v>
      </c>
      <c r="B4" t="s">
        <v>366</v>
      </c>
      <c r="C4" t="s">
        <v>366</v>
      </c>
      <c r="D4" t="s">
        <v>366</v>
      </c>
      <c r="E4" t="s">
        <v>366</v>
      </c>
    </row>
    <row r="5" spans="1:5" x14ac:dyDescent="0.25">
      <c r="A5" s="142" t="s">
        <v>1668</v>
      </c>
      <c r="B5" s="260" t="s">
        <v>1497</v>
      </c>
      <c r="C5" t="s">
        <v>368</v>
      </c>
      <c r="D5" t="s">
        <v>366</v>
      </c>
      <c r="E5" t="s">
        <v>366</v>
      </c>
    </row>
    <row r="6" spans="1:5" x14ac:dyDescent="0.25">
      <c r="A6" s="142" t="s">
        <v>1669</v>
      </c>
      <c r="B6" t="s">
        <v>366</v>
      </c>
      <c r="C6" s="260" t="s">
        <v>1497</v>
      </c>
      <c r="D6" t="s">
        <v>366</v>
      </c>
      <c r="E6" t="s">
        <v>366</v>
      </c>
    </row>
    <row r="7" spans="1:5" x14ac:dyDescent="0.25">
      <c r="A7" s="142" t="s">
        <v>1670</v>
      </c>
      <c r="B7" t="s">
        <v>366</v>
      </c>
      <c r="C7" t="s">
        <v>366</v>
      </c>
      <c r="D7" t="s">
        <v>1523</v>
      </c>
      <c r="E7" t="s">
        <v>366</v>
      </c>
    </row>
    <row r="8" spans="1:5" x14ac:dyDescent="0.25">
      <c r="A8" s="142" t="s">
        <v>1672</v>
      </c>
      <c r="B8" t="s">
        <v>366</v>
      </c>
      <c r="C8" t="s">
        <v>366</v>
      </c>
      <c r="D8" t="s">
        <v>366</v>
      </c>
      <c r="E8" t="s">
        <v>366</v>
      </c>
    </row>
    <row r="9" spans="1:5" x14ac:dyDescent="0.25">
      <c r="A9" s="142" t="s">
        <v>1673</v>
      </c>
      <c r="B9" t="s">
        <v>366</v>
      </c>
      <c r="C9" t="s">
        <v>366</v>
      </c>
      <c r="D9" t="s">
        <v>366</v>
      </c>
      <c r="E9" t="s">
        <v>366</v>
      </c>
    </row>
    <row r="10" spans="1:5" x14ac:dyDescent="0.25">
      <c r="A10" s="142" t="s">
        <v>1701</v>
      </c>
      <c r="B10" t="s">
        <v>366</v>
      </c>
      <c r="C10" t="s">
        <v>366</v>
      </c>
      <c r="D10" t="s">
        <v>366</v>
      </c>
      <c r="E10" t="s">
        <v>366</v>
      </c>
    </row>
    <row r="11" spans="1:5" x14ac:dyDescent="0.25">
      <c r="A11" s="142" t="s">
        <v>1702</v>
      </c>
      <c r="B11" t="s">
        <v>366</v>
      </c>
      <c r="C11" t="s">
        <v>366</v>
      </c>
      <c r="D11" t="s">
        <v>366</v>
      </c>
      <c r="E11" t="s">
        <v>366</v>
      </c>
    </row>
    <row r="12" spans="1:5" x14ac:dyDescent="0.25">
      <c r="A12" s="142" t="s">
        <v>1674</v>
      </c>
      <c r="B12" t="s">
        <v>366</v>
      </c>
      <c r="C12" t="s">
        <v>366</v>
      </c>
      <c r="D12" t="s">
        <v>366</v>
      </c>
      <c r="E12" t="s">
        <v>366</v>
      </c>
    </row>
    <row r="13" spans="1:5" x14ac:dyDescent="0.25">
      <c r="A13" s="142" t="s">
        <v>1675</v>
      </c>
      <c r="B13" t="s">
        <v>366</v>
      </c>
      <c r="C13" t="s">
        <v>366</v>
      </c>
      <c r="D13" t="s">
        <v>366</v>
      </c>
      <c r="E13" t="s">
        <v>1497</v>
      </c>
    </row>
    <row r="14" spans="1:5" x14ac:dyDescent="0.25">
      <c r="A14" s="142" t="s">
        <v>1676</v>
      </c>
      <c r="B14" t="s">
        <v>366</v>
      </c>
      <c r="C14" t="s">
        <v>366</v>
      </c>
      <c r="D14" t="s">
        <v>366</v>
      </c>
      <c r="E14" t="s">
        <v>366</v>
      </c>
    </row>
    <row r="15" spans="1:5" x14ac:dyDescent="0.25">
      <c r="A15" s="142" t="s">
        <v>1677</v>
      </c>
      <c r="B15" t="s">
        <v>366</v>
      </c>
      <c r="C15" t="s">
        <v>366</v>
      </c>
      <c r="D15" t="s">
        <v>366</v>
      </c>
      <c r="E15" t="s">
        <v>366</v>
      </c>
    </row>
    <row r="16" spans="1:5" x14ac:dyDescent="0.25">
      <c r="A16" s="142" t="s">
        <v>1678</v>
      </c>
      <c r="B16" t="s">
        <v>366</v>
      </c>
      <c r="C16" t="s">
        <v>366</v>
      </c>
      <c r="D16" t="s">
        <v>366</v>
      </c>
      <c r="E16" t="s">
        <v>366</v>
      </c>
    </row>
    <row r="17" spans="1:5" x14ac:dyDescent="0.25">
      <c r="A17" s="142" t="s">
        <v>1680</v>
      </c>
      <c r="B17" t="s">
        <v>366</v>
      </c>
      <c r="C17" t="s">
        <v>366</v>
      </c>
      <c r="D17" t="s">
        <v>366</v>
      </c>
      <c r="E17" t="s">
        <v>366</v>
      </c>
    </row>
    <row r="18" spans="1:5" x14ac:dyDescent="0.25">
      <c r="A18" s="142" t="s">
        <v>1681</v>
      </c>
      <c r="B18" t="s">
        <v>366</v>
      </c>
      <c r="C18" t="s">
        <v>366</v>
      </c>
      <c r="D18" t="s">
        <v>366</v>
      </c>
      <c r="E18" t="s">
        <v>1523</v>
      </c>
    </row>
    <row r="19" spans="1:5" x14ac:dyDescent="0.25">
      <c r="A19" s="142" t="s">
        <v>1682</v>
      </c>
      <c r="B19" t="s">
        <v>366</v>
      </c>
      <c r="C19" t="s">
        <v>366</v>
      </c>
      <c r="D19" t="s">
        <v>366</v>
      </c>
      <c r="E19" t="s">
        <v>366</v>
      </c>
    </row>
    <row r="20" spans="1:5" x14ac:dyDescent="0.25">
      <c r="A20" s="142" t="s">
        <v>1683</v>
      </c>
      <c r="B20" t="s">
        <v>366</v>
      </c>
      <c r="C20" t="s">
        <v>366</v>
      </c>
      <c r="D20" t="s">
        <v>366</v>
      </c>
      <c r="E20" t="s">
        <v>366</v>
      </c>
    </row>
    <row r="21" spans="1:5" x14ac:dyDescent="0.25">
      <c r="A21" s="142" t="s">
        <v>1684</v>
      </c>
      <c r="B21" t="s">
        <v>366</v>
      </c>
      <c r="C21" t="s">
        <v>368</v>
      </c>
      <c r="D21" t="s">
        <v>366</v>
      </c>
      <c r="E21" t="s">
        <v>1527</v>
      </c>
    </row>
    <row r="22" spans="1:5" x14ac:dyDescent="0.25">
      <c r="A22" s="142" t="s">
        <v>1689</v>
      </c>
      <c r="B22" t="s">
        <v>366</v>
      </c>
      <c r="C22" t="s">
        <v>367</v>
      </c>
      <c r="D22" t="s">
        <v>366</v>
      </c>
      <c r="E22" t="s">
        <v>366</v>
      </c>
    </row>
    <row r="23" spans="1:5" x14ac:dyDescent="0.25">
      <c r="A23" s="142" t="s">
        <v>1690</v>
      </c>
      <c r="B23" t="s">
        <v>366</v>
      </c>
      <c r="C23" t="s">
        <v>366</v>
      </c>
      <c r="D23" t="s">
        <v>366</v>
      </c>
      <c r="E23" t="s">
        <v>366</v>
      </c>
    </row>
    <row r="24" spans="1:5" x14ac:dyDescent="0.25">
      <c r="A24" s="142" t="s">
        <v>1691</v>
      </c>
      <c r="B24" t="s">
        <v>366</v>
      </c>
      <c r="C24" t="s">
        <v>366</v>
      </c>
      <c r="D24" t="s">
        <v>366</v>
      </c>
      <c r="E24" t="s">
        <v>366</v>
      </c>
    </row>
    <row r="25" spans="1:5" x14ac:dyDescent="0.25">
      <c r="A25" s="142" t="s">
        <v>1692</v>
      </c>
      <c r="B25" t="s">
        <v>366</v>
      </c>
      <c r="C25" t="s">
        <v>366</v>
      </c>
      <c r="D25" t="s">
        <v>366</v>
      </c>
      <c r="E25" t="s">
        <v>366</v>
      </c>
    </row>
    <row r="26" spans="1:5" x14ac:dyDescent="0.25">
      <c r="A26" s="142" t="s">
        <v>1693</v>
      </c>
      <c r="B26" t="s">
        <v>366</v>
      </c>
      <c r="C26" t="s">
        <v>378</v>
      </c>
      <c r="D26" t="s">
        <v>366</v>
      </c>
      <c r="E26" t="s">
        <v>1769</v>
      </c>
    </row>
    <row r="27" spans="1:5" x14ac:dyDescent="0.25">
      <c r="A27" s="142" t="s">
        <v>1694</v>
      </c>
      <c r="B27" t="s">
        <v>1770</v>
      </c>
      <c r="C27" t="s">
        <v>366</v>
      </c>
      <c r="D27" t="s">
        <v>366</v>
      </c>
      <c r="E27" t="s">
        <v>366</v>
      </c>
    </row>
    <row r="28" spans="1:5" x14ac:dyDescent="0.25">
      <c r="A28" s="142" t="s">
        <v>1695</v>
      </c>
      <c r="B28" t="s">
        <v>366</v>
      </c>
      <c r="C28" t="s">
        <v>366</v>
      </c>
      <c r="D28" t="s">
        <v>366</v>
      </c>
      <c r="E28" t="s">
        <v>366</v>
      </c>
    </row>
    <row r="29" spans="1:5" x14ac:dyDescent="0.25">
      <c r="A29" s="142" t="s">
        <v>1696</v>
      </c>
      <c r="B29" t="s">
        <v>366</v>
      </c>
      <c r="C29" t="s">
        <v>366</v>
      </c>
      <c r="D29" t="s">
        <v>366</v>
      </c>
      <c r="E29" t="s">
        <v>366</v>
      </c>
    </row>
    <row r="30" spans="1:5" x14ac:dyDescent="0.25">
      <c r="A30" s="142" t="s">
        <v>1697</v>
      </c>
      <c r="B30" t="s">
        <v>366</v>
      </c>
      <c r="C30" t="s">
        <v>1495</v>
      </c>
      <c r="D30" t="s">
        <v>366</v>
      </c>
      <c r="E30" t="s">
        <v>366</v>
      </c>
    </row>
    <row r="31" spans="1:5" x14ac:dyDescent="0.25">
      <c r="A31" s="142" t="s">
        <v>1698</v>
      </c>
      <c r="B31" t="s">
        <v>1500</v>
      </c>
      <c r="C31" t="s">
        <v>366</v>
      </c>
      <c r="D31" t="s">
        <v>366</v>
      </c>
      <c r="E31" t="s">
        <v>366</v>
      </c>
    </row>
    <row r="32" spans="1:5" x14ac:dyDescent="0.25">
      <c r="A32" s="142" t="s">
        <v>1716</v>
      </c>
      <c r="B32" t="s">
        <v>366</v>
      </c>
      <c r="C32" t="s">
        <v>366</v>
      </c>
      <c r="D32" t="s">
        <v>366</v>
      </c>
      <c r="E32" t="s">
        <v>366</v>
      </c>
    </row>
    <row r="33" spans="1:5" x14ac:dyDescent="0.25">
      <c r="A33" s="142" t="s">
        <v>1717</v>
      </c>
      <c r="B33" t="s">
        <v>366</v>
      </c>
      <c r="C33" t="s">
        <v>368</v>
      </c>
      <c r="D33" t="s">
        <v>366</v>
      </c>
      <c r="E33" t="s">
        <v>366</v>
      </c>
    </row>
    <row r="34" spans="1:5" x14ac:dyDescent="0.25">
      <c r="A34" s="142" t="s">
        <v>1718</v>
      </c>
      <c r="B34" t="s">
        <v>366</v>
      </c>
      <c r="C34" t="s">
        <v>366</v>
      </c>
      <c r="D34" t="s">
        <v>366</v>
      </c>
      <c r="E34" t="s">
        <v>366</v>
      </c>
    </row>
    <row r="35" spans="1:5" x14ac:dyDescent="0.25">
      <c r="A35" s="142" t="s">
        <v>1719</v>
      </c>
      <c r="B35" t="s">
        <v>368</v>
      </c>
      <c r="C35" t="s">
        <v>366</v>
      </c>
      <c r="D35" t="s">
        <v>366</v>
      </c>
      <c r="E35" t="s">
        <v>367</v>
      </c>
    </row>
    <row r="36" spans="1:5" x14ac:dyDescent="0.25">
      <c r="A36" s="142" t="s">
        <v>1720</v>
      </c>
      <c r="B36" t="s">
        <v>366</v>
      </c>
      <c r="C36" t="s">
        <v>366</v>
      </c>
      <c r="D36" t="s">
        <v>366</v>
      </c>
      <c r="E36" t="s">
        <v>378</v>
      </c>
    </row>
    <row r="37" spans="1:5" x14ac:dyDescent="0.25">
      <c r="A37" s="142" t="s">
        <v>1721</v>
      </c>
      <c r="B37" t="s">
        <v>1495</v>
      </c>
      <c r="C37" t="s">
        <v>366</v>
      </c>
      <c r="D37" t="s">
        <v>366</v>
      </c>
      <c r="E37" t="s">
        <v>366</v>
      </c>
    </row>
    <row r="38" spans="1:5" x14ac:dyDescent="0.25">
      <c r="A38" s="142" t="s">
        <v>1722</v>
      </c>
      <c r="B38" s="260" t="s">
        <v>1493</v>
      </c>
      <c r="C38" t="s">
        <v>366</v>
      </c>
      <c r="D38" t="s">
        <v>366</v>
      </c>
      <c r="E38" t="s">
        <v>366</v>
      </c>
    </row>
    <row r="39" spans="1:5" x14ac:dyDescent="0.25">
      <c r="A39" s="142" t="s">
        <v>1747</v>
      </c>
      <c r="B39" t="s">
        <v>366</v>
      </c>
      <c r="C39" t="s">
        <v>366</v>
      </c>
      <c r="D39" t="s">
        <v>366</v>
      </c>
      <c r="E39" t="s">
        <v>366</v>
      </c>
    </row>
    <row r="40" spans="1:5" x14ac:dyDescent="0.25">
      <c r="A40" s="142" t="s">
        <v>1748</v>
      </c>
      <c r="B40" t="s">
        <v>366</v>
      </c>
      <c r="C40" t="s">
        <v>366</v>
      </c>
      <c r="D40" t="s">
        <v>366</v>
      </c>
      <c r="E40" t="s">
        <v>1771</v>
      </c>
    </row>
    <row r="41" spans="1:5" x14ac:dyDescent="0.25">
      <c r="A41" s="142" t="s">
        <v>1749</v>
      </c>
      <c r="B41" t="s">
        <v>366</v>
      </c>
      <c r="C41" t="s">
        <v>1493</v>
      </c>
      <c r="D41" t="s">
        <v>1521</v>
      </c>
      <c r="E41" t="s">
        <v>366</v>
      </c>
    </row>
    <row r="42" spans="1:5" x14ac:dyDescent="0.25">
      <c r="A42" s="142" t="s">
        <v>1723</v>
      </c>
      <c r="B42" t="s">
        <v>772</v>
      </c>
      <c r="C42" t="s">
        <v>366</v>
      </c>
      <c r="D42" t="s">
        <v>772</v>
      </c>
      <c r="E42" t="s">
        <v>772</v>
      </c>
    </row>
    <row r="43" spans="1:5" x14ac:dyDescent="0.25">
      <c r="A43" s="142" t="s">
        <v>1724</v>
      </c>
      <c r="B43" t="s">
        <v>772</v>
      </c>
      <c r="C43" t="s">
        <v>366</v>
      </c>
      <c r="D43" t="s">
        <v>772</v>
      </c>
      <c r="E43" t="s">
        <v>772</v>
      </c>
    </row>
    <row r="44" spans="1:5" x14ac:dyDescent="0.25">
      <c r="A44" s="142" t="s">
        <v>1725</v>
      </c>
      <c r="B44" t="s">
        <v>772</v>
      </c>
      <c r="C44" t="s">
        <v>366</v>
      </c>
      <c r="D44" t="s">
        <v>772</v>
      </c>
      <c r="E44" t="s">
        <v>772</v>
      </c>
    </row>
    <row r="45" spans="1:5" x14ac:dyDescent="0.25">
      <c r="A45" s="142" t="s">
        <v>1726</v>
      </c>
      <c r="B45" t="s">
        <v>772</v>
      </c>
      <c r="C45" t="s">
        <v>368</v>
      </c>
      <c r="D45" t="s">
        <v>772</v>
      </c>
      <c r="E45" t="s">
        <v>772</v>
      </c>
    </row>
    <row r="46" spans="1:5" x14ac:dyDescent="0.25">
      <c r="A46" s="142" t="s">
        <v>1727</v>
      </c>
      <c r="B46" t="s">
        <v>772</v>
      </c>
      <c r="C46" t="s">
        <v>366</v>
      </c>
      <c r="D46" t="s">
        <v>772</v>
      </c>
      <c r="E46" t="s">
        <v>772</v>
      </c>
    </row>
    <row r="47" spans="1:5" x14ac:dyDescent="0.25">
      <c r="A47" s="142" t="s">
        <v>1728</v>
      </c>
      <c r="B47" t="s">
        <v>772</v>
      </c>
      <c r="C47" t="s">
        <v>366</v>
      </c>
      <c r="D47" t="s">
        <v>772</v>
      </c>
      <c r="E47" t="s">
        <v>772</v>
      </c>
    </row>
    <row r="48" spans="1:5" x14ac:dyDescent="0.25">
      <c r="A48" s="142" t="s">
        <v>1729</v>
      </c>
      <c r="B48" t="s">
        <v>772</v>
      </c>
      <c r="C48" t="s">
        <v>366</v>
      </c>
      <c r="D48" t="s">
        <v>772</v>
      </c>
      <c r="E48" t="s">
        <v>772</v>
      </c>
    </row>
    <row r="49" spans="1:5" x14ac:dyDescent="0.25">
      <c r="A49" s="142" t="s">
        <v>1730</v>
      </c>
      <c r="B49" t="s">
        <v>772</v>
      </c>
      <c r="C49" t="s">
        <v>366</v>
      </c>
      <c r="D49" t="s">
        <v>772</v>
      </c>
      <c r="E49" t="s">
        <v>772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7"/>
  <sheetViews>
    <sheetView workbookViewId="0"/>
  </sheetViews>
  <sheetFormatPr defaultColWidth="11" defaultRowHeight="15.75" x14ac:dyDescent="0.25"/>
  <sheetData>
    <row r="1" spans="1:3" x14ac:dyDescent="0.25">
      <c r="A1" s="30" t="s">
        <v>1664</v>
      </c>
      <c r="B1" s="125">
        <v>43246</v>
      </c>
      <c r="C1" s="125">
        <v>43247</v>
      </c>
    </row>
    <row r="2" spans="1:3" x14ac:dyDescent="0.25">
      <c r="A2" s="142" t="s">
        <v>1665</v>
      </c>
      <c r="B2" t="s">
        <v>366</v>
      </c>
      <c r="C2" t="s">
        <v>366</v>
      </c>
    </row>
    <row r="3" spans="1:3" x14ac:dyDescent="0.25">
      <c r="A3" s="142" t="s">
        <v>1666</v>
      </c>
      <c r="B3" t="s">
        <v>366</v>
      </c>
      <c r="C3" t="s">
        <v>366</v>
      </c>
    </row>
    <row r="4" spans="1:3" x14ac:dyDescent="0.25">
      <c r="A4" s="142" t="s">
        <v>1667</v>
      </c>
      <c r="B4" t="s">
        <v>366</v>
      </c>
      <c r="C4" t="s">
        <v>366</v>
      </c>
    </row>
    <row r="5" spans="1:3" x14ac:dyDescent="0.25">
      <c r="A5" s="142" t="s">
        <v>1668</v>
      </c>
      <c r="B5" t="s">
        <v>1539</v>
      </c>
      <c r="C5" t="s">
        <v>366</v>
      </c>
    </row>
    <row r="6" spans="1:3" x14ac:dyDescent="0.25">
      <c r="A6" s="142" t="s">
        <v>1669</v>
      </c>
      <c r="B6" t="s">
        <v>1533</v>
      </c>
      <c r="C6" t="s">
        <v>366</v>
      </c>
    </row>
    <row r="7" spans="1:3" x14ac:dyDescent="0.25">
      <c r="A7" s="142" t="s">
        <v>1670</v>
      </c>
      <c r="B7" t="s">
        <v>366</v>
      </c>
      <c r="C7" t="s">
        <v>366</v>
      </c>
    </row>
    <row r="8" spans="1:3" x14ac:dyDescent="0.25">
      <c r="A8" s="142" t="s">
        <v>1672</v>
      </c>
      <c r="B8" t="s">
        <v>366</v>
      </c>
      <c r="C8" t="s">
        <v>367</v>
      </c>
    </row>
    <row r="9" spans="1:3" x14ac:dyDescent="0.25">
      <c r="A9" s="142" t="s">
        <v>1673</v>
      </c>
      <c r="B9" t="s">
        <v>366</v>
      </c>
      <c r="C9" t="s">
        <v>1542</v>
      </c>
    </row>
    <row r="10" spans="1:3" x14ac:dyDescent="0.25">
      <c r="A10" s="142" t="s">
        <v>1701</v>
      </c>
      <c r="B10" t="s">
        <v>366</v>
      </c>
      <c r="C10" t="s">
        <v>366</v>
      </c>
    </row>
    <row r="11" spans="1:3" x14ac:dyDescent="0.25">
      <c r="A11" s="142" t="s">
        <v>1674</v>
      </c>
      <c r="B11" t="s">
        <v>366</v>
      </c>
      <c r="C11" t="s">
        <v>366</v>
      </c>
    </row>
    <row r="12" spans="1:3" x14ac:dyDescent="0.25">
      <c r="A12" s="142" t="s">
        <v>1675</v>
      </c>
      <c r="B12" t="s">
        <v>366</v>
      </c>
      <c r="C12" t="s">
        <v>366</v>
      </c>
    </row>
    <row r="13" spans="1:3" x14ac:dyDescent="0.25">
      <c r="A13" s="142" t="s">
        <v>1676</v>
      </c>
      <c r="B13" t="s">
        <v>366</v>
      </c>
      <c r="C13" t="s">
        <v>366</v>
      </c>
    </row>
    <row r="14" spans="1:3" x14ac:dyDescent="0.25">
      <c r="A14" s="142" t="s">
        <v>1677</v>
      </c>
      <c r="B14" t="s">
        <v>366</v>
      </c>
      <c r="C14" t="s">
        <v>366</v>
      </c>
    </row>
    <row r="15" spans="1:3" x14ac:dyDescent="0.25">
      <c r="A15" s="142" t="s">
        <v>1678</v>
      </c>
      <c r="B15" t="s">
        <v>366</v>
      </c>
      <c r="C15" t="s">
        <v>366</v>
      </c>
    </row>
    <row r="16" spans="1:3" x14ac:dyDescent="0.25">
      <c r="A16" s="142" t="s">
        <v>1680</v>
      </c>
      <c r="B16" t="s">
        <v>366</v>
      </c>
      <c r="C16" t="s">
        <v>366</v>
      </c>
    </row>
    <row r="17" spans="1:3" x14ac:dyDescent="0.25">
      <c r="A17" s="142" t="s">
        <v>1681</v>
      </c>
      <c r="B17" t="s">
        <v>366</v>
      </c>
      <c r="C17" t="s">
        <v>366</v>
      </c>
    </row>
    <row r="18" spans="1:3" x14ac:dyDescent="0.25">
      <c r="A18" s="142" t="s">
        <v>1682</v>
      </c>
      <c r="B18" t="s">
        <v>366</v>
      </c>
      <c r="C18" t="s">
        <v>366</v>
      </c>
    </row>
    <row r="19" spans="1:3" x14ac:dyDescent="0.25">
      <c r="A19" s="142" t="s">
        <v>1683</v>
      </c>
      <c r="B19" t="s">
        <v>366</v>
      </c>
      <c r="C19" t="s">
        <v>1544</v>
      </c>
    </row>
    <row r="20" spans="1:3" x14ac:dyDescent="0.25">
      <c r="A20" s="142" t="s">
        <v>1689</v>
      </c>
      <c r="B20" t="s">
        <v>368</v>
      </c>
      <c r="C20" t="s">
        <v>366</v>
      </c>
    </row>
    <row r="21" spans="1:3" x14ac:dyDescent="0.25">
      <c r="A21" s="142" t="s">
        <v>1690</v>
      </c>
      <c r="B21" t="s">
        <v>366</v>
      </c>
      <c r="C21" t="s">
        <v>368</v>
      </c>
    </row>
    <row r="22" spans="1:3" x14ac:dyDescent="0.25">
      <c r="A22" s="142" t="s">
        <v>1691</v>
      </c>
      <c r="B22" t="s">
        <v>1772</v>
      </c>
      <c r="C22" t="s">
        <v>366</v>
      </c>
    </row>
    <row r="23" spans="1:3" x14ac:dyDescent="0.25">
      <c r="A23" s="142" t="s">
        <v>1692</v>
      </c>
      <c r="B23" t="s">
        <v>366</v>
      </c>
      <c r="C23" t="s">
        <v>366</v>
      </c>
    </row>
    <row r="24" spans="1:3" x14ac:dyDescent="0.25">
      <c r="A24" s="142" t="s">
        <v>1693</v>
      </c>
      <c r="B24" t="s">
        <v>1535</v>
      </c>
      <c r="C24" t="s">
        <v>366</v>
      </c>
    </row>
    <row r="25" spans="1:3" x14ac:dyDescent="0.25">
      <c r="A25" s="142" t="s">
        <v>1694</v>
      </c>
      <c r="B25" t="s">
        <v>366</v>
      </c>
      <c r="C25" t="s">
        <v>366</v>
      </c>
    </row>
    <row r="26" spans="1:3" x14ac:dyDescent="0.25">
      <c r="A26" s="142" t="s">
        <v>1695</v>
      </c>
      <c r="B26" t="s">
        <v>366</v>
      </c>
      <c r="C26" t="s">
        <v>366</v>
      </c>
    </row>
    <row r="27" spans="1:3" x14ac:dyDescent="0.25">
      <c r="A27" s="142" t="s">
        <v>1696</v>
      </c>
      <c r="B27" t="s">
        <v>366</v>
      </c>
      <c r="C27" t="s">
        <v>366</v>
      </c>
    </row>
    <row r="28" spans="1:3" x14ac:dyDescent="0.25">
      <c r="A28" s="142" t="s">
        <v>1716</v>
      </c>
      <c r="B28" t="s">
        <v>366</v>
      </c>
      <c r="C28" t="s">
        <v>366</v>
      </c>
    </row>
    <row r="29" spans="1:3" x14ac:dyDescent="0.25">
      <c r="A29" s="142" t="s">
        <v>1717</v>
      </c>
      <c r="B29" t="s">
        <v>1533</v>
      </c>
      <c r="C29" t="s">
        <v>366</v>
      </c>
    </row>
    <row r="30" spans="1:3" x14ac:dyDescent="0.25">
      <c r="A30" s="142" t="s">
        <v>1718</v>
      </c>
      <c r="B30" t="s">
        <v>366</v>
      </c>
      <c r="C30" t="s">
        <v>366</v>
      </c>
    </row>
    <row r="31" spans="1:3" x14ac:dyDescent="0.25">
      <c r="A31" s="142" t="s">
        <v>1719</v>
      </c>
      <c r="B31" t="s">
        <v>1773</v>
      </c>
      <c r="C31" t="s">
        <v>366</v>
      </c>
    </row>
    <row r="32" spans="1:3" x14ac:dyDescent="0.25">
      <c r="A32" s="142" t="s">
        <v>1720</v>
      </c>
      <c r="B32" t="s">
        <v>366</v>
      </c>
      <c r="C32" t="s">
        <v>1531</v>
      </c>
    </row>
    <row r="33" spans="1:3" x14ac:dyDescent="0.25">
      <c r="A33" s="142" t="s">
        <v>1721</v>
      </c>
      <c r="B33" t="s">
        <v>366</v>
      </c>
      <c r="C33" t="s">
        <v>366</v>
      </c>
    </row>
    <row r="34" spans="1:3" x14ac:dyDescent="0.25">
      <c r="A34" s="142" t="s">
        <v>1722</v>
      </c>
      <c r="B34" t="s">
        <v>772</v>
      </c>
      <c r="C34" t="s">
        <v>368</v>
      </c>
    </row>
    <row r="35" spans="1:3" x14ac:dyDescent="0.25">
      <c r="A35" s="142" t="s">
        <v>1747</v>
      </c>
      <c r="B35" t="s">
        <v>772</v>
      </c>
      <c r="C35" t="s">
        <v>366</v>
      </c>
    </row>
    <row r="36" spans="1:3" x14ac:dyDescent="0.25">
      <c r="A36" s="142" t="s">
        <v>1748</v>
      </c>
      <c r="B36" t="s">
        <v>772</v>
      </c>
      <c r="C36" t="s">
        <v>366</v>
      </c>
    </row>
    <row r="37" spans="1:3" x14ac:dyDescent="0.25">
      <c r="A37" s="142" t="s">
        <v>1749</v>
      </c>
      <c r="B37" t="s">
        <v>772</v>
      </c>
      <c r="C37" t="s">
        <v>366</v>
      </c>
    </row>
    <row r="38" spans="1:3" x14ac:dyDescent="0.25">
      <c r="A38" s="142" t="s">
        <v>1723</v>
      </c>
      <c r="B38" t="s">
        <v>1529</v>
      </c>
      <c r="C38" t="s">
        <v>366</v>
      </c>
    </row>
    <row r="39" spans="1:3" x14ac:dyDescent="0.25">
      <c r="A39" s="142" t="s">
        <v>1724</v>
      </c>
      <c r="B39" t="s">
        <v>366</v>
      </c>
      <c r="C39" t="s">
        <v>366</v>
      </c>
    </row>
    <row r="40" spans="1:3" x14ac:dyDescent="0.25">
      <c r="A40" s="142" t="s">
        <v>1725</v>
      </c>
      <c r="B40" t="s">
        <v>366</v>
      </c>
      <c r="C40" t="s">
        <v>366</v>
      </c>
    </row>
    <row r="41" spans="1:3" x14ac:dyDescent="0.25">
      <c r="A41" s="142" t="s">
        <v>1726</v>
      </c>
      <c r="B41" t="s">
        <v>1537</v>
      </c>
      <c r="C41" t="s">
        <v>366</v>
      </c>
    </row>
    <row r="42" spans="1:3" x14ac:dyDescent="0.25">
      <c r="A42" s="142" t="s">
        <v>1727</v>
      </c>
      <c r="B42" t="s">
        <v>366</v>
      </c>
      <c r="C42" t="s">
        <v>366</v>
      </c>
    </row>
    <row r="43" spans="1:3" x14ac:dyDescent="0.25">
      <c r="A43" s="142" t="s">
        <v>1728</v>
      </c>
      <c r="B43" t="s">
        <v>366</v>
      </c>
      <c r="C43" t="s">
        <v>366</v>
      </c>
    </row>
    <row r="44" spans="1:3" x14ac:dyDescent="0.25">
      <c r="A44" s="142" t="s">
        <v>1729</v>
      </c>
      <c r="B44" t="s">
        <v>772</v>
      </c>
      <c r="C44" t="s">
        <v>366</v>
      </c>
    </row>
    <row r="45" spans="1:3" x14ac:dyDescent="0.25">
      <c r="A45" s="142" t="s">
        <v>1730</v>
      </c>
      <c r="B45" t="s">
        <v>772</v>
      </c>
      <c r="C45" t="s">
        <v>366</v>
      </c>
    </row>
    <row r="46" spans="1:3" x14ac:dyDescent="0.25">
      <c r="A46" s="142" t="s">
        <v>1731</v>
      </c>
      <c r="B46" t="s">
        <v>772</v>
      </c>
      <c r="C46" t="s">
        <v>366</v>
      </c>
    </row>
    <row r="47" spans="1:3" x14ac:dyDescent="0.25">
      <c r="A47" s="142" t="s">
        <v>1732</v>
      </c>
      <c r="B47" t="s">
        <v>772</v>
      </c>
      <c r="C47" t="s">
        <v>366</v>
      </c>
    </row>
    <row r="48" spans="1:3" x14ac:dyDescent="0.25">
      <c r="A48" s="142" t="s">
        <v>1750</v>
      </c>
      <c r="B48" t="s">
        <v>772</v>
      </c>
      <c r="C48" t="s">
        <v>366</v>
      </c>
    </row>
    <row r="49" spans="1:3" x14ac:dyDescent="0.25">
      <c r="A49" s="142" t="s">
        <v>1751</v>
      </c>
      <c r="B49" t="s">
        <v>772</v>
      </c>
      <c r="C49" t="s">
        <v>1774</v>
      </c>
    </row>
    <row r="50" spans="1:3" x14ac:dyDescent="0.25">
      <c r="A50" s="142" t="s">
        <v>1752</v>
      </c>
      <c r="B50" t="s">
        <v>772</v>
      </c>
      <c r="C50" t="s">
        <v>366</v>
      </c>
    </row>
    <row r="51" spans="1:3" x14ac:dyDescent="0.25">
      <c r="A51" s="142" t="s">
        <v>1753</v>
      </c>
      <c r="B51" t="s">
        <v>772</v>
      </c>
      <c r="C51" t="s">
        <v>366</v>
      </c>
    </row>
    <row r="52" spans="1:3" x14ac:dyDescent="0.25">
      <c r="A52" s="142" t="s">
        <v>1754</v>
      </c>
      <c r="B52" t="s">
        <v>772</v>
      </c>
      <c r="C52" t="s">
        <v>366</v>
      </c>
    </row>
    <row r="53" spans="1:3" x14ac:dyDescent="0.25">
      <c r="A53" s="142" t="s">
        <v>1755</v>
      </c>
      <c r="B53" t="s">
        <v>772</v>
      </c>
      <c r="C53" t="s">
        <v>366</v>
      </c>
    </row>
    <row r="54" spans="1:3" x14ac:dyDescent="0.25">
      <c r="A54" s="142" t="s">
        <v>1756</v>
      </c>
      <c r="B54" t="s">
        <v>772</v>
      </c>
      <c r="C54" t="s">
        <v>366</v>
      </c>
    </row>
    <row r="55" spans="1:3" x14ac:dyDescent="0.25">
      <c r="A55" s="142" t="s">
        <v>1757</v>
      </c>
      <c r="B55" t="s">
        <v>772</v>
      </c>
      <c r="C55" t="s">
        <v>368</v>
      </c>
    </row>
    <row r="56" spans="1:3" x14ac:dyDescent="0.25">
      <c r="A56" s="142" t="s">
        <v>1758</v>
      </c>
      <c r="B56" t="s">
        <v>772</v>
      </c>
      <c r="C56" t="s">
        <v>366</v>
      </c>
    </row>
    <row r="57" spans="1:3" x14ac:dyDescent="0.25">
      <c r="A57" s="142" t="s">
        <v>1759</v>
      </c>
      <c r="B57" t="s">
        <v>772</v>
      </c>
      <c r="C57" t="s">
        <v>366</v>
      </c>
    </row>
    <row r="58" spans="1:3" x14ac:dyDescent="0.25">
      <c r="A58" s="142" t="s">
        <v>1775</v>
      </c>
      <c r="B58" t="s">
        <v>772</v>
      </c>
      <c r="C58" t="s">
        <v>366</v>
      </c>
    </row>
    <row r="59" spans="1:3" x14ac:dyDescent="0.25">
      <c r="A59" s="142" t="s">
        <v>1776</v>
      </c>
      <c r="B59" t="s">
        <v>772</v>
      </c>
      <c r="C59" t="s">
        <v>366</v>
      </c>
    </row>
    <row r="60" spans="1:3" x14ac:dyDescent="0.25">
      <c r="A60" s="142" t="s">
        <v>1777</v>
      </c>
      <c r="B60" t="s">
        <v>772</v>
      </c>
      <c r="C60" t="s">
        <v>366</v>
      </c>
    </row>
    <row r="61" spans="1:3" x14ac:dyDescent="0.25">
      <c r="A61" s="142" t="s">
        <v>1778</v>
      </c>
      <c r="B61" t="s">
        <v>772</v>
      </c>
      <c r="C61" t="s">
        <v>366</v>
      </c>
    </row>
    <row r="62" spans="1:3" x14ac:dyDescent="0.25">
      <c r="A62" s="142" t="s">
        <v>1779</v>
      </c>
      <c r="B62" t="s">
        <v>772</v>
      </c>
      <c r="C62" t="s">
        <v>366</v>
      </c>
    </row>
    <row r="63" spans="1:3" x14ac:dyDescent="0.25">
      <c r="A63" s="142" t="s">
        <v>1780</v>
      </c>
      <c r="B63" t="s">
        <v>772</v>
      </c>
      <c r="C63" t="s">
        <v>366</v>
      </c>
    </row>
    <row r="64" spans="1:3" x14ac:dyDescent="0.25">
      <c r="A64" s="142" t="s">
        <v>1781</v>
      </c>
      <c r="B64" t="s">
        <v>772</v>
      </c>
      <c r="C64" t="s">
        <v>366</v>
      </c>
    </row>
    <row r="65" spans="1:3" x14ac:dyDescent="0.25">
      <c r="A65" s="142" t="s">
        <v>1782</v>
      </c>
      <c r="B65" t="s">
        <v>772</v>
      </c>
      <c r="C65" t="s">
        <v>366</v>
      </c>
    </row>
    <row r="66" spans="1:3" x14ac:dyDescent="0.25">
      <c r="A66" s="142" t="s">
        <v>1783</v>
      </c>
      <c r="B66" t="s">
        <v>772</v>
      </c>
      <c r="C66" t="s">
        <v>366</v>
      </c>
    </row>
    <row r="67" spans="1:3" x14ac:dyDescent="0.25">
      <c r="A67" s="142" t="s">
        <v>1784</v>
      </c>
      <c r="B67" t="s">
        <v>772</v>
      </c>
      <c r="C67" t="s">
        <v>366</v>
      </c>
    </row>
    <row r="68" spans="1:3" x14ac:dyDescent="0.25">
      <c r="A68" s="142" t="s">
        <v>1785</v>
      </c>
      <c r="B68" t="s">
        <v>772</v>
      </c>
      <c r="C68" t="s">
        <v>366</v>
      </c>
    </row>
    <row r="69" spans="1:3" x14ac:dyDescent="0.25">
      <c r="A69" s="142" t="s">
        <v>1786</v>
      </c>
      <c r="B69" t="s">
        <v>772</v>
      </c>
      <c r="C69" t="s">
        <v>366</v>
      </c>
    </row>
    <row r="70" spans="1:3" x14ac:dyDescent="0.25">
      <c r="A70" s="142" t="s">
        <v>1787</v>
      </c>
      <c r="B70" t="s">
        <v>772</v>
      </c>
      <c r="C70" t="s">
        <v>366</v>
      </c>
    </row>
    <row r="71" spans="1:3" x14ac:dyDescent="0.25">
      <c r="A71" s="142" t="s">
        <v>1788</v>
      </c>
      <c r="B71" t="s">
        <v>772</v>
      </c>
      <c r="C71" t="s">
        <v>366</v>
      </c>
    </row>
    <row r="72" spans="1:3" x14ac:dyDescent="0.25">
      <c r="A72" s="142" t="s">
        <v>1789</v>
      </c>
      <c r="B72" t="s">
        <v>772</v>
      </c>
      <c r="C72" t="s">
        <v>366</v>
      </c>
    </row>
    <row r="73" spans="1:3" x14ac:dyDescent="0.25">
      <c r="A73" s="142" t="s">
        <v>1790</v>
      </c>
      <c r="B73" t="s">
        <v>772</v>
      </c>
      <c r="C73" t="s">
        <v>366</v>
      </c>
    </row>
    <row r="74" spans="1:3" x14ac:dyDescent="0.25">
      <c r="A74" s="142" t="s">
        <v>1791</v>
      </c>
      <c r="B74" t="s">
        <v>772</v>
      </c>
      <c r="C74" t="s">
        <v>366</v>
      </c>
    </row>
    <row r="75" spans="1:3" x14ac:dyDescent="0.25">
      <c r="A75" s="142" t="s">
        <v>1792</v>
      </c>
      <c r="B75" t="s">
        <v>772</v>
      </c>
      <c r="C75" t="s">
        <v>366</v>
      </c>
    </row>
    <row r="76" spans="1:3" x14ac:dyDescent="0.25">
      <c r="A76" s="142" t="s">
        <v>1793</v>
      </c>
      <c r="B76" t="s">
        <v>772</v>
      </c>
      <c r="C76" t="s">
        <v>366</v>
      </c>
    </row>
    <row r="77" spans="1:3" x14ac:dyDescent="0.25">
      <c r="A77" s="142" t="s">
        <v>1794</v>
      </c>
      <c r="B77" t="s">
        <v>772</v>
      </c>
      <c r="C77" t="s">
        <v>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Bandi (Grids)</vt:lpstr>
      <vt:lpstr>Bandi </vt:lpstr>
      <vt:lpstr>quoll habitat 2018</vt:lpstr>
      <vt:lpstr>Quoll</vt:lpstr>
      <vt:lpstr>Acclerometer2019</vt:lpstr>
      <vt:lpstr>Glider </vt:lpstr>
      <vt:lpstr>Rodent</vt:lpstr>
      <vt:lpstr>Capture no measure</vt:lpstr>
      <vt:lpstr>Dead SM</vt:lpstr>
      <vt:lpstr>Notes</vt:lpstr>
      <vt:lpstr>AL1</vt:lpstr>
      <vt:lpstr>DUG</vt:lpstr>
      <vt:lpstr>PS</vt:lpstr>
      <vt:lpstr>PS2</vt:lpstr>
      <vt:lpstr>PS3</vt:lpstr>
      <vt:lpstr>P13</vt:lpstr>
      <vt:lpstr>P24</vt:lpstr>
      <vt:lpstr>AP</vt:lpstr>
      <vt:lpstr>AN1</vt:lpstr>
      <vt:lpstr>AN2</vt:lpstr>
      <vt:lpstr>PS4</vt:lpstr>
      <vt:lpstr>HW1</vt:lpstr>
      <vt:lpstr>HW3</vt:lpstr>
      <vt:lpstr>HW4</vt:lpstr>
      <vt:lpstr>HW6</vt:lpstr>
      <vt:lpstr>HW7</vt:lpstr>
      <vt:lpstr>HW8</vt:lpstr>
      <vt:lpstr>HW9</vt:lpstr>
      <vt:lpstr>HW10</vt:lpstr>
      <vt:lpstr>OW1</vt:lpstr>
      <vt:lpstr>OW2</vt:lpstr>
      <vt:lpstr>OW3</vt:lpstr>
      <vt:lpstr>OW4</vt:lpstr>
    </vt:vector>
  </TitlesOfParts>
  <Company>University of Queensland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Skye Cameron</dc:creator>
  <cp:lastModifiedBy>Administrator</cp:lastModifiedBy>
  <cp:lastPrinted>2017-06-02T02:15:36Z</cp:lastPrinted>
  <dcterms:created xsi:type="dcterms:W3CDTF">2016-05-12T04:58:20Z</dcterms:created>
  <dcterms:modified xsi:type="dcterms:W3CDTF">2019-08-09T01:35:38Z</dcterms:modified>
</cp:coreProperties>
</file>